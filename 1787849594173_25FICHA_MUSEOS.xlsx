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MUSEOS\"/>
    </mc:Choice>
  </mc:AlternateContent>
  <bookViews>
    <workbookView xWindow="0" yWindow="0" windowWidth="28800" windowHeight="11535"/>
  </bookViews>
  <sheets>
    <sheet name="24EU_CULTURA_MUSEO" sheetId="1" r:id="rId1"/>
    <sheet name="BASE DE DATOS_CULTURA_MUSEO" sheetId="2" r:id="rId2"/>
  </sheets>
  <definedNames>
    <definedName name="_xlnm.Print_Area" localSheetId="0">'24EU_CULTURA_MUSEO'!$A$1:$C$35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<sst xmlns="http://schemas.openxmlformats.org/spreadsheetml/2006/main" count="231" uniqueCount="132">
  <si>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</si>
  <si>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</si>
  <si>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</si>
  <si>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</si>
  <si>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</si>
  <si>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</si>
  <si>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</si>
  <si>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</si>
  <si>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</si>
  <si>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</si>
  <si>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</si>
  <si>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</si>
  <si>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</si>
  <si>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</si>
  <si>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</si>
  <si>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</si>
  <si>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</si>
  <si>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</si>
  <si>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</si>
  <si>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</si>
  <si>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</si>
  <si>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</si>
  <si>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</si>
  <si>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</si>
  <si>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</si>
  <si>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</si>
  <si>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</si>
  <si>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</si>
  <si>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</si>
  <si>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</si>
  <si>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</si>
  <si>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</si>
  <si>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</si>
  <si>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</si>
  <si>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</si>
  <si>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</si>
  <si>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</si>
  <si>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</si>
  <si>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</si>
  <si>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</si>
  <si>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</si>
  <si>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</si>
  <si>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</si>
  <si>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</si>
  <si>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</si>
  <si>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</si>
  <si>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</si>
  <si>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</si>
  <si>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</si>
  <si>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</si>
  <si>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</si>
  <si>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</si>
  <si>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BARRIO</t>
  </si>
  <si>
    <t>Fijo</t>
  </si>
  <si>
    <t>AVENIDA</t>
  </si>
  <si>
    <t>PRIVADA</t>
  </si>
  <si>
    <t>NINGUNO</t>
  </si>
  <si>
    <t>6 a 10 personas</t>
  </si>
  <si>
    <t>JOSE MARIA MORELOS Y PAVON</t>
  </si>
  <si>
    <t>2010-07</t>
  </si>
  <si>
    <t>COLONIA</t>
  </si>
  <si>
    <t>FRANCISCO I. MADERO</t>
  </si>
  <si>
    <t>11 a 30 personas</t>
  </si>
  <si>
    <t>MIGUEL HIDALGO Y COSTILLA</t>
  </si>
  <si>
    <t>31 a 50 personas</t>
  </si>
  <si>
    <t>BENITO JUAREZ</t>
  </si>
  <si>
    <t>2016-10</t>
  </si>
  <si>
    <t>28 DE AGOSTO</t>
  </si>
  <si>
    <t>CENTRO ORIENTE</t>
  </si>
  <si>
    <t>GENERAL IGNACIO ZARAGOZA</t>
  </si>
  <si>
    <t>FERROCARRIL</t>
  </si>
  <si>
    <t>PEATONAL</t>
  </si>
  <si>
    <t>DOCTOR JESUS DIAZ DE LEON</t>
  </si>
  <si>
    <t>JARDIN DEL ENCINO</t>
  </si>
  <si>
    <t>(ZUFO)-CENTRO</t>
  </si>
  <si>
    <t>PEDRO PARGA</t>
  </si>
  <si>
    <t>MANUEL GOMEZ MORIN</t>
  </si>
  <si>
    <t>ALAMEDA</t>
  </si>
  <si>
    <t>HEROICO COLEGIO MILITAR</t>
  </si>
  <si>
    <t>JUAN DE MONTORO</t>
  </si>
  <si>
    <t>LICENCIADO BENITO JUAREZ</t>
  </si>
  <si>
    <t>LICENCIADO FRANCISCO PRIMO VERDAD</t>
  </si>
  <si>
    <t>ALLENDE ORIENTE</t>
  </si>
  <si>
    <t>GENERAL RLVARO OBREGON</t>
  </si>
  <si>
    <t>PRIVADA CATALINA DE AYALA</t>
  </si>
  <si>
    <t>HOSPITALIDAD</t>
  </si>
  <si>
    <t>RIVERO Y GUTIERREZ</t>
  </si>
  <si>
    <t>PROFESORA VICENTA TRUJILLO</t>
  </si>
  <si>
    <t>AGUASCALIENTES</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</si>
  <si>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</si>
  <si>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</si>
  <si>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</si>
  <si>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</si>
  <si>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</si>
  <si>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</si>
  <si>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</si>
  <si>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</si>
  <si>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</si>
  <si>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</si>
  <si>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</si>
  <si>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</si>
  <si>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ELISEO TRUJILLO</t>
  </si>
  <si>
    <t>UNILN</t>
  </si>
  <si>
    <t>JOSL MAROA MORELOS Y PAVoN</t>
  </si>
  <si>
    <t>INSTITUTO CULTURAL DE AGUASCALIENTES</t>
  </si>
  <si>
    <t>CULTURA</t>
  </si>
  <si>
    <t>MUSEO FERROCARRILERO DE AGUASCALIENTES</t>
  </si>
  <si>
    <t>MFERROCARRILERO@GMAIL.COM</t>
  </si>
  <si>
    <t>AGUASCALIENTES.GOB.MX/CULTURA</t>
  </si>
  <si>
    <t>MUSEO JOSE GUADALUPE POSADA</t>
  </si>
  <si>
    <t>MUSEOJGPOSADAA@GMAIL.COM</t>
  </si>
  <si>
    <t>MUSEO ESPACIO</t>
  </si>
  <si>
    <t>MUCEOAGS@GMAIL.COM</t>
  </si>
  <si>
    <t>MUSEO NACIONAL DE LA MUERTE</t>
  </si>
  <si>
    <t>UNIVERSIDAD AUTONOMA DE AGUASCALIENTES</t>
  </si>
  <si>
    <t>MUSEONACIONALDELAMUERTE.UA.MX</t>
  </si>
  <si>
    <t>MUSEO DE AGUASCALIENTES</t>
  </si>
  <si>
    <t>MUSEODEAGUASCALIENTES@GMAIL.COM</t>
  </si>
  <si>
    <t>AGUASCALIENTES.GOB.MX</t>
  </si>
  <si>
    <t>GALERIA EL OBRAJE</t>
  </si>
  <si>
    <t>INSTITUTO CULTURAL DEL ESTADO DE AGUASCALIENTES</t>
  </si>
  <si>
    <t>GALERIA DE ARTE EX ESCUELA DE CRISTO</t>
  </si>
  <si>
    <t>MUSEOSYGALERIAS@YAHOO.COM.MX</t>
  </si>
  <si>
    <t>WWW.MUSEOSYGALERIAS.COM</t>
  </si>
  <si>
    <t>MUSEO DE ARTE CONTEMPORANEO</t>
  </si>
  <si>
    <t>MAC8ICA@GMAIL.COM</t>
  </si>
  <si>
    <t>PUBLICO</t>
  </si>
  <si>
    <t>Museos del sector publico</t>
  </si>
  <si>
    <t>LA CLASIFICACIÓN DE ELEMENTOS ESTÁ BASADA EN EL SISTEMA NORMATIVO DE EQUIPAMIENTO URBANO DE LA SEDESOL FEDERAL, SUBSISTEMA CULTURA. LA INTEGRACIÓN FUE REALIZADA POR EL IMPLAN CON INFORMACIÓN DEL DIRECTORIO ESTADISTICO NACIONAL DE UNIDADES ECONOMICAS (INEGI)</t>
  </si>
  <si>
    <t>CVE (1-8)</t>
  </si>
  <si>
    <t>UBICACIÓN DE SITIOS DE MUSEOS</t>
  </si>
  <si>
    <t>EU_ MUSEOS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</si>
</sst>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89647</xdr:colOff>
      <xdr:row>0</xdr:row>
      <xdr:rowOff>134471</xdr:rowOff>
    </xdr:from>
    <xdr:to>
      <xdr:col>2</xdr:col>
      <xdr:colOff>5071447</xdr:colOff>
      <xdr:row>1</xdr:row>
      <xdr:rowOff>537884</xdr:rowOff>
    </xdr:to>
    <xdr:grpSp>
      <xdr:nvGrpSpPr>
        <xdr:cNvPr id="3" name="Grupo 2"/>
        <xdr:cNvGrpSpPr/>
      </xdr:nvGrpSpPr>
      <xdr:grpSpPr>
        <a:xfrm>
          <a:off x="235323" y="134471"/>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9" totalsRowShown="0" headerRowDxfId="28">
  <autoFilter ref="A1:AB9"/>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H3" sqref="H3"/>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130</v>
      </c>
      <c r="C3" s="34"/>
    </row>
    <row r="4" spans="2:4">
      <c r="B4" s="8"/>
      <c r="C4" s="8"/>
    </row>
    <row r="5" spans="2:4" ht="15.75">
      <c r="B5" s="35" t="s">
        <v>0</v>
      </c>
      <c r="C5" s="35"/>
      <c r="D5" s="9"/>
    </row>
    <row r="6" spans="2:4">
      <c r="B6" s="10" t="s">
        <v>2</v>
      </c>
      <c r="C6" s="11" t="s">
        <v>131</v>
      </c>
    </row>
    <row r="7" spans="2:4" ht="24.75" customHeight="1">
      <c r="B7" s="10" t="s">
        <v>3</v>
      </c>
      <c r="C7" s="12" t="s">
        <v>1</v>
      </c>
    </row>
    <row r="8" spans="2:4">
      <c r="B8" s="10" t="s">
        <v>4</v>
      </c>
      <c r="C8" s="11" t="s">
        <v>5</v>
      </c>
    </row>
    <row r="9" spans="2:4">
      <c r="B9" s="10" t="s">
        <v>6</v>
      </c>
      <c r="C9" s="11" t="s">
        <v>7</v>
      </c>
    </row>
    <row r="10" spans="2:4">
      <c r="B10" s="10" t="s">
        <v>8</v>
      </c>
      <c r="C10" s="11" t="s">
        <v>91</v>
      </c>
    </row>
    <row r="11" spans="2:4">
      <c r="B11" s="10" t="s">
        <v>9</v>
      </c>
      <c r="C11" s="11" t="s">
        <v>90</v>
      </c>
    </row>
    <row r="12" spans="2:4">
      <c r="B12" s="10" t="s">
        <v>10</v>
      </c>
      <c r="C12" s="11" t="s">
        <v>11</v>
      </c>
    </row>
    <row r="13" spans="2:4" ht="39">
      <c r="B13" s="13" t="s">
        <v>12</v>
      </c>
      <c r="C13" s="12" t="s">
        <v>128</v>
      </c>
    </row>
    <row r="14" spans="2:4">
      <c r="B14" s="8"/>
      <c r="C14" s="8"/>
    </row>
    <row r="15" spans="2:4" ht="16.5" thickBot="1">
      <c r="B15" s="35" t="s">
        <v>13</v>
      </c>
      <c r="C15" s="35"/>
    </row>
    <row r="16" spans="2:4" ht="18">
      <c r="B16" s="14" t="s">
        <v>14</v>
      </c>
      <c r="C16" s="15" t="s">
        <v>15</v>
      </c>
    </row>
    <row r="17" spans="2:12">
      <c r="B17" s="1" t="s">
        <v>16</v>
      </c>
      <c r="C17" s="2" t="s">
        <v>88</v>
      </c>
    </row>
    <row r="18" spans="2:12">
      <c r="B18" s="1" t="s">
        <v>17</v>
      </c>
      <c r="C18" s="3" t="s">
        <v>88</v>
      </c>
      <c r="G18"/>
      <c r="H18"/>
      <c r="I18"/>
      <c r="J18"/>
      <c r="K18"/>
    </row>
    <row r="19" spans="2:12">
      <c r="B19" s="1" t="s">
        <v>18</v>
      </c>
      <c r="C19" s="3" t="str">
        <f>VLOOKUP($C$21,ABASTO[#All],25,FALSE)</f>
        <v>CENTRO ORIENTE</v>
      </c>
      <c r="G19" s="23"/>
      <c r="H19" s="23"/>
      <c r="I19" s="24"/>
      <c r="J19" s="24"/>
      <c r="K19" s="25"/>
      <c r="L19" s="16"/>
    </row>
    <row r="20" spans="2:12">
      <c r="B20" s="1" t="s">
        <v>92</v>
      </c>
      <c r="C20" s="3" t="str">
        <f>VLOOKUP($C$21,ABASTO[#All],26,FALSE)</f>
        <v>(ZUFO)-CENTRO</v>
      </c>
      <c r="G20" s="25"/>
      <c r="H20" s="16"/>
      <c r="I20" s="25"/>
      <c r="J20" s="25"/>
      <c r="K20" s="25"/>
      <c r="L20" s="16"/>
    </row>
    <row r="21" spans="2:12" ht="19.5">
      <c r="B21" s="26" t="s">
        <v>129</v>
      </c>
      <c r="C21" s="27">
        <v>8</v>
      </c>
      <c r="G21" s="25"/>
      <c r="H21" s="25"/>
      <c r="I21" s="25"/>
      <c r="J21" s="25"/>
      <c r="K21" s="25"/>
      <c r="L21" s="16"/>
    </row>
    <row r="22" spans="2:12">
      <c r="B22" s="1" t="s">
        <v>93</v>
      </c>
      <c r="C22" s="21" t="str">
        <f>VLOOKUP($C$21,ABASTO[#All],5,FALSE)</f>
        <v>MUSEO DE ARTE CONTEMPORANEO</v>
      </c>
      <c r="G22"/>
      <c r="H22"/>
      <c r="I22"/>
      <c r="J22"/>
      <c r="K22"/>
    </row>
    <row r="23" spans="2:12">
      <c r="B23" s="4" t="s">
        <v>94</v>
      </c>
      <c r="C23" s="21" t="str">
        <f>VLOOKUP($C$21,ABASTO[#All],6,FALSE)</f>
        <v>Museos del sector publico</v>
      </c>
    </row>
    <row r="24" spans="2:12">
      <c r="B24" s="1" t="s">
        <v>19</v>
      </c>
      <c r="C24" s="21">
        <f>VLOOKUP($C$21,ABASTO[#All],2,FALSE)</f>
        <v>712112</v>
      </c>
    </row>
    <row r="25" spans="2:12">
      <c r="B25" s="5" t="s">
        <v>95</v>
      </c>
      <c r="C25" s="21" t="str">
        <f>VLOOKUP($C$21,ABASTO[#All],4,FALSE)</f>
        <v>PUBLICO</v>
      </c>
    </row>
    <row r="26" spans="2:12">
      <c r="B26" s="1" t="s">
        <v>96</v>
      </c>
      <c r="C26" s="21" t="str">
        <f>VLOOKUP($C$21,ABASTO[#All],11,FALSE)</f>
        <v>6 a 10 personas</v>
      </c>
    </row>
    <row r="27" spans="2:12">
      <c r="B27" s="4" t="s">
        <v>97</v>
      </c>
      <c r="C27" s="21" t="str">
        <f>VLOOKUP($C$21,ABASTO[#All],8,FALSE)</f>
        <v>COLONIA</v>
      </c>
    </row>
    <row r="28" spans="2:12">
      <c r="B28" s="1" t="s">
        <v>99</v>
      </c>
      <c r="C28" s="21" t="str">
        <f>VLOOKUP($C$21,ABASTO[#All],13,FALSE)</f>
        <v>LICENCIADO FRANCISCO PRIMO VERDAD</v>
      </c>
    </row>
    <row r="29" spans="2:12">
      <c r="B29" s="1" t="s">
        <v>98</v>
      </c>
      <c r="C29" s="21" t="str">
        <f>VLOOKUP($C$21,ABASTO[#All],12,FALSE)</f>
        <v>CALLE</v>
      </c>
    </row>
    <row r="30" spans="2:12">
      <c r="B30" s="4" t="s">
        <v>100</v>
      </c>
      <c r="C30" s="21" t="str">
        <f>VLOOKUP($C$21,ABASTO[#All],22,FALSE)</f>
        <v>MAC8ICA@GMAIL.COM</v>
      </c>
    </row>
    <row r="31" spans="2:12">
      <c r="B31" s="1" t="s">
        <v>21</v>
      </c>
      <c r="C31" s="21">
        <f>VLOOKUP($C$21,ABASTO[#All],20,FALSE)</f>
        <v>0</v>
      </c>
    </row>
    <row r="32" spans="2:12">
      <c r="B32" s="4" t="s">
        <v>24</v>
      </c>
      <c r="C32" s="21">
        <f>VLOOKUP($C$21,ABASTO[#All],21,FALSE)</f>
        <v>4499186901</v>
      </c>
    </row>
    <row r="33" spans="1:3">
      <c r="B33" s="1" t="s">
        <v>22</v>
      </c>
      <c r="C33" s="21">
        <f>VLOOKUP($C$21,ABASTO[#All],27,FALSE)</f>
        <v>779517.75720200001</v>
      </c>
    </row>
    <row r="34" spans="1:3" ht="15.75" thickBot="1">
      <c r="B34" s="6" t="s">
        <v>23</v>
      </c>
      <c r="C34" s="21">
        <f>VLOOKUP($C$21,ABASTO[#All],28,FALSE)</f>
        <v>2422336.5869100001</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DATOS_CULTURA_MUSEO'!$A$2:$A$9</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
  <sheetViews>
    <sheetView zoomScale="85" zoomScaleNormal="85" workbookViewId="0">
      <selection activeCell="D20" sqref="D20"/>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89</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712112</v>
      </c>
      <c r="C2" s="17" t="s">
        <v>105</v>
      </c>
      <c r="D2" s="17" t="s">
        <v>126</v>
      </c>
      <c r="E2" s="17" t="s">
        <v>106</v>
      </c>
      <c r="F2" s="17" t="s">
        <v>127</v>
      </c>
      <c r="G2" s="17" t="s">
        <v>104</v>
      </c>
      <c r="H2" s="17" t="s">
        <v>52</v>
      </c>
      <c r="I2" s="17">
        <v>20259</v>
      </c>
      <c r="J2" s="17" t="s">
        <v>53</v>
      </c>
      <c r="K2" s="17" t="s">
        <v>62</v>
      </c>
      <c r="L2" s="17" t="s">
        <v>54</v>
      </c>
      <c r="M2" s="17" t="s">
        <v>77</v>
      </c>
      <c r="N2" s="17" t="s">
        <v>20</v>
      </c>
      <c r="O2" s="17" t="s">
        <v>67</v>
      </c>
      <c r="P2" s="17" t="s">
        <v>54</v>
      </c>
      <c r="Q2" s="17" t="s">
        <v>70</v>
      </c>
      <c r="R2" s="17" t="s">
        <v>20</v>
      </c>
      <c r="S2" s="17" t="s">
        <v>67</v>
      </c>
      <c r="T2" s="17">
        <v>301</v>
      </c>
      <c r="U2" s="18">
        <v>0</v>
      </c>
      <c r="V2" s="17" t="s">
        <v>107</v>
      </c>
      <c r="W2" s="17" t="s">
        <v>108</v>
      </c>
      <c r="X2" s="17" t="s">
        <v>59</v>
      </c>
      <c r="Y2" s="17" t="s">
        <v>68</v>
      </c>
      <c r="Z2" s="17" t="s">
        <v>74</v>
      </c>
      <c r="AA2" s="31">
        <v>781097.48334100004</v>
      </c>
      <c r="AB2" s="31">
        <v>2422385.3759599999</v>
      </c>
    </row>
    <row r="3" spans="1:28">
      <c r="A3" s="30">
        <v>2</v>
      </c>
      <c r="B3" s="17">
        <v>712112</v>
      </c>
      <c r="C3" s="17" t="s">
        <v>105</v>
      </c>
      <c r="D3" s="17" t="s">
        <v>126</v>
      </c>
      <c r="E3" s="17" t="s">
        <v>109</v>
      </c>
      <c r="F3" s="17" t="s">
        <v>127</v>
      </c>
      <c r="G3" s="17" t="s">
        <v>104</v>
      </c>
      <c r="H3" s="17" t="s">
        <v>52</v>
      </c>
      <c r="I3" s="17">
        <v>20240</v>
      </c>
      <c r="J3" s="17" t="s">
        <v>53</v>
      </c>
      <c r="K3" s="17" t="s">
        <v>62</v>
      </c>
      <c r="L3" s="17" t="s">
        <v>71</v>
      </c>
      <c r="M3" s="17" t="s">
        <v>73</v>
      </c>
      <c r="N3" s="17" t="s">
        <v>20</v>
      </c>
      <c r="O3" s="17" t="s">
        <v>101</v>
      </c>
      <c r="P3" s="17" t="s">
        <v>20</v>
      </c>
      <c r="Q3" s="17" t="s">
        <v>72</v>
      </c>
      <c r="R3" s="17" t="s">
        <v>20</v>
      </c>
      <c r="S3" s="17" t="s">
        <v>87</v>
      </c>
      <c r="T3" s="17">
        <v>0</v>
      </c>
      <c r="U3" s="18">
        <v>0</v>
      </c>
      <c r="V3" s="17" t="s">
        <v>110</v>
      </c>
      <c r="X3" s="17" t="s">
        <v>59</v>
      </c>
      <c r="Y3" s="17" t="s">
        <v>68</v>
      </c>
      <c r="Z3" s="17" t="s">
        <v>74</v>
      </c>
      <c r="AA3" s="31">
        <v>779762.65978900006</v>
      </c>
      <c r="AB3" s="31">
        <v>2421483.9660499999</v>
      </c>
    </row>
    <row r="4" spans="1:28">
      <c r="A4" s="30">
        <v>3</v>
      </c>
      <c r="B4" s="17">
        <v>712112</v>
      </c>
      <c r="C4" s="17" t="s">
        <v>105</v>
      </c>
      <c r="D4" s="17" t="s">
        <v>126</v>
      </c>
      <c r="E4" s="17" t="s">
        <v>111</v>
      </c>
      <c r="F4" s="17" t="s">
        <v>127</v>
      </c>
      <c r="G4" s="17" t="s">
        <v>104</v>
      </c>
      <c r="H4" s="17" t="s">
        <v>60</v>
      </c>
      <c r="I4" s="17">
        <v>20180</v>
      </c>
      <c r="J4" s="17" t="s">
        <v>53</v>
      </c>
      <c r="K4" s="17" t="s">
        <v>64</v>
      </c>
      <c r="L4" s="17" t="s">
        <v>54</v>
      </c>
      <c r="M4" s="17" t="s">
        <v>76</v>
      </c>
      <c r="N4" s="17" t="s">
        <v>55</v>
      </c>
      <c r="O4" s="17" t="s">
        <v>56</v>
      </c>
      <c r="P4" s="17" t="s">
        <v>54</v>
      </c>
      <c r="Q4" s="17" t="s">
        <v>78</v>
      </c>
      <c r="R4" s="17" t="s">
        <v>54</v>
      </c>
      <c r="S4" s="17" t="s">
        <v>78</v>
      </c>
      <c r="T4" s="17">
        <v>0</v>
      </c>
      <c r="U4" s="18">
        <v>0</v>
      </c>
      <c r="V4" s="17" t="s">
        <v>112</v>
      </c>
      <c r="X4" s="17" t="s">
        <v>66</v>
      </c>
      <c r="Y4" s="17" t="s">
        <v>68</v>
      </c>
      <c r="Z4" s="17" t="s">
        <v>74</v>
      </c>
      <c r="AA4" s="31">
        <v>780854.31665099994</v>
      </c>
      <c r="AB4" s="31">
        <v>2423055.65123</v>
      </c>
    </row>
    <row r="5" spans="1:28">
      <c r="A5" s="30">
        <v>4</v>
      </c>
      <c r="B5" s="17">
        <v>712112</v>
      </c>
      <c r="C5" s="17" t="s">
        <v>105</v>
      </c>
      <c r="D5" s="17" t="s">
        <v>126</v>
      </c>
      <c r="E5" s="17" t="s">
        <v>113</v>
      </c>
      <c r="F5" s="17" t="s">
        <v>127</v>
      </c>
      <c r="G5" s="17" t="s">
        <v>114</v>
      </c>
      <c r="H5" s="17" t="s">
        <v>60</v>
      </c>
      <c r="I5" s="17">
        <v>20000</v>
      </c>
      <c r="J5" s="17" t="s">
        <v>53</v>
      </c>
      <c r="K5" s="17" t="s">
        <v>57</v>
      </c>
      <c r="L5" s="17" t="s">
        <v>20</v>
      </c>
      <c r="M5" s="17" t="s">
        <v>86</v>
      </c>
      <c r="N5" s="17" t="s">
        <v>20</v>
      </c>
      <c r="O5" s="17" t="s">
        <v>58</v>
      </c>
      <c r="P5" s="17" t="s">
        <v>20</v>
      </c>
      <c r="Q5" s="17" t="s">
        <v>80</v>
      </c>
      <c r="R5" s="17" t="s">
        <v>20</v>
      </c>
      <c r="S5" s="17" t="s">
        <v>102</v>
      </c>
      <c r="T5" s="17">
        <v>0</v>
      </c>
      <c r="U5" s="18">
        <v>0</v>
      </c>
      <c r="W5" s="17" t="s">
        <v>115</v>
      </c>
      <c r="X5" s="17" t="s">
        <v>59</v>
      </c>
      <c r="Y5" s="17" t="s">
        <v>68</v>
      </c>
      <c r="Z5" s="17" t="s">
        <v>74</v>
      </c>
      <c r="AA5" s="31">
        <v>779458.26445000002</v>
      </c>
      <c r="AB5" s="31">
        <v>2422409.0020499998</v>
      </c>
    </row>
    <row r="6" spans="1:28">
      <c r="A6" s="30">
        <v>5</v>
      </c>
      <c r="B6" s="17">
        <v>712112</v>
      </c>
      <c r="C6" s="17" t="s">
        <v>105</v>
      </c>
      <c r="D6" s="17" t="s">
        <v>126</v>
      </c>
      <c r="E6" s="17" t="s">
        <v>116</v>
      </c>
      <c r="F6" s="17" t="s">
        <v>127</v>
      </c>
      <c r="G6" s="17" t="s">
        <v>104</v>
      </c>
      <c r="H6" s="17" t="s">
        <v>60</v>
      </c>
      <c r="I6" s="17">
        <v>20000</v>
      </c>
      <c r="J6" s="17" t="s">
        <v>53</v>
      </c>
      <c r="K6" s="17" t="s">
        <v>62</v>
      </c>
      <c r="L6" s="17" t="s">
        <v>20</v>
      </c>
      <c r="M6" s="17" t="s">
        <v>69</v>
      </c>
      <c r="N6" s="17" t="s">
        <v>20</v>
      </c>
      <c r="O6" s="17" t="s">
        <v>75</v>
      </c>
      <c r="P6" s="17" t="s">
        <v>20</v>
      </c>
      <c r="Q6" s="17" t="s">
        <v>83</v>
      </c>
      <c r="R6" s="17" t="s">
        <v>55</v>
      </c>
      <c r="S6" s="17" t="s">
        <v>84</v>
      </c>
      <c r="T6" s="17">
        <v>505</v>
      </c>
      <c r="U6" s="18">
        <v>0</v>
      </c>
      <c r="V6" s="17" t="s">
        <v>117</v>
      </c>
      <c r="W6" s="17" t="s">
        <v>118</v>
      </c>
      <c r="X6" s="17" t="s">
        <v>59</v>
      </c>
      <c r="Y6" s="17" t="s">
        <v>68</v>
      </c>
      <c r="Z6" s="17" t="s">
        <v>74</v>
      </c>
      <c r="AA6" s="31">
        <v>779866.29291700001</v>
      </c>
      <c r="AB6" s="31">
        <v>2422636.43151</v>
      </c>
    </row>
    <row r="7" spans="1:28">
      <c r="A7" s="30">
        <v>6</v>
      </c>
      <c r="B7" s="17">
        <v>712112</v>
      </c>
      <c r="C7" s="17" t="s">
        <v>105</v>
      </c>
      <c r="D7" s="17" t="s">
        <v>126</v>
      </c>
      <c r="E7" s="17" t="s">
        <v>119</v>
      </c>
      <c r="F7" s="17" t="s">
        <v>127</v>
      </c>
      <c r="G7" s="17" t="s">
        <v>120</v>
      </c>
      <c r="H7" s="17" t="s">
        <v>60</v>
      </c>
      <c r="I7" s="17">
        <v>20000</v>
      </c>
      <c r="J7" s="17" t="s">
        <v>53</v>
      </c>
      <c r="K7" s="17" t="s">
        <v>57</v>
      </c>
      <c r="L7" s="17" t="s">
        <v>20</v>
      </c>
      <c r="M7" s="17" t="s">
        <v>79</v>
      </c>
      <c r="N7" s="17" t="s">
        <v>20</v>
      </c>
      <c r="O7" s="17" t="s">
        <v>58</v>
      </c>
      <c r="P7" s="17" t="s">
        <v>20</v>
      </c>
      <c r="Q7" s="17" t="s">
        <v>63</v>
      </c>
      <c r="R7" s="17" t="s">
        <v>54</v>
      </c>
      <c r="S7" s="17" t="s">
        <v>61</v>
      </c>
      <c r="T7" s="17">
        <v>222</v>
      </c>
      <c r="U7" s="18">
        <v>0</v>
      </c>
      <c r="X7" s="17" t="s">
        <v>59</v>
      </c>
      <c r="Y7" s="17" t="s">
        <v>68</v>
      </c>
      <c r="Z7" s="17" t="s">
        <v>74</v>
      </c>
      <c r="AA7" s="31">
        <v>779671.77110300004</v>
      </c>
      <c r="AB7" s="31">
        <v>2422135.6479400001</v>
      </c>
    </row>
    <row r="8" spans="1:28">
      <c r="A8" s="30">
        <v>7</v>
      </c>
      <c r="B8" s="17">
        <v>712112</v>
      </c>
      <c r="C8" s="17" t="s">
        <v>105</v>
      </c>
      <c r="D8" s="17" t="s">
        <v>126</v>
      </c>
      <c r="E8" s="17" t="s">
        <v>121</v>
      </c>
      <c r="F8" s="17" t="s">
        <v>127</v>
      </c>
      <c r="G8" s="17" t="s">
        <v>104</v>
      </c>
      <c r="H8" s="17" t="s">
        <v>60</v>
      </c>
      <c r="I8" s="17">
        <v>20000</v>
      </c>
      <c r="J8" s="17" t="s">
        <v>53</v>
      </c>
      <c r="K8" s="17" t="s">
        <v>57</v>
      </c>
      <c r="L8" s="17" t="s">
        <v>71</v>
      </c>
      <c r="M8" s="17" t="s">
        <v>65</v>
      </c>
      <c r="N8" s="17" t="s">
        <v>54</v>
      </c>
      <c r="O8" s="17" t="s">
        <v>61</v>
      </c>
      <c r="P8" s="17" t="s">
        <v>71</v>
      </c>
      <c r="Q8" s="17" t="s">
        <v>82</v>
      </c>
      <c r="R8" s="17" t="s">
        <v>20</v>
      </c>
      <c r="S8" s="17" t="s">
        <v>103</v>
      </c>
      <c r="T8" s="17">
        <v>107</v>
      </c>
      <c r="U8" s="18">
        <v>0</v>
      </c>
      <c r="V8" s="17" t="s">
        <v>122</v>
      </c>
      <c r="W8" s="17" t="s">
        <v>123</v>
      </c>
      <c r="X8" s="17" t="s">
        <v>59</v>
      </c>
      <c r="Y8" s="17" t="s">
        <v>68</v>
      </c>
      <c r="Z8" s="17" t="s">
        <v>74</v>
      </c>
      <c r="AA8" s="31">
        <v>779449.11855300004</v>
      </c>
      <c r="AB8" s="31">
        <v>2422168.5197200002</v>
      </c>
    </row>
    <row r="9" spans="1:28">
      <c r="A9" s="30">
        <v>8</v>
      </c>
      <c r="B9" s="17">
        <v>712112</v>
      </c>
      <c r="C9" s="17" t="s">
        <v>105</v>
      </c>
      <c r="D9" s="17" t="s">
        <v>126</v>
      </c>
      <c r="E9" s="17" t="s">
        <v>124</v>
      </c>
      <c r="F9" s="17" t="s">
        <v>127</v>
      </c>
      <c r="G9" s="17" t="s">
        <v>124</v>
      </c>
      <c r="H9" s="17" t="s">
        <v>60</v>
      </c>
      <c r="I9" s="17">
        <v>20000</v>
      </c>
      <c r="J9" s="17" t="s">
        <v>53</v>
      </c>
      <c r="K9" s="17" t="s">
        <v>57</v>
      </c>
      <c r="L9" s="17" t="s">
        <v>20</v>
      </c>
      <c r="M9" s="17" t="s">
        <v>81</v>
      </c>
      <c r="N9" s="17" t="s">
        <v>20</v>
      </c>
      <c r="O9" s="17" t="s">
        <v>58</v>
      </c>
      <c r="P9" s="17" t="s">
        <v>20</v>
      </c>
      <c r="Q9" s="17" t="s">
        <v>63</v>
      </c>
      <c r="R9" s="17" t="s">
        <v>20</v>
      </c>
      <c r="S9" s="17" t="s">
        <v>85</v>
      </c>
      <c r="T9" s="17">
        <v>0</v>
      </c>
      <c r="U9" s="18">
        <v>4499186901</v>
      </c>
      <c r="V9" s="17" t="s">
        <v>125</v>
      </c>
      <c r="X9" s="17" t="s">
        <v>59</v>
      </c>
      <c r="Y9" s="17" t="s">
        <v>68</v>
      </c>
      <c r="Z9" s="17" t="s">
        <v>74</v>
      </c>
      <c r="AA9" s="31">
        <v>779517.75720200001</v>
      </c>
      <c r="AB9" s="31">
        <v>2422336.5869100001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24EU_CULTURA_MUSEO</vt:lpstr>
      <vt:lpstr>BASE DE DATOS_CULTURA_MUSEO</vt:lpstr>
      <vt:lpstr>'24EU_CULTURA_MUSEO'!Área_de_impresión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2025-08-13T15:03:02Z</dcterms:modified>
</cp:coreProperties>
</file>