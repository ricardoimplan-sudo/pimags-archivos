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EDUCACION SUPERIOR\"/>
    </mc:Choice>
  </mc:AlternateContent>
  <bookViews>
    <workbookView xWindow="0" yWindow="0" windowWidth="28800" windowHeight="11535"/>
  </bookViews>
  <sheets>
    <sheet name="24EU_EDU_SUPERIOR" sheetId="1" r:id="rId1"/>
    <sheet name="BASE DE DATOS_EDU_SUPERIOR" sheetId="2" r:id="rId2"/>
  </sheets>
  <definedNames>
    <definedName name="_xlnm.Print_Area" localSheetId="0">'24EU_EDU_SUPERIOR'!$A$1:$C$35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<sst xmlns="http://schemas.openxmlformats.org/spreadsheetml/2006/main" count="1498" uniqueCount="511">
  <si>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</si>
  <si>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</si>
  <si>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</si>
  <si>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</si>
  <si>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</si>
  <si>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</si>
  <si>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</si>
  <si>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</si>
  <si>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</si>
  <si>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</si>
  <si>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</si>
  <si>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</si>
  <si>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</si>
  <si>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</si>
  <si>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</si>
  <si>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</si>
  <si>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</si>
  <si>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</si>
  <si>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</si>
  <si>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</si>
  <si>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</si>
  <si>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</si>
  <si>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</si>
  <si>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</si>
  <si>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</si>
  <si>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</si>
  <si>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</si>
  <si>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</si>
  <si>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</si>
  <si>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</si>
  <si>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</si>
  <si>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</si>
  <si>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</si>
  <si>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</si>
  <si>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</si>
  <si>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</si>
  <si>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</si>
  <si>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</si>
  <si>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</si>
  <si>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</si>
  <si>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</si>
  <si>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</si>
  <si>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</si>
  <si>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</si>
  <si>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</si>
  <si>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</si>
  <si>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</si>
  <si>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</si>
  <si>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</si>
  <si>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</si>
  <si>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</si>
  <si>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</si>
  <si>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</si>
  <si>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</si>
  <si>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</si>
  <si>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</si>
  <si>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</si>
  <si>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</si>
  <si>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</si>
  <si>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</si>
  <si>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6 a 10 personas</t>
  </si>
  <si>
    <t>2014-12</t>
  </si>
  <si>
    <t>2010-07</t>
  </si>
  <si>
    <t>SAN MIGUEL</t>
  </si>
  <si>
    <t>SAN ANTONIO</t>
  </si>
  <si>
    <t>COLONIA</t>
  </si>
  <si>
    <t>REVOLUCION</t>
  </si>
  <si>
    <t>FRANCISCO I. MADERO</t>
  </si>
  <si>
    <t>EMILIANO ZAPATA</t>
  </si>
  <si>
    <t>11 a 30 personas</t>
  </si>
  <si>
    <t>5 DE MAYO</t>
  </si>
  <si>
    <t>16 DE SEPTIEMBRE</t>
  </si>
  <si>
    <t>MIGUEL HIDALGO Y COSTILLA</t>
  </si>
  <si>
    <t>EJIDO</t>
  </si>
  <si>
    <t>CA├æADA HONDA</t>
  </si>
  <si>
    <t>31 a 50 personas</t>
  </si>
  <si>
    <t>OTRO(ESPECIFIQUE)</t>
  </si>
  <si>
    <t>SIN REFERENCIA</t>
  </si>
  <si>
    <t>UNIDAD HABITACIONAL</t>
  </si>
  <si>
    <t>CIRCUITO</t>
  </si>
  <si>
    <t>(REFOM)-CA├æADA</t>
  </si>
  <si>
    <t>S/D</t>
  </si>
  <si>
    <t>PROFESOR EDMUNDO GAMEZ OROZCO</t>
  </si>
  <si>
    <t>PUEBLO</t>
  </si>
  <si>
    <t>FRACCIONAMIENTO</t>
  </si>
  <si>
    <t>INDEPENDENCIA</t>
  </si>
  <si>
    <t>EJERCITO NACIONAL</t>
  </si>
  <si>
    <t>CARRETERA</t>
  </si>
  <si>
    <t>2020-04</t>
  </si>
  <si>
    <t>101 a 250 personas</t>
  </si>
  <si>
    <t>LOCALIDAD 800</t>
  </si>
  <si>
    <t>LIBERTAD</t>
  </si>
  <si>
    <t>2017-11</t>
  </si>
  <si>
    <t>51 a 100 personas</t>
  </si>
  <si>
    <t>2020-11</t>
  </si>
  <si>
    <t>Sin Referencia</t>
  </si>
  <si>
    <t>OTRO (ESPECIFIQUE)</t>
  </si>
  <si>
    <t>2016-10</t>
  </si>
  <si>
    <t>PROLONGACION</t>
  </si>
  <si>
    <t>CENTRO PONIENTE</t>
  </si>
  <si>
    <t>(ZUFO)- SAN FRANCISCO</t>
  </si>
  <si>
    <t>CONVENCION</t>
  </si>
  <si>
    <t>BOULEVARD</t>
  </si>
  <si>
    <t>ANTONIO DIAZ SOTO Y GAMA</t>
  </si>
  <si>
    <t>MAHATMA GANDHI</t>
  </si>
  <si>
    <t>AGUASCALIENTES SUR</t>
  </si>
  <si>
    <t>INGENIERO CAMILO ARRIAGA</t>
  </si>
  <si>
    <t>INSURGENTES</t>
  </si>
  <si>
    <t>ABRAHAM GONZALEZ</t>
  </si>
  <si>
    <t>GENERAL JULIAN MEDINA</t>
  </si>
  <si>
    <t>SIGLO XXI</t>
  </si>
  <si>
    <t>AVENIDA DE LOS MAESTROS</t>
  </si>
  <si>
    <t>GENERAL MACLOVIO HERRERA</t>
  </si>
  <si>
    <t>Semifijo</t>
  </si>
  <si>
    <t>POCITOS</t>
  </si>
  <si>
    <t>MORELOS</t>
  </si>
  <si>
    <t>CORONEL VALENTE ARTEAGA</t>
  </si>
  <si>
    <t>CERRADA</t>
  </si>
  <si>
    <t>MUJERES ILUSTRES</t>
  </si>
  <si>
    <t>HACIENDA</t>
  </si>
  <si>
    <t>SAN MARCOS</t>
  </si>
  <si>
    <t>AGUASCALIENTES PONIENTE</t>
  </si>
  <si>
    <t>HEROE DE NACOZARI NORTE</t>
  </si>
  <si>
    <t>CENTRO ORIENTE</t>
  </si>
  <si>
    <t>(ZUFO)-ARELLANO</t>
  </si>
  <si>
    <t>HVROE DE NACOZARI NORTE</t>
  </si>
  <si>
    <t>PROFESOR JOSE REYES MARTINEZ</t>
  </si>
  <si>
    <t>JESUS CONSUELO</t>
  </si>
  <si>
    <t>INGENIERO TOMAS MEDINA UGARTE</t>
  </si>
  <si>
    <t>MELQUIADES MORENO</t>
  </si>
  <si>
    <t>GENERAL IGNACIO ZARAGOZA</t>
  </si>
  <si>
    <t>CONDOMINIO</t>
  </si>
  <si>
    <t>PALMA</t>
  </si>
  <si>
    <t>CONVENCION DE 1914 NORTE</t>
  </si>
  <si>
    <t>GENERAL EMILIANO ZAPATA</t>
  </si>
  <si>
    <t>LICENCIADO ADOLFO LOPEZ MATEOS PONIENTE</t>
  </si>
  <si>
    <t>RIO NILO</t>
  </si>
  <si>
    <t>CARLOS SAGREDO</t>
  </si>
  <si>
    <t>AGUASCALIENTES NORTE</t>
  </si>
  <si>
    <t>ASIENTOS</t>
  </si>
  <si>
    <t>ANTIGUO CAMINO A SAN IGNACIO</t>
  </si>
  <si>
    <t>UNIVERSIDAD</t>
  </si>
  <si>
    <t>SAN CLEMENTE</t>
  </si>
  <si>
    <t>RIO ARNO</t>
  </si>
  <si>
    <t>INSTITUTO DE EDUCACION DE AGUASCALIENTES</t>
  </si>
  <si>
    <t>PASEO DEL RIO</t>
  </si>
  <si>
    <t>(ZUFO)-AYUNTAMIENTO</t>
  </si>
  <si>
    <t>CONVENCION DE 1914 SUR</t>
  </si>
  <si>
    <t>PASEO JUAN DE TOLOSA</t>
  </si>
  <si>
    <t>CONVENCI N DE 1914 SUR</t>
  </si>
  <si>
    <t>CRISTOBAL COLON</t>
  </si>
  <si>
    <t>JARDIN DE LA ESTACION</t>
  </si>
  <si>
    <t>JARDIN DE ZARAGOZA</t>
  </si>
  <si>
    <t>DOCTOR JESUS DIAZ DE LEON</t>
  </si>
  <si>
    <t>PAUL HARRIS</t>
  </si>
  <si>
    <t>LOS VALADEZ</t>
  </si>
  <si>
    <t>JOSE MARIA CHAVEZ</t>
  </si>
  <si>
    <t>REPUBLICA DE VENEZUELA</t>
  </si>
  <si>
    <t>LAS AMERICAS</t>
  </si>
  <si>
    <t>REPLBLICA DE NICARAGUA</t>
  </si>
  <si>
    <t>GRANADA</t>
  </si>
  <si>
    <t>BOGOTA</t>
  </si>
  <si>
    <t>LAS AMARICAS</t>
  </si>
  <si>
    <t>BRASILIA</t>
  </si>
  <si>
    <t>REPUBLICA DEL SALVADOR</t>
  </si>
  <si>
    <t>MONTEVIDEO</t>
  </si>
  <si>
    <t>REPUBLICA DE ECUADOR</t>
  </si>
  <si>
    <t>REPLBLICA DE URUGUAY</t>
  </si>
  <si>
    <t>REPLBLICA DE HAITZ</t>
  </si>
  <si>
    <t>RepLblica del Salvador</t>
  </si>
  <si>
    <t>CHICH</t>
  </si>
  <si>
    <t>HEROE DE NACOZARI SUR</t>
  </si>
  <si>
    <t>(ZUFO)-CENTRO</t>
  </si>
  <si>
    <t>PODER LEGISLATIVO</t>
  </si>
  <si>
    <t>5 DE FEBRERO</t>
  </si>
  <si>
    <t>GENERAL ALVARO OBREGON</t>
  </si>
  <si>
    <t>VAZQUEZ DEL MERCADO</t>
  </si>
  <si>
    <t>PEDRO PARGA</t>
  </si>
  <si>
    <t>LICENCIADO ADOLFO LOPEZ MATEOS ORIENTE</t>
  </si>
  <si>
    <t>FRANCISCO G. HORNEDO</t>
  </si>
  <si>
    <t>LA LUNA</t>
  </si>
  <si>
    <t>3 DE MAYO</t>
  </si>
  <si>
    <t>HEROICO COLEGIO MILITAR</t>
  </si>
  <si>
    <t>PASEO DE LA CRUZ</t>
  </si>
  <si>
    <t>JUAN DE MONTORO</t>
  </si>
  <si>
    <t>J. REFUGIO VELAZCO</t>
  </si>
  <si>
    <t>2012-06</t>
  </si>
  <si>
    <t>PEDRO PARGA NO. 325</t>
  </si>
  <si>
    <t>LICENCIADO FRANCISCO PRIMO VERDAD</t>
  </si>
  <si>
    <t>DURANGO</t>
  </si>
  <si>
    <t>PEDRO PARGA NO.322</t>
  </si>
  <si>
    <t>RAMON LOPEZ VELARDE</t>
  </si>
  <si>
    <t>CALLE DE LA CRUZ</t>
  </si>
  <si>
    <t>PROFESOR FRANCISCO MELCHOR</t>
  </si>
  <si>
    <t>GENERAL GUADALUPE VICTORIA</t>
  </si>
  <si>
    <t>PRIVADA ARQUITECTOS</t>
  </si>
  <si>
    <t>PRIVADA CATALINA DE AYALA</t>
  </si>
  <si>
    <t>CARLOS A. SALAS</t>
  </si>
  <si>
    <t>LICENCIADO ADOLFO LSPEZ MATEOS PONIENTE</t>
  </si>
  <si>
    <t>LERDO DE TEJEDA</t>
  </si>
  <si>
    <t>16 de Septiembre</t>
  </si>
  <si>
    <t>RAMVN L</t>
  </si>
  <si>
    <t>RIVERO Y GUTIERREZ</t>
  </si>
  <si>
    <t>GALEANA SUR</t>
  </si>
  <si>
    <t>ANTONIO ARIAS BERNAL</t>
  </si>
  <si>
    <t>JESUS F. CONTRERAS</t>
  </si>
  <si>
    <t>GENERAL IGNACIO ALLENDE</t>
  </si>
  <si>
    <t>ALARCON</t>
  </si>
  <si>
    <t>REPLBLICA DE ECUADOR</t>
  </si>
  <si>
    <t>CERRADA DE RAMOS</t>
  </si>
  <si>
    <t>SANTA ANITA</t>
  </si>
  <si>
    <t>URBANISMO</t>
  </si>
  <si>
    <t>FRACCION</t>
  </si>
  <si>
    <t>OJOCALIENTE</t>
  </si>
  <si>
    <t>EDUCACION</t>
  </si>
  <si>
    <t>(ZUFO)-DON PASCUAL PONIENTE</t>
  </si>
  <si>
    <t>PRESIDENTES</t>
  </si>
  <si>
    <t>ESFUERZO NACIONAL</t>
  </si>
  <si>
    <t>MOLINO</t>
  </si>
  <si>
    <t>MINEROS</t>
  </si>
  <si>
    <t>PASTORES</t>
  </si>
  <si>
    <t>RETORNO</t>
  </si>
  <si>
    <t>(ZUFO)-EL CEDAZO</t>
  </si>
  <si>
    <t>PASAJE</t>
  </si>
  <si>
    <t>GLORIETA DON QUIJOTE</t>
  </si>
  <si>
    <t>ARTILLERO MIER</t>
  </si>
  <si>
    <t>TECNOLOGICO</t>
  </si>
  <si>
    <t>(ZUFO)-FERROCARRIL</t>
  </si>
  <si>
    <t>PARQUE VIA</t>
  </si>
  <si>
    <t>NAZARIO ORTIZ GARZA</t>
  </si>
  <si>
    <t>AGUASCALIENTES</t>
  </si>
  <si>
    <t>(ZUFO)-INDUSTRIAL</t>
  </si>
  <si>
    <t>Mahatma Gandhi</t>
  </si>
  <si>
    <t>ENRIQUE OLIVARES SANTANA</t>
  </si>
  <si>
    <t>LUIS DONALDO COLOSIO</t>
  </si>
  <si>
    <t>JOSEMARIA ESCRIVA DE BALAGUER</t>
  </si>
  <si>
    <t>JOSL MARDA CHRVEZ</t>
  </si>
  <si>
    <t>(ZUFO)-OJOCALIENTE</t>
  </si>
  <si>
    <t>GUADALUPE GONZALEZ</t>
  </si>
  <si>
    <t>(ZUFO)-SAN PEDRO NORTE</t>
  </si>
  <si>
    <t>(ZUFO)-SAN PEDRO SUR</t>
  </si>
  <si>
    <t>JUAN PABLO II</t>
  </si>
  <si>
    <t>HEROES DE CHAPULTEPEC</t>
  </si>
  <si>
    <t>SAN JULIAN</t>
  </si>
  <si>
    <t>(ZUFO)-UNIVERSIDAD</t>
  </si>
  <si>
    <t>MONTES HIMALAYA</t>
  </si>
  <si>
    <t>MONTE EVEREST</t>
  </si>
  <si>
    <t>POTREROS</t>
  </si>
  <si>
    <t>VALLE DE GUADALUPE</t>
  </si>
  <si>
    <t>SIERRA DEL LAUREL</t>
  </si>
  <si>
    <t>CERRO DE LA BUFA</t>
  </si>
  <si>
    <t>TERCERA PRIVADA INDEPENDENCIA</t>
  </si>
  <si>
    <t>SEGUNDA</t>
  </si>
  <si>
    <t>EL MOLINO</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</si>
  <si>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</si>
  <si>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</si>
  <si>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</si>
  <si>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</si>
  <si>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</si>
  <si>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</si>
  <si>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</si>
  <si>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</si>
  <si>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</si>
  <si>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</si>
  <si>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</si>
  <si>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</si>
  <si>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2018-03</t>
  </si>
  <si>
    <t>RepLblica Mexicana</t>
  </si>
  <si>
    <t>CONVENCIpN DE 1914 PONIENTE</t>
  </si>
  <si>
    <t>COATZACOALCOS</t>
  </si>
  <si>
    <t>G MUNICIPIO AGUASCALIENTES</t>
  </si>
  <si>
    <t>HERNANDO MARTELL</t>
  </si>
  <si>
    <t>Josefa Ortiz de DomSnguez</t>
  </si>
  <si>
    <t>JARDEN DE LA ALAMEDA</t>
  </si>
  <si>
    <t>JOSN MAR A CHoVEZ</t>
  </si>
  <si>
    <t>RIO DE JANEIRO</t>
  </si>
  <si>
    <t>HernEn GonzClez</t>
  </si>
  <si>
    <t>Convencion de 1914 Sur</t>
  </si>
  <si>
    <t>Doctor E. Gonzclez Medina</t>
  </si>
  <si>
    <t>Francisco G. Hornedo</t>
  </si>
  <si>
    <t>Durango</t>
  </si>
  <si>
    <t>Licenciado Francisco Primo Verdad</t>
  </si>
  <si>
    <t>MUJER MEXICANA</t>
  </si>
  <si>
    <t>PENSADOR MEXICANO</t>
  </si>
  <si>
    <t>5 de Febrero</t>
  </si>
  <si>
    <t>Pedro Parga</t>
  </si>
  <si>
    <t>Wasco</t>
  </si>
  <si>
    <t>General Guadalupe Victoria</t>
  </si>
  <si>
    <t>Francisco Javier Mina</t>
  </si>
  <si>
    <t>GENERAL CLVARO OBREGAN</t>
  </si>
  <si>
    <t>ENRIQUE FERNADEZ LEDESMA</t>
  </si>
  <si>
    <t>General Ignacio Allende</t>
  </si>
  <si>
    <t>Moctezuma</t>
  </si>
  <si>
    <t>INSTITUTO CULTURAL DE AGUASCALIENTES</t>
  </si>
  <si>
    <t>AGUSTNN LOERA Y CHSVEZ</t>
  </si>
  <si>
    <t>SERGIO A. ESPINOZA GURROLA</t>
  </si>
  <si>
    <t>TULUM</t>
  </si>
  <si>
    <t>JOSL MARDA CHAVEZ</t>
  </si>
  <si>
    <t>Urbanismo</t>
  </si>
  <si>
    <t>Salud</t>
  </si>
  <si>
    <t>Eugenio Garza Sada</t>
  </si>
  <si>
    <t>PASEO DE SAN TELMO</t>
  </si>
  <si>
    <t>SALVADOR GALLARDO</t>
  </si>
  <si>
    <t>CERRO DEL LAUREL</t>
  </si>
  <si>
    <t>NO SE REPORTO ENTRE VIALIDADES</t>
  </si>
  <si>
    <t>CATALINA DE AYALA</t>
  </si>
  <si>
    <t>UNIVERSIDAD AUTONOMA DE AGUASCALIENTES</t>
  </si>
  <si>
    <t>AGS.GOB.MX</t>
  </si>
  <si>
    <t>PUBLICO</t>
  </si>
  <si>
    <t>ESCUELA NORMAL RURAL JUSTO SIERRA MENDEZ T-MIXTO</t>
  </si>
  <si>
    <t>IEA</t>
  </si>
  <si>
    <t>CENTRO REGIONAL DE EDUCACION NORMAL DE AGUASCALIENTES CRENA</t>
  </si>
  <si>
    <t>CRENA_1972@LIVE.COM.MX</t>
  </si>
  <si>
    <t>WWW.CRENA.EDU.MX</t>
  </si>
  <si>
    <t>UNIVERSIDAD PEDAGOGICA NACIONAL UNIDAD 011 AGUASCALIENTES</t>
  </si>
  <si>
    <t>ORLANDO.CORONEL@IEA.EDU.MX</t>
  </si>
  <si>
    <t>WWW.IEA.EDU.MX</t>
  </si>
  <si>
    <t>WWW.UAA.MX</t>
  </si>
  <si>
    <t>ESCUELA SUPERIOR DE PR0TESIS DENTAL</t>
  </si>
  <si>
    <t>ESCUELA SUPERIOR DE PROTESIS DENTAL AC</t>
  </si>
  <si>
    <t>ESPRODE@YAHOO.COM</t>
  </si>
  <si>
    <t>CENTRO DE ESTUDIOS DE POSGRADO</t>
  </si>
  <si>
    <t>UNITEC ACADEMY</t>
  </si>
  <si>
    <t>UNITED.ACADEMY</t>
  </si>
  <si>
    <t>ISSADEINSTITUTO SUPERIOR DE SISTEMA ABIERTO DE ENSErANZA</t>
  </si>
  <si>
    <t>SA DE AGUASCALIENTES</t>
  </si>
  <si>
    <t>SADEAGS@PRODIGI.NET.MX</t>
  </si>
  <si>
    <t>UNID SEDE AGUASCALIENTES</t>
  </si>
  <si>
    <t>UNIVERSIDAD DEL TERCER MILENIO SC</t>
  </si>
  <si>
    <t>Avenida de los Arellano</t>
  </si>
  <si>
    <t>Prolongaci n Doctor Salvador Quezada Limrn</t>
  </si>
  <si>
    <t>Vistahermosa</t>
  </si>
  <si>
    <t>AGUASCALIENTES@UNID.MX</t>
  </si>
  <si>
    <t>WWW.UNID.EDU.MX</t>
  </si>
  <si>
    <t>COLEGIO MEXICANO DE TERAPEUTAS PROFECIONALES EN MASAJE Y ENFERMERIA HOLISTICA</t>
  </si>
  <si>
    <t>COLEGIODEMASAJE INSTITUTO AG EDUCACION AG AGUASCALIENTES</t>
  </si>
  <si>
    <t>AGUASCALIENTES@COLEGIODEMASAJE.COM</t>
  </si>
  <si>
    <t>WWW.COLEGIODEINTERNET.COM</t>
  </si>
  <si>
    <t>TECNOLOGICO PROFESIONAL EN HOTELERIA Y RESTAURANTES HUGO ALBERTO MEDRANO PARADA</t>
  </si>
  <si>
    <t>GMAIL INSTITUTO GA EDUCACION GA AGUASCALIENTES</t>
  </si>
  <si>
    <t>MEDRANO</t>
  </si>
  <si>
    <t>GASTRONOMIAHM@GMAIL.COM</t>
  </si>
  <si>
    <t>WWW.TECNOLOGICOENGASTRONOMIA.COM</t>
  </si>
  <si>
    <t>INSTITUTO DE CIENCIAS HUMANIDADES Y TECNOLOGIAS DE GUANAJUATO</t>
  </si>
  <si>
    <t>CALLCENTER@ICYTEG.EDU.MX</t>
  </si>
  <si>
    <t>WWW.ICYTEG.EDEU.MX</t>
  </si>
  <si>
    <t>251 y mss personas</t>
  </si>
  <si>
    <t>RED UNIVERCOM HUMANISTAS DORADO</t>
  </si>
  <si>
    <t>RED UNIVERCOM SC</t>
  </si>
  <si>
    <t>MARGARITA.SOLIS@REDALIAT.MX</t>
  </si>
  <si>
    <t>UNIVERSIDAD CUAUHTEMOC ESCUELA DE NEGOCIOS</t>
  </si>
  <si>
    <t>UNIVERSIDAD CUAUHT MOC SC</t>
  </si>
  <si>
    <t>UNIVERSIDAD DE LEON</t>
  </si>
  <si>
    <t>EDUCACION E INVESTIGACION LEON SC</t>
  </si>
  <si>
    <t>UDL_PLANTEL_AGS@HOTMAIL.COM</t>
  </si>
  <si>
    <t>ESTACIONAMIENTO UNIDEP</t>
  </si>
  <si>
    <t>UNIVERSIDAD DEL DESARROLLO PROFESIONAL SC</t>
  </si>
  <si>
    <t>JOSUE.SALINASR@UNIDEP.EDU.MX</t>
  </si>
  <si>
    <t>WWW.UNIDEP.MX</t>
  </si>
  <si>
    <t>CENTRO DE ESTUDIOS SUPERIORES DEL ESTADO DE AGUASCALIENTES</t>
  </si>
  <si>
    <t>UNIVERSIDAD MEXICA DEL TERCER MILENIO SC</t>
  </si>
  <si>
    <t>CESEA2001@GMAIL.COM</t>
  </si>
  <si>
    <t>WWW.CESEA.EDU.MX</t>
  </si>
  <si>
    <t>UNIDEP AGUASCALIENTES</t>
  </si>
  <si>
    <t>JOSN MARsA CHsVEZ</t>
  </si>
  <si>
    <t>COLEGIO LATINOAMERICANO DE EDUCACION AVANZADA</t>
  </si>
  <si>
    <t>COLEGIO LATINOAMERICANO DE EDUCACION AVANZADA AC</t>
  </si>
  <si>
    <t>INFORMES@CLEA.EDU.MX</t>
  </si>
  <si>
    <t>WWW.CLEA.EDU.MX</t>
  </si>
  <si>
    <t>UNIVERSIDAD VILLA ASUNCION</t>
  </si>
  <si>
    <t>CORPORACION EDUCATIVA AGUASCALIENTES AC</t>
  </si>
  <si>
    <t>BERTHA.REYES@UVAS.EDU.MX</t>
  </si>
  <si>
    <t>ESCUELA DE NEGOCIOS UNIVERSIDAD CUAUHTEMOC</t>
  </si>
  <si>
    <t>UNIVERSIDAD CUAUHTEMOC PLANTEL AGUASCALIENTES SC</t>
  </si>
  <si>
    <t>DIRECCION.EDN@UCUAUHTEMOC.EDU.MX</t>
  </si>
  <si>
    <t>WWW.UCUAUHTEMOC.EDU.MX</t>
  </si>
  <si>
    <t>CENTRO DE INVESTIGACION EN MATEMATICAS CIMAT</t>
  </si>
  <si>
    <t>CENTRO DE INVESTIGACIONES DE MATEMATICAS</t>
  </si>
  <si>
    <t>FRAY BARTOLOMn DE LAS CASAS</t>
  </si>
  <si>
    <t>CENTRO DE CIENCIAS SOCIALES Y HUMANIDADES</t>
  </si>
  <si>
    <t>DESPACHO JURIDICO UNIVERSIDAD AUTONOMA DE AGUASCALIENTES</t>
  </si>
  <si>
    <t>RGONZAM@CORREO.UAA.MX</t>
  </si>
  <si>
    <t>WWW.UAA.MX/DIRECCIONES/CCU</t>
  </si>
  <si>
    <t>UNIVERSIDAD TECNOLOGICA METROPOLITANA DE  AGUASCALIENTES</t>
  </si>
  <si>
    <t>UNIVERSIDAD TECNOLOGICA METROPOLITANA DE AGUASCALIENTES</t>
  </si>
  <si>
    <t>ANIVERSIDAD AUTONOMA DE AGUASCALIENTES</t>
  </si>
  <si>
    <t>FORMAPROFE@CORREO.UAA.MX</t>
  </si>
  <si>
    <t>WWW.UAA.MX/DIRECCIONES/DGDP/DEFEAA</t>
  </si>
  <si>
    <t>UNIVERSIDAD DE LAS ARTES</t>
  </si>
  <si>
    <t>WWW.UNIVECIDADDELASARTES.GOB.MX//CULTURA/</t>
  </si>
  <si>
    <t>DEPARTAMENTO DE ARTES ESCENICAS Y AUDIOVISUALES DE LA UNIVERSIDAD AUTOMA DE AGUASCALIENTES</t>
  </si>
  <si>
    <t>MARIANA.TORRES@EDU.UAA.MX</t>
  </si>
  <si>
    <t>DEPARTAMENTO DE M0SICA DE LA UNIVERSIDAD AUTONOMA DE AGUASCALIENTES</t>
  </si>
  <si>
    <t>PLVARO OBREGON</t>
  </si>
  <si>
    <t>GBARAJAS@CORREO.UAA.MZ</t>
  </si>
  <si>
    <t>CENTRO DE ESTUDIOS AERONAUTICOS ALAS DORADAS</t>
  </si>
  <si>
    <t>CENTRO DE ESTUDIOS AERONAUTICOS ALAS DORADAS S DE RL DE CV</t>
  </si>
  <si>
    <t>REQUEL.ALEMAN@FORMACIONLASDORADAS.COM</t>
  </si>
  <si>
    <t>INSTITUTO CULINARIO MEXICO EUROPEO</t>
  </si>
  <si>
    <t>SOYCHEFSOYICUME@GMAIL.COM</t>
  </si>
  <si>
    <t>INSTITUTO DE PSICOTERAPIAS HUMANrSTAS</t>
  </si>
  <si>
    <t>INSTITUTO DE PSICOTERAPIAS HUMANISTAS SC</t>
  </si>
  <si>
    <t>IPH.ADMON.2014@HOTMAIL.COM</t>
  </si>
  <si>
    <t>GRUPO ISIMA AGUASCALIENTES</t>
  </si>
  <si>
    <t>GRUPO ISIMA SC</t>
  </si>
  <si>
    <t>LICENCIADO ADOLFO LLPEZ MATEOS PONIENTE</t>
  </si>
  <si>
    <t>JUANJOSEBG@ISIMA.COM.MX</t>
  </si>
  <si>
    <t>WWW.ISIMA.COM.MX</t>
  </si>
  <si>
    <t>UNIVERSIDAD BRITANICA</t>
  </si>
  <si>
    <t>ASOCIACION BRITANICA DE EDUCACION Y CULTURAL AC</t>
  </si>
  <si>
    <t>VAzquez del Mercado</t>
  </si>
  <si>
    <t>WWW.UNIVERSIDADBRITANICA.COM</t>
  </si>
  <si>
    <t>UNIVERSIDAD LAS AMERICAS</t>
  </si>
  <si>
    <t>ASOCIACIDN LAS AMERICAS PARA LA CULTURA LA CAPACITACION Y LA EDUCACION MEDIA SUPERIOR SC</t>
  </si>
  <si>
    <t>Licenciado Adolfo LIpez Mateos Poniente</t>
  </si>
  <si>
    <t>CIENCIA APLICADA</t>
  </si>
  <si>
    <t>INSTITUTO CIENCIA APLICADA SC</t>
  </si>
  <si>
    <t>CIENCIA.APLICADA@HOTMAIL.COM</t>
  </si>
  <si>
    <t>INSTITUTO PREUNIVERSITARIO MOTOLINIA DE LEON AGUASCALIENTES</t>
  </si>
  <si>
    <t>INSTITUTO PREUNIVERSITARIO MOTOLINIA DE LEON AC</t>
  </si>
  <si>
    <t>ES.CONTABILIDAD.5@EDUCEM.MX</t>
  </si>
  <si>
    <t>WWW.EDUCEM.MX</t>
  </si>
  <si>
    <t>ASOCIACION BRITANICA DE EDUCACION Y CULTURA AC</t>
  </si>
  <si>
    <t>WWW.UNIVERSIDADBRITANICA</t>
  </si>
  <si>
    <t>ESCUELA DE MECANICA DIESEL Y GASOLINA CEDVA AGUASCALIENTES</t>
  </si>
  <si>
    <t>CENTRO TECNOLOGICO BEETHOVEN SC</t>
  </si>
  <si>
    <t>DIRECCION.AGS@GRUPOCEDVA.COM</t>
  </si>
  <si>
    <t>WWW.GRUPOCEDVA.COM</t>
  </si>
  <si>
    <t>DELTA MEXICO ESCUELA DE AVIACION</t>
  </si>
  <si>
    <t>DELTA MEXICO ESCUELA DE AVIACION SA DE CV</t>
  </si>
  <si>
    <t>HOLA@MEXICODELTAMEXICOAVIACION.COM</t>
  </si>
  <si>
    <t>WWW.DELTAMEXICOESCUELADEAVIACION.COM</t>
  </si>
  <si>
    <t>INSTITUTO TECNICO DENTAL</t>
  </si>
  <si>
    <t>INSTITUTOTECD@HOTMAIL.COM</t>
  </si>
  <si>
    <t>WWW.INSTITUTOTECNICODENTAL.COM</t>
  </si>
  <si>
    <t>UNIVERSIDAD DE LA CIUDAD DE AGUASCALIENTES</t>
  </si>
  <si>
    <t>UNIVERSIDAD DE LA CIUDAD DE AGUASCALIENTES AC</t>
  </si>
  <si>
    <t>INFORMES@UAGS.EDU.MX</t>
  </si>
  <si>
    <t>CENTRO DE ESTUDIOS PSICOANALITICOS MEXICANO DE AGUASCALIENTES</t>
  </si>
  <si>
    <t>CENTRO DE ESTUDIOS PSICOANALITICOS MEXICANO DE AGUASCALIENTES AC</t>
  </si>
  <si>
    <t>CEPSIMACAGS@YAHOO.COM.MX</t>
  </si>
  <si>
    <t>RED UNIVERCOM</t>
  </si>
  <si>
    <t>MARGARITA.SOLIS@REALIAT.MX</t>
  </si>
  <si>
    <t>CENTRO UNIVERSITARIO DE INVESTIGACION DE CIENCIAS DE LA SALUD</t>
  </si>
  <si>
    <t>CENTRO UNIVERSITARIO DE INVESTIGACION DE CIENCIAS DE LA SALUD AC</t>
  </si>
  <si>
    <t>UNIVERSIDAD GALILEA</t>
  </si>
  <si>
    <t>UNIVERSIDAD GALILEA AC</t>
  </si>
  <si>
    <t>ESCUELA NORMAL DE AGUASCALIENTES</t>
  </si>
  <si>
    <t>ENA@NORMAL-DE-AGUASCALIENTES.EDU.MX</t>
  </si>
  <si>
    <t>WWW.AGUASCALIENTES.GOB.MX/ENA</t>
  </si>
  <si>
    <t>INSTITUTO TECNOLOGICO DE AGUASCALIENTES</t>
  </si>
  <si>
    <t>SECRETARIA DE EDUCACION PABLICA</t>
  </si>
  <si>
    <t>ALEJANDERO77@GMAIL.COM</t>
  </si>
  <si>
    <t>WWW.ITA.MX</t>
  </si>
  <si>
    <t>ACADEMIA DE POLICIA MUNICIPAL</t>
  </si>
  <si>
    <t>PRESIDENCIA MUNICIPAL DE AGUASCALIENTES</t>
  </si>
  <si>
    <t>ESCUELA NORMAL SUPERIOR FEDERAL DE AGUASCALIENTES</t>
  </si>
  <si>
    <t>UNIVERSIDAD POLITECNICA DE AGUASCALIENTES</t>
  </si>
  <si>
    <t>SAM GERARDO</t>
  </si>
  <si>
    <t>UNIVERSIDAD AUTONOMA DE AGUASCALIENTES CAMPUS SUR</t>
  </si>
  <si>
    <t>UNIVERSIDAD DINAMO DE AMERICA</t>
  </si>
  <si>
    <t>UNIVERSIDAD DINAMO DE AMERICA AC</t>
  </si>
  <si>
    <t>UNIVERSIDAD.DINAMO@GMAIL.COM</t>
  </si>
  <si>
    <t>UNIVERSIDAD PANAMERICANA CAMPUS BONA TERRA</t>
  </si>
  <si>
    <t>APEDROZA@UP.EDU.MX</t>
  </si>
  <si>
    <t>WWW.UP.EDU.MX</t>
  </si>
  <si>
    <t>UNIVERSIDAD CUAUHTEMOC PLANTEL AGUASCALIENTES</t>
  </si>
  <si>
    <t>SRUIZ@CORPORATIVOMB.MX</t>
  </si>
  <si>
    <t>ESTACIONAMIENTO UCA</t>
  </si>
  <si>
    <t>ESCUELA BANCARIA Y COMERCIAL</t>
  </si>
  <si>
    <t>ESCUELA BANCARIA Y COMERCIAL SC</t>
  </si>
  <si>
    <t>Guadalupe Gonz</t>
  </si>
  <si>
    <t>DA.EUDAVE@EBC.EDU.MX</t>
  </si>
  <si>
    <t>WWW.EBC.MX</t>
  </si>
  <si>
    <t>CIDE Aguascalientes</t>
  </si>
  <si>
    <t>CIDE CENTRO DE INVESTIGACION Y DOCENCIA ECONOMICAS</t>
  </si>
  <si>
    <t>TECNOPOLO NORTE</t>
  </si>
  <si>
    <t>ricardo.gonzalez@cide.edu</t>
  </si>
  <si>
    <t>UNIVERSIDAD DEL VALLE DE MEXICO</t>
  </si>
  <si>
    <t>UVM EDUCACION SC</t>
  </si>
  <si>
    <t>PORTA CANTERAS</t>
  </si>
  <si>
    <t>ESTACIONAMIENTO DE LA UNIVERSIDAD CUAHUTEMOC</t>
  </si>
  <si>
    <t>UNIVERSIDAD CUAHUTEMOC</t>
  </si>
  <si>
    <t>JAGUILAR@CORREO.UAA.MX</t>
  </si>
  <si>
    <t>INSTITUTO ESCADIA</t>
  </si>
  <si>
    <t>FORMACITN Y CAPACITACION COORPORATIVA SC</t>
  </si>
  <si>
    <t>WWW.ESCADIA.MX</t>
  </si>
  <si>
    <t>INSTITUTO TECNOLOGICO Y DE ESTUDIOS SUPERIORES DE MONTERREY CAMPUS AGUASCALIENTES POCITOS</t>
  </si>
  <si>
    <t>INSTITUTO TECNOLOGICO Y DE ESTUDIOS SUPERIORES DE MONTERREY</t>
  </si>
  <si>
    <t>MILTON.MARQUEZ@TEC.MX</t>
  </si>
  <si>
    <t>TEC.MX/ES</t>
  </si>
  <si>
    <t>UNIVERSIDAD PANAMERICANA</t>
  </si>
  <si>
    <t>BONATERRA AC</t>
  </si>
  <si>
    <t>WWW.UPEDU.MX</t>
  </si>
  <si>
    <t>UNIVERSIDAD AUTONOMA DE DURANGO CAMPUS AGUASCALIENTES</t>
  </si>
  <si>
    <t>FOMENTO EDUCATIVO Y CULTURAL FRANCISCO DE IBARRA AC</t>
  </si>
  <si>
    <t>AUX_CONTABILIDAD@UAD.MX</t>
  </si>
  <si>
    <t>WWW.UAD.MX</t>
  </si>
  <si>
    <t>INSTITUTO SUPERIOR UNIVA UNIVERSIDAD DEL VALLE DE ATEMAJAC</t>
  </si>
  <si>
    <t>INSTITUTO SUPERIOR AUTONOMO OCCIDENTAL</t>
  </si>
  <si>
    <t>LUIS.VILLAVICENCIO@UNIVA.MX</t>
  </si>
  <si>
    <t>UNIVERSIDAD PONTIFICIA DE MEXICO CAMPOS AGUASCALIENTES</t>
  </si>
  <si>
    <t>UNIVERSIDAD PONTIFICIA DE MEXICO AC</t>
  </si>
  <si>
    <t>Escuelas de educacion superior del sector privado</t>
  </si>
  <si>
    <t>Escuelas de educacion superior del sector publico</t>
  </si>
  <si>
    <t>Escuelas de educacion tecnica superior del sector privado</t>
  </si>
  <si>
    <t>Escuelas de educacion tecnica superior del sector publico</t>
  </si>
  <si>
    <t>LA CLASIFICACIÓN DE ELEMENTOS ESTÁ BASADA EN EL SISTEMA NORMATIVO DE EQUIPAMIENTO URBANO DE LA SEDESOL FEDERAL, SUBSISTEMA EDUCACIÓN. LA INTEGRACIÓN FUE REALIZADA POR EL IMPLAN CON INFORMACIÓN DEL DIRECTORIO ESTADISTICO NACIONAL DE UNIDADES ECONOMICAS (INEGI)</t>
  </si>
  <si>
    <t>EU_ EDUCACIÓN SUPERIOR</t>
  </si>
  <si>
    <t>UBICACIÓN DE SITIOS DE EDUCACIÓN SUPERIOR</t>
  </si>
  <si>
    <t>CVE (1-72)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</si>
</sst>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123265</xdr:rowOff>
    </xdr:from>
    <xdr:to>
      <xdr:col>2</xdr:col>
      <xdr:colOff>5093859</xdr:colOff>
      <xdr:row>1</xdr:row>
      <xdr:rowOff>526678</xdr:rowOff>
    </xdr:to>
    <xdr:grpSp>
      <xdr:nvGrpSpPr>
        <xdr:cNvPr id="3" name="Grupo 2"/>
        <xdr:cNvGrpSpPr/>
      </xdr:nvGrpSpPr>
      <xdr:grpSpPr>
        <a:xfrm>
          <a:off x="257735"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73" totalsRowShown="0" headerRowDxfId="28">
  <autoFilter ref="A1:AB73"/>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H6" sqref="H6"/>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2"/>
      <c r="C1" s="32"/>
    </row>
    <row r="2" spans="2:4" ht="50.25" customHeight="1" thickBot="1">
      <c r="B2" s="32"/>
      <c r="C2" s="32"/>
    </row>
    <row r="3" spans="2:4" ht="18.75" thickBot="1">
      <c r="B3" s="33" t="s">
        <v>509</v>
      </c>
      <c r="C3" s="34"/>
    </row>
    <row r="4" spans="2:4">
      <c r="B4" s="8"/>
      <c r="C4" s="8"/>
    </row>
    <row r="5" spans="2:4" ht="15.75">
      <c r="B5" s="35" t="s">
        <v>0</v>
      </c>
      <c r="C5" s="35"/>
      <c r="D5" s="9"/>
    </row>
    <row r="6" spans="2:4">
      <c r="B6" s="10" t="s">
        <v>2</v>
      </c>
      <c r="C6" s="11" t="s">
        <v>508</v>
      </c>
    </row>
    <row r="7" spans="2:4" ht="24.75" customHeight="1">
      <c r="B7" s="10" t="s">
        <v>3</v>
      </c>
      <c r="C7" s="12" t="s">
        <v>1</v>
      </c>
    </row>
    <row r="8" spans="2:4">
      <c r="B8" s="10" t="s">
        <v>4</v>
      </c>
      <c r="C8" s="11" t="s">
        <v>5</v>
      </c>
    </row>
    <row r="9" spans="2:4">
      <c r="B9" s="10" t="s">
        <v>6</v>
      </c>
      <c r="C9" s="11" t="s">
        <v>7</v>
      </c>
    </row>
    <row r="10" spans="2:4">
      <c r="B10" s="10" t="s">
        <v>8</v>
      </c>
      <c r="C10" s="11" t="s">
        <v>256</v>
      </c>
    </row>
    <row r="11" spans="2:4">
      <c r="B11" s="10" t="s">
        <v>9</v>
      </c>
      <c r="C11" s="11" t="s">
        <v>255</v>
      </c>
    </row>
    <row r="12" spans="2:4">
      <c r="B12" s="10" t="s">
        <v>10</v>
      </c>
      <c r="C12" s="11" t="s">
        <v>11</v>
      </c>
    </row>
    <row r="13" spans="2:4" ht="39">
      <c r="B13" s="13" t="s">
        <v>12</v>
      </c>
      <c r="C13" s="12" t="s">
        <v>507</v>
      </c>
    </row>
    <row r="14" spans="2:4">
      <c r="B14" s="8"/>
      <c r="C14" s="8"/>
    </row>
    <row r="15" spans="2:4" ht="16.5" thickBot="1">
      <c r="B15" s="35" t="s">
        <v>13</v>
      </c>
      <c r="C15" s="35"/>
    </row>
    <row r="16" spans="2:4" ht="18">
      <c r="B16" s="14" t="s">
        <v>14</v>
      </c>
      <c r="C16" s="15" t="s">
        <v>15</v>
      </c>
    </row>
    <row r="17" spans="2:12">
      <c r="B17" s="1" t="s">
        <v>16</v>
      </c>
      <c r="C17" s="2" t="s">
        <v>230</v>
      </c>
    </row>
    <row r="18" spans="2:12">
      <c r="B18" s="1" t="s">
        <v>17</v>
      </c>
      <c r="C18" s="3" t="s">
        <v>230</v>
      </c>
      <c r="G18"/>
      <c r="H18"/>
      <c r="I18"/>
      <c r="J18"/>
      <c r="K18"/>
    </row>
    <row r="19" spans="2:12">
      <c r="B19" s="1" t="s">
        <v>18</v>
      </c>
      <c r="C19" s="3" t="str">
        <f>VLOOKUP($C$21,ABASTO[#All],25,FALSE)</f>
        <v>POCITOS</v>
      </c>
      <c r="G19" s="23"/>
      <c r="H19" s="23"/>
      <c r="I19" s="24"/>
      <c r="J19" s="24"/>
      <c r="K19" s="25"/>
      <c r="L19" s="16"/>
    </row>
    <row r="20" spans="2:12">
      <c r="B20" s="1" t="s">
        <v>257</v>
      </c>
      <c r="C20" s="3" t="str">
        <f>VLOOKUP($C$21,ABASTO[#All],26,FALSE)</f>
        <v>(ZUFO)-UNIVERSIDAD</v>
      </c>
      <c r="G20" s="25"/>
      <c r="H20" s="16"/>
      <c r="I20" s="25"/>
      <c r="J20" s="25"/>
      <c r="K20" s="25"/>
      <c r="L20" s="16"/>
    </row>
    <row r="21" spans="2:12" ht="19.5">
      <c r="B21" s="26" t="s">
        <v>510</v>
      </c>
      <c r="C21" s="27">
        <v>72</v>
      </c>
      <c r="G21" s="25"/>
      <c r="H21" s="25"/>
      <c r="I21" s="25"/>
      <c r="J21" s="25"/>
      <c r="K21" s="25"/>
      <c r="L21" s="16"/>
    </row>
    <row r="22" spans="2:12">
      <c r="B22" s="1" t="s">
        <v>258</v>
      </c>
      <c r="C22" s="21" t="str">
        <f>VLOOKUP($C$21,ABASTO[#All],5,FALSE)</f>
        <v>UNIVERSIDAD PONTIFICIA DE MEXICO CAMPOS AGUASCALIENTES</v>
      </c>
      <c r="G22"/>
      <c r="H22"/>
      <c r="I22"/>
      <c r="J22"/>
      <c r="K22"/>
    </row>
    <row r="23" spans="2:12">
      <c r="B23" s="4" t="s">
        <v>259</v>
      </c>
      <c r="C23" s="21" t="str">
        <f>VLOOKUP($C$21,ABASTO[#All],6,FALSE)</f>
        <v>Escuelas de educacion superior del sector privado</v>
      </c>
    </row>
    <row r="24" spans="2:12">
      <c r="B24" s="1" t="s">
        <v>19</v>
      </c>
      <c r="C24" s="21">
        <f>VLOOKUP($C$21,ABASTO[#All],2,FALSE)</f>
        <v>611311</v>
      </c>
    </row>
    <row r="25" spans="2:12">
      <c r="B25" s="5" t="s">
        <v>260</v>
      </c>
      <c r="C25" s="21" t="str">
        <f>VLOOKUP($C$21,ABASTO[#All],4,FALSE)</f>
        <v>PRIVADO</v>
      </c>
    </row>
    <row r="26" spans="2:12">
      <c r="B26" s="1" t="s">
        <v>261</v>
      </c>
      <c r="C26" s="21" t="str">
        <f>VLOOKUP($C$21,ABASTO[#All],11,FALSE)</f>
        <v>0 a 5 personas</v>
      </c>
    </row>
    <row r="27" spans="2:12">
      <c r="B27" s="4" t="s">
        <v>262</v>
      </c>
      <c r="C27" s="21" t="str">
        <f>VLOOKUP($C$21,ABASTO[#All],8,FALSE)</f>
        <v>FRACCIONAMIENTO</v>
      </c>
    </row>
    <row r="28" spans="2:12">
      <c r="B28" s="1" t="s">
        <v>264</v>
      </c>
      <c r="C28" s="21" t="str">
        <f>VLOOKUP($C$21,ABASTO[#All],13,FALSE)</f>
        <v>CERRO DEL LAUREL</v>
      </c>
    </row>
    <row r="29" spans="2:12">
      <c r="B29" s="1" t="s">
        <v>263</v>
      </c>
      <c r="C29" s="21" t="str">
        <f>VLOOKUP($C$21,ABASTO[#All],12,FALSE)</f>
        <v>CALLE</v>
      </c>
    </row>
    <row r="30" spans="2:12">
      <c r="B30" s="4" t="s">
        <v>265</v>
      </c>
      <c r="C30" s="21">
        <f>VLOOKUP($C$21,ABASTO[#All],22,FALSE)</f>
        <v>0</v>
      </c>
    </row>
    <row r="31" spans="2:12">
      <c r="B31" s="1" t="s">
        <v>21</v>
      </c>
      <c r="C31" s="21">
        <f>VLOOKUP($C$21,ABASTO[#All],20,FALSE)</f>
        <v>105</v>
      </c>
    </row>
    <row r="32" spans="2:12">
      <c r="B32" s="4" t="s">
        <v>24</v>
      </c>
      <c r="C32" s="21">
        <f>VLOOKUP($C$21,ABASTO[#All],21,FALSE)</f>
        <v>0</v>
      </c>
    </row>
    <row r="33" spans="1:3">
      <c r="B33" s="1" t="s">
        <v>22</v>
      </c>
      <c r="C33" s="21">
        <f>VLOOKUP($C$21,ABASTO[#All],27,FALSE)</f>
        <v>777552.43887399998</v>
      </c>
    </row>
    <row r="34" spans="1:3" ht="15.75" thickBot="1">
      <c r="B34" s="6" t="s">
        <v>23</v>
      </c>
      <c r="C34" s="21">
        <f>VLOOKUP($C$21,ABASTO[#All],28,FALSE)</f>
        <v>2426696.8487399998</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DATOS_EDU_SUPERIOR'!$A$2:$A$73</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3"/>
  <sheetViews>
    <sheetView zoomScale="85" zoomScaleNormal="85" workbookViewId="0">
      <selection activeCell="C22" sqref="C22"/>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254</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611312</v>
      </c>
      <c r="C2" s="17" t="s">
        <v>214</v>
      </c>
      <c r="D2" s="17" t="s">
        <v>308</v>
      </c>
      <c r="E2" s="17" t="s">
        <v>309</v>
      </c>
      <c r="F2" s="17" t="s">
        <v>504</v>
      </c>
      <c r="G2" s="17" t="s">
        <v>144</v>
      </c>
      <c r="H2" s="17" t="s">
        <v>83</v>
      </c>
      <c r="I2" s="17">
        <v>20230</v>
      </c>
      <c r="J2" s="17" t="s">
        <v>54</v>
      </c>
      <c r="K2" s="17" t="s">
        <v>89</v>
      </c>
      <c r="L2" s="17" t="s">
        <v>20</v>
      </c>
      <c r="M2" s="17" t="s">
        <v>82</v>
      </c>
      <c r="N2" s="17" t="s">
        <v>20</v>
      </c>
      <c r="O2" s="17" t="s">
        <v>85</v>
      </c>
      <c r="P2" s="17" t="s">
        <v>20</v>
      </c>
      <c r="Q2" s="17" t="s">
        <v>86</v>
      </c>
      <c r="R2" s="17" t="s">
        <v>20</v>
      </c>
      <c r="S2" s="17" t="s">
        <v>82</v>
      </c>
      <c r="T2" s="17">
        <v>0</v>
      </c>
      <c r="U2" s="18">
        <v>0</v>
      </c>
      <c r="X2" s="17" t="s">
        <v>61</v>
      </c>
      <c r="Y2" s="17" t="s">
        <v>74</v>
      </c>
      <c r="Z2" s="17" t="s">
        <v>80</v>
      </c>
      <c r="AA2" s="31">
        <v>788801.65011499997</v>
      </c>
      <c r="AB2" s="31">
        <v>2435552.2312099999</v>
      </c>
    </row>
    <row r="3" spans="1:28">
      <c r="A3" s="30">
        <v>2</v>
      </c>
      <c r="B3" s="17">
        <v>611312</v>
      </c>
      <c r="C3" s="17" t="s">
        <v>214</v>
      </c>
      <c r="D3" s="17" t="s">
        <v>308</v>
      </c>
      <c r="E3" s="17" t="s">
        <v>311</v>
      </c>
      <c r="F3" s="17" t="s">
        <v>504</v>
      </c>
      <c r="G3" s="17" t="s">
        <v>144</v>
      </c>
      <c r="H3" s="17" t="s">
        <v>65</v>
      </c>
      <c r="I3" s="17">
        <v>20287</v>
      </c>
      <c r="J3" s="17" t="s">
        <v>54</v>
      </c>
      <c r="K3" s="17" t="s">
        <v>89</v>
      </c>
      <c r="L3" s="17" t="s">
        <v>56</v>
      </c>
      <c r="M3" s="17" t="s">
        <v>111</v>
      </c>
      <c r="N3" s="17" t="s">
        <v>20</v>
      </c>
      <c r="O3" s="17" t="s">
        <v>109</v>
      </c>
      <c r="P3" s="17" t="s">
        <v>20</v>
      </c>
      <c r="Q3" s="17" t="s">
        <v>112</v>
      </c>
      <c r="R3" s="17" t="s">
        <v>20</v>
      </c>
      <c r="S3" s="17" t="s">
        <v>106</v>
      </c>
      <c r="T3" s="17">
        <v>3756</v>
      </c>
      <c r="U3" s="18">
        <v>0</v>
      </c>
      <c r="X3" s="17" t="s">
        <v>59</v>
      </c>
      <c r="Y3" s="17" t="s">
        <v>107</v>
      </c>
      <c r="Z3" s="17" t="s">
        <v>100</v>
      </c>
      <c r="AA3" s="31">
        <v>777140.92531900003</v>
      </c>
      <c r="AB3" s="31">
        <v>2418694.2611199999</v>
      </c>
    </row>
    <row r="4" spans="1:28">
      <c r="A4" s="30">
        <v>3</v>
      </c>
      <c r="B4" s="17">
        <v>611312</v>
      </c>
      <c r="C4" s="17" t="s">
        <v>214</v>
      </c>
      <c r="D4" s="17" t="s">
        <v>308</v>
      </c>
      <c r="E4" s="17" t="s">
        <v>311</v>
      </c>
      <c r="F4" s="17" t="s">
        <v>504</v>
      </c>
      <c r="G4" s="17" t="s">
        <v>144</v>
      </c>
      <c r="H4" s="17" t="s">
        <v>65</v>
      </c>
      <c r="I4" s="17">
        <v>20287</v>
      </c>
      <c r="J4" s="17" t="s">
        <v>54</v>
      </c>
      <c r="K4" s="17" t="s">
        <v>89</v>
      </c>
      <c r="L4" s="17" t="s">
        <v>56</v>
      </c>
      <c r="M4" s="17" t="s">
        <v>111</v>
      </c>
      <c r="N4" s="17" t="s">
        <v>20</v>
      </c>
      <c r="O4" s="17" t="s">
        <v>112</v>
      </c>
      <c r="P4" s="17" t="s">
        <v>56</v>
      </c>
      <c r="Q4" s="17" t="s">
        <v>101</v>
      </c>
      <c r="R4" s="17" t="s">
        <v>20</v>
      </c>
      <c r="S4" s="17" t="s">
        <v>106</v>
      </c>
      <c r="T4" s="17">
        <v>3756</v>
      </c>
      <c r="U4" s="18">
        <v>0</v>
      </c>
      <c r="V4" s="17" t="s">
        <v>312</v>
      </c>
      <c r="W4" s="17" t="s">
        <v>313</v>
      </c>
      <c r="X4" s="17" t="s">
        <v>61</v>
      </c>
      <c r="Y4" s="17" t="s">
        <v>107</v>
      </c>
      <c r="Z4" s="17" t="s">
        <v>100</v>
      </c>
      <c r="AA4" s="31">
        <v>777232.48944699997</v>
      </c>
      <c r="AB4" s="31">
        <v>2418952.5484000002</v>
      </c>
    </row>
    <row r="5" spans="1:28">
      <c r="A5" s="30">
        <v>4</v>
      </c>
      <c r="B5" s="17">
        <v>611312</v>
      </c>
      <c r="C5" s="17" t="s">
        <v>214</v>
      </c>
      <c r="D5" s="17" t="s">
        <v>308</v>
      </c>
      <c r="E5" s="17" t="s">
        <v>314</v>
      </c>
      <c r="F5" s="17" t="s">
        <v>504</v>
      </c>
      <c r="G5" s="17" t="s">
        <v>144</v>
      </c>
      <c r="H5" s="17" t="s">
        <v>65</v>
      </c>
      <c r="I5" s="17">
        <v>20030</v>
      </c>
      <c r="J5" s="17" t="s">
        <v>54</v>
      </c>
      <c r="K5" s="17" t="s">
        <v>75</v>
      </c>
      <c r="L5" s="17" t="s">
        <v>20</v>
      </c>
      <c r="M5" s="17" t="s">
        <v>127</v>
      </c>
      <c r="N5" s="17" t="s">
        <v>20</v>
      </c>
      <c r="O5" s="17" t="s">
        <v>126</v>
      </c>
      <c r="P5" s="17" t="s">
        <v>20</v>
      </c>
      <c r="Q5" s="17" t="s">
        <v>128</v>
      </c>
      <c r="R5" s="17" t="s">
        <v>56</v>
      </c>
      <c r="S5" s="17" t="s">
        <v>125</v>
      </c>
      <c r="T5" s="17">
        <v>0</v>
      </c>
      <c r="U5" s="18">
        <v>0</v>
      </c>
      <c r="V5" s="17" t="s">
        <v>315</v>
      </c>
      <c r="W5" s="17" t="s">
        <v>316</v>
      </c>
      <c r="X5" s="17" t="s">
        <v>62</v>
      </c>
      <c r="Y5" s="17" t="s">
        <v>123</v>
      </c>
      <c r="Z5" s="17" t="s">
        <v>124</v>
      </c>
      <c r="AA5" s="31">
        <v>780342.55509000004</v>
      </c>
      <c r="AB5" s="31">
        <v>2424068.3073900002</v>
      </c>
    </row>
    <row r="6" spans="1:28">
      <c r="A6" s="30">
        <v>5</v>
      </c>
      <c r="B6" s="17">
        <v>611311</v>
      </c>
      <c r="C6" s="17" t="s">
        <v>214</v>
      </c>
      <c r="D6" s="17" t="s">
        <v>52</v>
      </c>
      <c r="E6" s="17" t="s">
        <v>318</v>
      </c>
      <c r="F6" s="17" t="s">
        <v>503</v>
      </c>
      <c r="G6" s="17" t="s">
        <v>319</v>
      </c>
      <c r="H6" s="17" t="s">
        <v>84</v>
      </c>
      <c r="I6" s="17">
        <v>20010</v>
      </c>
      <c r="J6" s="17" t="s">
        <v>54</v>
      </c>
      <c r="K6" s="17" t="s">
        <v>60</v>
      </c>
      <c r="L6" s="17" t="s">
        <v>56</v>
      </c>
      <c r="M6" s="17" t="s">
        <v>121</v>
      </c>
      <c r="N6" s="17" t="s">
        <v>20</v>
      </c>
      <c r="O6" s="17" t="s">
        <v>136</v>
      </c>
      <c r="P6" s="17" t="s">
        <v>20</v>
      </c>
      <c r="Q6" s="17" t="s">
        <v>143</v>
      </c>
      <c r="R6" s="17" t="s">
        <v>20</v>
      </c>
      <c r="S6" s="17" t="s">
        <v>140</v>
      </c>
      <c r="T6" s="17">
        <v>1406</v>
      </c>
      <c r="U6" s="18">
        <v>0</v>
      </c>
      <c r="V6" s="17" t="s">
        <v>320</v>
      </c>
      <c r="X6" s="17" t="s">
        <v>62</v>
      </c>
      <c r="Y6" s="17" t="s">
        <v>114</v>
      </c>
      <c r="Z6" s="17" t="s">
        <v>124</v>
      </c>
      <c r="AA6" s="31">
        <v>777184.91622200003</v>
      </c>
      <c r="AB6" s="31">
        <v>2423914.2060500002</v>
      </c>
    </row>
    <row r="7" spans="1:28">
      <c r="A7" s="30">
        <v>6</v>
      </c>
      <c r="B7" s="17">
        <v>611311</v>
      </c>
      <c r="C7" s="17" t="s">
        <v>214</v>
      </c>
      <c r="D7" s="17" t="s">
        <v>52</v>
      </c>
      <c r="E7" s="17" t="s">
        <v>321</v>
      </c>
      <c r="F7" s="17" t="s">
        <v>503</v>
      </c>
      <c r="H7" s="17" t="s">
        <v>84</v>
      </c>
      <c r="I7" s="17">
        <v>20137</v>
      </c>
      <c r="J7" s="17" t="s">
        <v>54</v>
      </c>
      <c r="K7" s="17" t="s">
        <v>60</v>
      </c>
      <c r="L7" s="17" t="s">
        <v>20</v>
      </c>
      <c r="M7" s="17" t="s">
        <v>139</v>
      </c>
      <c r="N7" s="17" t="s">
        <v>56</v>
      </c>
      <c r="O7" s="17" t="s">
        <v>85</v>
      </c>
      <c r="P7" s="17" t="s">
        <v>20</v>
      </c>
      <c r="Q7" s="17" t="s">
        <v>129</v>
      </c>
      <c r="R7" s="17" t="s">
        <v>20</v>
      </c>
      <c r="S7" s="17" t="s">
        <v>269</v>
      </c>
      <c r="T7" s="17">
        <v>1331</v>
      </c>
      <c r="U7" s="18">
        <v>0</v>
      </c>
      <c r="X7" s="17" t="s">
        <v>59</v>
      </c>
      <c r="Y7" s="17" t="s">
        <v>114</v>
      </c>
      <c r="Z7" s="17" t="s">
        <v>124</v>
      </c>
      <c r="AA7" s="31">
        <v>779319.57633499999</v>
      </c>
      <c r="AB7" s="31">
        <v>2424938.4940599999</v>
      </c>
    </row>
    <row r="8" spans="1:28">
      <c r="A8" s="30">
        <v>7</v>
      </c>
      <c r="B8" s="17">
        <v>611311</v>
      </c>
      <c r="C8" s="17" t="s">
        <v>214</v>
      </c>
      <c r="D8" s="17" t="s">
        <v>52</v>
      </c>
      <c r="E8" s="17" t="s">
        <v>322</v>
      </c>
      <c r="F8" s="17" t="s">
        <v>503</v>
      </c>
      <c r="H8" s="17" t="s">
        <v>84</v>
      </c>
      <c r="I8" s="17">
        <v>20010</v>
      </c>
      <c r="J8" s="17" t="s">
        <v>54</v>
      </c>
      <c r="K8" s="17" t="s">
        <v>55</v>
      </c>
      <c r="L8" s="17" t="s">
        <v>20</v>
      </c>
      <c r="M8" s="17" t="s">
        <v>137</v>
      </c>
      <c r="N8" s="17" t="s">
        <v>56</v>
      </c>
      <c r="O8" s="17" t="s">
        <v>133</v>
      </c>
      <c r="P8" s="17" t="s">
        <v>20</v>
      </c>
      <c r="Q8" s="17" t="s">
        <v>64</v>
      </c>
      <c r="R8" s="17" t="s">
        <v>20</v>
      </c>
      <c r="S8" s="17" t="s">
        <v>142</v>
      </c>
      <c r="T8" s="17">
        <v>0</v>
      </c>
      <c r="U8" s="18">
        <v>4499070507</v>
      </c>
      <c r="W8" s="17" t="s">
        <v>323</v>
      </c>
      <c r="X8" s="17" t="s">
        <v>59</v>
      </c>
      <c r="Y8" s="17" t="s">
        <v>114</v>
      </c>
      <c r="Z8" s="17" t="s">
        <v>124</v>
      </c>
      <c r="AA8" s="31">
        <v>778029.82417799998</v>
      </c>
      <c r="AB8" s="31">
        <v>2423832.6765000001</v>
      </c>
    </row>
    <row r="9" spans="1:28">
      <c r="A9" s="30">
        <v>8</v>
      </c>
      <c r="B9" s="17">
        <v>611311</v>
      </c>
      <c r="C9" s="17" t="s">
        <v>214</v>
      </c>
      <c r="D9" s="17" t="s">
        <v>52</v>
      </c>
      <c r="E9" s="17" t="s">
        <v>324</v>
      </c>
      <c r="F9" s="17" t="s">
        <v>503</v>
      </c>
      <c r="G9" s="17" t="s">
        <v>325</v>
      </c>
      <c r="H9" s="17" t="s">
        <v>84</v>
      </c>
      <c r="I9" s="17">
        <v>20040</v>
      </c>
      <c r="J9" s="17" t="s">
        <v>54</v>
      </c>
      <c r="K9" s="17" t="s">
        <v>55</v>
      </c>
      <c r="L9" s="17" t="s">
        <v>56</v>
      </c>
      <c r="M9" s="17" t="s">
        <v>121</v>
      </c>
      <c r="N9" s="17" t="s">
        <v>57</v>
      </c>
      <c r="O9" s="17" t="s">
        <v>132</v>
      </c>
      <c r="P9" s="17" t="s">
        <v>20</v>
      </c>
      <c r="Q9" s="17" t="s">
        <v>145</v>
      </c>
      <c r="R9" s="17" t="s">
        <v>20</v>
      </c>
      <c r="S9" s="17" t="s">
        <v>145</v>
      </c>
      <c r="T9" s="17">
        <v>2017</v>
      </c>
      <c r="U9" s="18">
        <v>0</v>
      </c>
      <c r="V9" s="17" t="s">
        <v>326</v>
      </c>
      <c r="X9" s="17" t="s">
        <v>62</v>
      </c>
      <c r="Y9" s="17" t="s">
        <v>120</v>
      </c>
      <c r="Z9" s="17" t="s">
        <v>124</v>
      </c>
      <c r="AA9" s="31">
        <v>777206.47035700001</v>
      </c>
      <c r="AB9" s="31">
        <v>2422739.17637</v>
      </c>
    </row>
    <row r="10" spans="1:28">
      <c r="A10" s="30">
        <v>9</v>
      </c>
      <c r="B10" s="17">
        <v>611311</v>
      </c>
      <c r="C10" s="17" t="s">
        <v>214</v>
      </c>
      <c r="D10" s="17" t="s">
        <v>52</v>
      </c>
      <c r="E10" s="17" t="s">
        <v>327</v>
      </c>
      <c r="F10" s="17" t="s">
        <v>503</v>
      </c>
      <c r="G10" s="17" t="s">
        <v>328</v>
      </c>
      <c r="H10" s="17" t="s">
        <v>84</v>
      </c>
      <c r="I10" s="17">
        <v>20040</v>
      </c>
      <c r="J10" s="17" t="s">
        <v>54</v>
      </c>
      <c r="K10" s="17" t="s">
        <v>69</v>
      </c>
      <c r="L10" s="17" t="s">
        <v>56</v>
      </c>
      <c r="M10" s="17" t="s">
        <v>268</v>
      </c>
      <c r="N10" s="17" t="s">
        <v>56</v>
      </c>
      <c r="O10" s="17" t="s">
        <v>329</v>
      </c>
      <c r="P10" s="17" t="s">
        <v>56</v>
      </c>
      <c r="Q10" s="17" t="s">
        <v>330</v>
      </c>
      <c r="R10" s="17" t="s">
        <v>20</v>
      </c>
      <c r="S10" s="17" t="s">
        <v>331</v>
      </c>
      <c r="T10" s="17">
        <v>1204</v>
      </c>
      <c r="U10" s="18">
        <v>0</v>
      </c>
      <c r="V10" s="17" t="s">
        <v>332</v>
      </c>
      <c r="W10" s="17" t="s">
        <v>333</v>
      </c>
      <c r="X10" s="17" t="s">
        <v>62</v>
      </c>
      <c r="Y10" s="17" t="s">
        <v>120</v>
      </c>
      <c r="Z10" s="17" t="s">
        <v>124</v>
      </c>
      <c r="AA10" s="31">
        <v>777680.93006499996</v>
      </c>
      <c r="AB10" s="31">
        <v>2422747.8610499999</v>
      </c>
    </row>
    <row r="11" spans="1:28">
      <c r="A11" s="30">
        <v>10</v>
      </c>
      <c r="B11" s="17">
        <v>611211</v>
      </c>
      <c r="C11" s="17" t="s">
        <v>214</v>
      </c>
      <c r="D11" s="17" t="s">
        <v>52</v>
      </c>
      <c r="E11" s="17" t="s">
        <v>334</v>
      </c>
      <c r="F11" s="17" t="s">
        <v>505</v>
      </c>
      <c r="G11" s="17" t="s">
        <v>335</v>
      </c>
      <c r="H11" s="17" t="s">
        <v>84</v>
      </c>
      <c r="I11" s="17">
        <v>20270</v>
      </c>
      <c r="J11" s="17" t="s">
        <v>54</v>
      </c>
      <c r="K11" s="17" t="s">
        <v>55</v>
      </c>
      <c r="L11" s="17" t="s">
        <v>56</v>
      </c>
      <c r="M11" s="17" t="s">
        <v>147</v>
      </c>
      <c r="N11" s="17" t="s">
        <v>20</v>
      </c>
      <c r="O11" s="17" t="s">
        <v>151</v>
      </c>
      <c r="P11" s="17" t="s">
        <v>20</v>
      </c>
      <c r="Q11" s="17" t="s">
        <v>152</v>
      </c>
      <c r="R11" s="17" t="s">
        <v>20</v>
      </c>
      <c r="S11" s="17" t="s">
        <v>273</v>
      </c>
      <c r="T11" s="17">
        <v>804</v>
      </c>
      <c r="U11" s="18">
        <v>4494664359</v>
      </c>
      <c r="V11" s="17" t="s">
        <v>336</v>
      </c>
      <c r="W11" s="17" t="s">
        <v>337</v>
      </c>
      <c r="X11" s="17" t="s">
        <v>61</v>
      </c>
      <c r="Y11" s="17" t="s">
        <v>123</v>
      </c>
      <c r="Z11" s="17" t="s">
        <v>146</v>
      </c>
      <c r="AA11" s="31">
        <v>780216.17813400005</v>
      </c>
      <c r="AB11" s="31">
        <v>2420471.3947399999</v>
      </c>
    </row>
    <row r="12" spans="1:28">
      <c r="A12" s="30">
        <v>11</v>
      </c>
      <c r="B12" s="17">
        <v>611211</v>
      </c>
      <c r="C12" s="17" t="s">
        <v>214</v>
      </c>
      <c r="D12" s="17" t="s">
        <v>52</v>
      </c>
      <c r="E12" s="17" t="s">
        <v>338</v>
      </c>
      <c r="F12" s="17" t="s">
        <v>505</v>
      </c>
      <c r="G12" s="17" t="s">
        <v>339</v>
      </c>
      <c r="H12" s="17" t="s">
        <v>84</v>
      </c>
      <c r="I12" s="17">
        <v>20270</v>
      </c>
      <c r="J12" s="17" t="s">
        <v>54</v>
      </c>
      <c r="K12" s="17" t="s">
        <v>69</v>
      </c>
      <c r="L12" s="17" t="s">
        <v>102</v>
      </c>
      <c r="M12" s="17" t="s">
        <v>156</v>
      </c>
      <c r="N12" s="17" t="s">
        <v>20</v>
      </c>
      <c r="O12" s="17" t="s">
        <v>154</v>
      </c>
      <c r="P12" s="17" t="s">
        <v>57</v>
      </c>
      <c r="Q12" s="17" t="s">
        <v>340</v>
      </c>
      <c r="R12" s="17" t="s">
        <v>20</v>
      </c>
      <c r="S12" s="17" t="s">
        <v>155</v>
      </c>
      <c r="T12" s="17">
        <v>906</v>
      </c>
      <c r="U12" s="18">
        <v>4491461853</v>
      </c>
      <c r="V12" s="17" t="s">
        <v>341</v>
      </c>
      <c r="W12" s="17" t="s">
        <v>342</v>
      </c>
      <c r="X12" s="17" t="s">
        <v>62</v>
      </c>
      <c r="Y12" s="17" t="s">
        <v>123</v>
      </c>
      <c r="Z12" s="17" t="s">
        <v>146</v>
      </c>
      <c r="AA12" s="31">
        <v>779563.20140699996</v>
      </c>
      <c r="AB12" s="31">
        <v>2420894.7556099999</v>
      </c>
    </row>
    <row r="13" spans="1:28">
      <c r="A13" s="30">
        <v>12</v>
      </c>
      <c r="B13" s="17">
        <v>611311</v>
      </c>
      <c r="C13" s="17" t="s">
        <v>214</v>
      </c>
      <c r="D13" s="17" t="s">
        <v>52</v>
      </c>
      <c r="E13" s="17" t="s">
        <v>343</v>
      </c>
      <c r="F13" s="17" t="s">
        <v>503</v>
      </c>
      <c r="G13" s="17" t="s">
        <v>270</v>
      </c>
      <c r="H13" s="17" t="s">
        <v>84</v>
      </c>
      <c r="I13" s="17">
        <v>20270</v>
      </c>
      <c r="J13" s="17" t="s">
        <v>54</v>
      </c>
      <c r="K13" s="17" t="s">
        <v>60</v>
      </c>
      <c r="L13" s="17" t="s">
        <v>20</v>
      </c>
      <c r="M13" s="17" t="s">
        <v>148</v>
      </c>
      <c r="N13" s="17" t="s">
        <v>102</v>
      </c>
      <c r="O13" s="17" t="s">
        <v>156</v>
      </c>
      <c r="P13" s="17" t="s">
        <v>20</v>
      </c>
      <c r="Q13" s="17" t="s">
        <v>271</v>
      </c>
      <c r="R13" s="17" t="s">
        <v>56</v>
      </c>
      <c r="S13" s="17" t="s">
        <v>149</v>
      </c>
      <c r="T13" s="17">
        <v>102</v>
      </c>
      <c r="U13" s="18">
        <v>4499171864</v>
      </c>
      <c r="V13" s="17" t="s">
        <v>344</v>
      </c>
      <c r="W13" s="17" t="s">
        <v>345</v>
      </c>
      <c r="X13" s="17" t="s">
        <v>62</v>
      </c>
      <c r="Y13" s="17" t="s">
        <v>123</v>
      </c>
      <c r="Z13" s="17" t="s">
        <v>146</v>
      </c>
      <c r="AA13" s="31">
        <v>779695.77493499999</v>
      </c>
      <c r="AB13" s="31">
        <v>2420203.2804700001</v>
      </c>
    </row>
    <row r="14" spans="1:28">
      <c r="A14" s="30">
        <v>13</v>
      </c>
      <c r="B14" s="17">
        <v>611311</v>
      </c>
      <c r="C14" s="17" t="s">
        <v>214</v>
      </c>
      <c r="D14" s="17" t="s">
        <v>52</v>
      </c>
      <c r="E14" s="17" t="s">
        <v>347</v>
      </c>
      <c r="F14" s="17" t="s">
        <v>503</v>
      </c>
      <c r="G14" s="17" t="s">
        <v>348</v>
      </c>
      <c r="H14" s="17" t="s">
        <v>65</v>
      </c>
      <c r="I14" s="17">
        <v>20235</v>
      </c>
      <c r="J14" s="17" t="s">
        <v>54</v>
      </c>
      <c r="K14" s="17" t="s">
        <v>75</v>
      </c>
      <c r="L14" s="17" t="s">
        <v>56</v>
      </c>
      <c r="M14" s="17" t="s">
        <v>162</v>
      </c>
      <c r="N14" s="17" t="s">
        <v>20</v>
      </c>
      <c r="O14" s="17" t="s">
        <v>267</v>
      </c>
      <c r="P14" s="17" t="s">
        <v>20</v>
      </c>
      <c r="Q14" s="17" t="s">
        <v>278</v>
      </c>
      <c r="R14" s="17" t="s">
        <v>20</v>
      </c>
      <c r="S14" s="17" t="s">
        <v>169</v>
      </c>
      <c r="T14" s="17">
        <v>1701</v>
      </c>
      <c r="U14" s="18">
        <v>0</v>
      </c>
      <c r="V14" s="17" t="s">
        <v>349</v>
      </c>
      <c r="X14" s="17" t="s">
        <v>266</v>
      </c>
      <c r="Y14" s="17" t="s">
        <v>99</v>
      </c>
      <c r="Z14" s="17" t="s">
        <v>146</v>
      </c>
      <c r="AA14" s="31">
        <v>778668.77893699997</v>
      </c>
      <c r="AB14" s="31">
        <v>2420080.7090500002</v>
      </c>
    </row>
    <row r="15" spans="1:28">
      <c r="A15" s="30">
        <v>14</v>
      </c>
      <c r="B15" s="17">
        <v>611311</v>
      </c>
      <c r="C15" s="17" t="s">
        <v>214</v>
      </c>
      <c r="D15" s="17" t="s">
        <v>52</v>
      </c>
      <c r="E15" s="17" t="s">
        <v>350</v>
      </c>
      <c r="F15" s="17" t="s">
        <v>503</v>
      </c>
      <c r="G15" s="17" t="s">
        <v>351</v>
      </c>
      <c r="H15" s="17" t="s">
        <v>65</v>
      </c>
      <c r="I15" s="17">
        <v>20230</v>
      </c>
      <c r="J15" s="17" t="s">
        <v>54</v>
      </c>
      <c r="K15" s="17" t="s">
        <v>75</v>
      </c>
      <c r="L15" s="17" t="s">
        <v>102</v>
      </c>
      <c r="M15" s="17" t="s">
        <v>297</v>
      </c>
      <c r="O15" s="17" t="s">
        <v>104</v>
      </c>
      <c r="Q15" s="17" t="s">
        <v>110</v>
      </c>
      <c r="T15" s="17">
        <v>0</v>
      </c>
      <c r="U15" s="18">
        <v>0</v>
      </c>
      <c r="X15" s="17" t="s">
        <v>94</v>
      </c>
      <c r="Y15" s="17" t="s">
        <v>99</v>
      </c>
      <c r="Z15" s="17" t="s">
        <v>146</v>
      </c>
      <c r="AA15" s="31">
        <v>779586.83696400002</v>
      </c>
      <c r="AB15" s="31">
        <v>2420558.11485</v>
      </c>
    </row>
    <row r="16" spans="1:28">
      <c r="A16" s="30">
        <v>15</v>
      </c>
      <c r="B16" s="17">
        <v>611311</v>
      </c>
      <c r="C16" s="17" t="s">
        <v>214</v>
      </c>
      <c r="D16" s="17" t="s">
        <v>52</v>
      </c>
      <c r="E16" s="17" t="s">
        <v>352</v>
      </c>
      <c r="F16" s="17" t="s">
        <v>503</v>
      </c>
      <c r="G16" s="17" t="s">
        <v>353</v>
      </c>
      <c r="H16" s="17" t="s">
        <v>84</v>
      </c>
      <c r="I16" s="17">
        <v>20238</v>
      </c>
      <c r="J16" s="17" t="s">
        <v>54</v>
      </c>
      <c r="K16" s="17" t="s">
        <v>55</v>
      </c>
      <c r="L16" s="17" t="s">
        <v>56</v>
      </c>
      <c r="M16" s="17" t="s">
        <v>158</v>
      </c>
      <c r="N16" s="17" t="s">
        <v>20</v>
      </c>
      <c r="O16" s="17" t="s">
        <v>275</v>
      </c>
      <c r="P16" s="17" t="s">
        <v>20</v>
      </c>
      <c r="Q16" s="17" t="s">
        <v>165</v>
      </c>
      <c r="R16" s="17" t="s">
        <v>20</v>
      </c>
      <c r="S16" s="17" t="s">
        <v>159</v>
      </c>
      <c r="T16" s="17">
        <v>1409</v>
      </c>
      <c r="U16" s="18">
        <v>0</v>
      </c>
      <c r="V16" s="17" t="s">
        <v>354</v>
      </c>
      <c r="X16" s="17" t="s">
        <v>59</v>
      </c>
      <c r="Y16" s="17" t="s">
        <v>99</v>
      </c>
      <c r="Z16" s="17" t="s">
        <v>146</v>
      </c>
      <c r="AA16" s="31">
        <v>778684.85988200002</v>
      </c>
      <c r="AB16" s="31">
        <v>2420379.6294100001</v>
      </c>
    </row>
    <row r="17" spans="1:28">
      <c r="A17" s="30">
        <v>16</v>
      </c>
      <c r="B17" s="17">
        <v>611311</v>
      </c>
      <c r="C17" s="17" t="s">
        <v>214</v>
      </c>
      <c r="D17" s="17" t="s">
        <v>52</v>
      </c>
      <c r="E17" s="17" t="s">
        <v>355</v>
      </c>
      <c r="F17" s="17" t="s">
        <v>503</v>
      </c>
      <c r="G17" s="17" t="s">
        <v>356</v>
      </c>
      <c r="H17" s="17" t="s">
        <v>84</v>
      </c>
      <c r="I17" s="17">
        <v>20230</v>
      </c>
      <c r="J17" s="17" t="s">
        <v>54</v>
      </c>
      <c r="K17" s="17" t="s">
        <v>93</v>
      </c>
      <c r="L17" s="17" t="s">
        <v>56</v>
      </c>
      <c r="M17" s="17" t="s">
        <v>274</v>
      </c>
      <c r="N17" s="17" t="s">
        <v>20</v>
      </c>
      <c r="O17" s="17" t="s">
        <v>276</v>
      </c>
      <c r="P17" s="17" t="s">
        <v>56</v>
      </c>
      <c r="Q17" s="17" t="s">
        <v>277</v>
      </c>
      <c r="R17" s="17" t="s">
        <v>56</v>
      </c>
      <c r="S17" s="17" t="s">
        <v>232</v>
      </c>
      <c r="T17" s="17">
        <v>1319</v>
      </c>
      <c r="U17" s="18">
        <v>0</v>
      </c>
      <c r="V17" s="17" t="s">
        <v>357</v>
      </c>
      <c r="W17" s="17" t="s">
        <v>358</v>
      </c>
      <c r="X17" s="17" t="s">
        <v>61</v>
      </c>
      <c r="Y17" s="17" t="s">
        <v>99</v>
      </c>
      <c r="Z17" s="17" t="s">
        <v>146</v>
      </c>
      <c r="AA17" s="31">
        <v>779645.32683899999</v>
      </c>
      <c r="AB17" s="31">
        <v>2420231.8829999999</v>
      </c>
    </row>
    <row r="18" spans="1:28">
      <c r="A18" s="30">
        <v>17</v>
      </c>
      <c r="B18" s="17">
        <v>611311</v>
      </c>
      <c r="C18" s="17" t="s">
        <v>214</v>
      </c>
      <c r="D18" s="17" t="s">
        <v>52</v>
      </c>
      <c r="E18" s="17" t="s">
        <v>359</v>
      </c>
      <c r="F18" s="17" t="s">
        <v>503</v>
      </c>
      <c r="G18" s="17" t="s">
        <v>360</v>
      </c>
      <c r="H18" s="17" t="s">
        <v>84</v>
      </c>
      <c r="I18" s="17">
        <v>20239</v>
      </c>
      <c r="J18" s="17" t="s">
        <v>54</v>
      </c>
      <c r="K18" s="17" t="s">
        <v>69</v>
      </c>
      <c r="L18" s="17" t="s">
        <v>56</v>
      </c>
      <c r="M18" s="17" t="s">
        <v>158</v>
      </c>
      <c r="N18" s="17" t="s">
        <v>20</v>
      </c>
      <c r="O18" s="17" t="s">
        <v>161</v>
      </c>
      <c r="P18" s="17" t="s">
        <v>20</v>
      </c>
      <c r="Q18" s="17" t="s">
        <v>163</v>
      </c>
      <c r="R18" s="17" t="s">
        <v>20</v>
      </c>
      <c r="S18" s="17" t="s">
        <v>167</v>
      </c>
      <c r="T18" s="17">
        <v>502</v>
      </c>
      <c r="U18" s="18">
        <v>0</v>
      </c>
      <c r="V18" s="17" t="s">
        <v>361</v>
      </c>
      <c r="W18" s="17" t="s">
        <v>362</v>
      </c>
      <c r="X18" s="17" t="s">
        <v>62</v>
      </c>
      <c r="Y18" s="17" t="s">
        <v>99</v>
      </c>
      <c r="Z18" s="17" t="s">
        <v>146</v>
      </c>
      <c r="AA18" s="31">
        <v>778859.64023599995</v>
      </c>
      <c r="AB18" s="31">
        <v>2421027.7211199999</v>
      </c>
    </row>
    <row r="19" spans="1:28">
      <c r="A19" s="30">
        <v>18</v>
      </c>
      <c r="B19" s="17">
        <v>611311</v>
      </c>
      <c r="C19" s="17" t="s">
        <v>214</v>
      </c>
      <c r="D19" s="17" t="s">
        <v>52</v>
      </c>
      <c r="E19" s="17" t="s">
        <v>363</v>
      </c>
      <c r="F19" s="17" t="s">
        <v>503</v>
      </c>
      <c r="G19" s="17" t="s">
        <v>356</v>
      </c>
      <c r="H19" s="17" t="s">
        <v>84</v>
      </c>
      <c r="I19" s="17">
        <v>20230</v>
      </c>
      <c r="J19" s="17" t="s">
        <v>54</v>
      </c>
      <c r="K19" s="17" t="s">
        <v>346</v>
      </c>
      <c r="L19" s="17" t="s">
        <v>56</v>
      </c>
      <c r="M19" s="17" t="s">
        <v>364</v>
      </c>
      <c r="N19" s="17" t="s">
        <v>20</v>
      </c>
      <c r="O19" s="17" t="s">
        <v>276</v>
      </c>
      <c r="P19" s="17" t="s">
        <v>56</v>
      </c>
      <c r="Q19" s="17" t="s">
        <v>277</v>
      </c>
      <c r="R19" s="17" t="s">
        <v>56</v>
      </c>
      <c r="S19" s="17" t="s">
        <v>232</v>
      </c>
      <c r="T19" s="17">
        <v>1123</v>
      </c>
      <c r="U19" s="18">
        <v>0</v>
      </c>
      <c r="V19" s="17" t="s">
        <v>357</v>
      </c>
      <c r="W19" s="17" t="s">
        <v>358</v>
      </c>
      <c r="X19" s="17" t="s">
        <v>62</v>
      </c>
      <c r="Y19" s="17" t="s">
        <v>99</v>
      </c>
      <c r="Z19" s="17" t="s">
        <v>146</v>
      </c>
      <c r="AA19" s="31">
        <v>779586.83696400002</v>
      </c>
      <c r="AB19" s="31">
        <v>2420558.11485</v>
      </c>
    </row>
    <row r="20" spans="1:28">
      <c r="A20" s="30">
        <v>19</v>
      </c>
      <c r="B20" s="17">
        <v>611311</v>
      </c>
      <c r="C20" s="17" t="s">
        <v>214</v>
      </c>
      <c r="D20" s="17" t="s">
        <v>52</v>
      </c>
      <c r="E20" s="17" t="s">
        <v>365</v>
      </c>
      <c r="F20" s="17" t="s">
        <v>503</v>
      </c>
      <c r="G20" s="17" t="s">
        <v>366</v>
      </c>
      <c r="H20" s="17" t="s">
        <v>84</v>
      </c>
      <c r="I20" s="17">
        <v>20235</v>
      </c>
      <c r="J20" s="17" t="s">
        <v>54</v>
      </c>
      <c r="K20" s="17" t="s">
        <v>75</v>
      </c>
      <c r="L20" s="17" t="s">
        <v>20</v>
      </c>
      <c r="M20" s="17" t="s">
        <v>164</v>
      </c>
      <c r="N20" s="17" t="s">
        <v>20</v>
      </c>
      <c r="O20" s="17" t="s">
        <v>157</v>
      </c>
      <c r="P20" s="17" t="s">
        <v>20</v>
      </c>
      <c r="Q20" s="17" t="s">
        <v>160</v>
      </c>
      <c r="R20" s="17" t="s">
        <v>20</v>
      </c>
      <c r="S20" s="17" t="s">
        <v>168</v>
      </c>
      <c r="T20" s="17">
        <v>1925</v>
      </c>
      <c r="U20" s="18">
        <v>4499942019</v>
      </c>
      <c r="V20" s="17" t="s">
        <v>367</v>
      </c>
      <c r="W20" s="17" t="s">
        <v>368</v>
      </c>
      <c r="X20" s="17" t="s">
        <v>62</v>
      </c>
      <c r="Y20" s="17" t="s">
        <v>99</v>
      </c>
      <c r="Z20" s="17" t="s">
        <v>146</v>
      </c>
      <c r="AA20" s="31">
        <v>778432.16656599997</v>
      </c>
      <c r="AB20" s="31">
        <v>2420123.1488700002</v>
      </c>
    </row>
    <row r="21" spans="1:28">
      <c r="A21" s="30">
        <v>20</v>
      </c>
      <c r="B21" s="17">
        <v>611311</v>
      </c>
      <c r="C21" s="17" t="s">
        <v>214</v>
      </c>
      <c r="D21" s="17" t="s">
        <v>52</v>
      </c>
      <c r="E21" s="17" t="s">
        <v>369</v>
      </c>
      <c r="F21" s="17" t="s">
        <v>503</v>
      </c>
      <c r="G21" s="17" t="s">
        <v>370</v>
      </c>
      <c r="H21" s="17" t="s">
        <v>119</v>
      </c>
      <c r="I21" s="17">
        <v>20239</v>
      </c>
      <c r="J21" s="17" t="s">
        <v>54</v>
      </c>
      <c r="K21" s="17" t="s">
        <v>75</v>
      </c>
      <c r="L21" s="17" t="s">
        <v>56</v>
      </c>
      <c r="M21" s="17" t="s">
        <v>158</v>
      </c>
      <c r="N21" s="17" t="s">
        <v>20</v>
      </c>
      <c r="O21" s="17" t="s">
        <v>208</v>
      </c>
      <c r="P21" s="17" t="s">
        <v>56</v>
      </c>
      <c r="Q21" s="17" t="s">
        <v>163</v>
      </c>
      <c r="R21" s="17" t="s">
        <v>20</v>
      </c>
      <c r="S21" s="17" t="s">
        <v>159</v>
      </c>
      <c r="T21" s="17">
        <v>601</v>
      </c>
      <c r="U21" s="18">
        <v>0</v>
      </c>
      <c r="V21" s="17" t="s">
        <v>371</v>
      </c>
      <c r="X21" s="17" t="s">
        <v>62</v>
      </c>
      <c r="Y21" s="17" t="s">
        <v>99</v>
      </c>
      <c r="Z21" s="17" t="s">
        <v>146</v>
      </c>
      <c r="AA21" s="31">
        <v>778813.73919300002</v>
      </c>
      <c r="AB21" s="31">
        <v>2420975.0650300002</v>
      </c>
    </row>
    <row r="22" spans="1:28">
      <c r="A22" s="30">
        <v>21</v>
      </c>
      <c r="B22" s="17">
        <v>611311</v>
      </c>
      <c r="C22" s="17" t="s">
        <v>214</v>
      </c>
      <c r="D22" s="17" t="s">
        <v>52</v>
      </c>
      <c r="E22" s="17" t="s">
        <v>372</v>
      </c>
      <c r="F22" s="17" t="s">
        <v>503</v>
      </c>
      <c r="G22" s="17" t="s">
        <v>373</v>
      </c>
      <c r="H22" s="17" t="s">
        <v>84</v>
      </c>
      <c r="I22" s="17">
        <v>20284</v>
      </c>
      <c r="J22" s="17" t="s">
        <v>54</v>
      </c>
      <c r="K22" s="17" t="s">
        <v>75</v>
      </c>
      <c r="L22" s="17" t="s">
        <v>102</v>
      </c>
      <c r="M22" s="17" t="s">
        <v>156</v>
      </c>
      <c r="N22" s="17" t="s">
        <v>56</v>
      </c>
      <c r="O22" s="17" t="s">
        <v>110</v>
      </c>
      <c r="P22" s="17" t="s">
        <v>20</v>
      </c>
      <c r="Q22" s="17" t="s">
        <v>108</v>
      </c>
      <c r="R22" s="17" t="s">
        <v>56</v>
      </c>
      <c r="S22" s="17" t="s">
        <v>104</v>
      </c>
      <c r="T22" s="17">
        <v>1911</v>
      </c>
      <c r="U22" s="18">
        <v>0</v>
      </c>
      <c r="V22" s="17" t="s">
        <v>374</v>
      </c>
      <c r="W22" s="17" t="s">
        <v>375</v>
      </c>
      <c r="X22" s="17" t="s">
        <v>94</v>
      </c>
      <c r="Y22" s="17" t="s">
        <v>118</v>
      </c>
      <c r="Z22" s="17" t="s">
        <v>146</v>
      </c>
      <c r="AA22" s="31">
        <v>779980.23147400003</v>
      </c>
      <c r="AB22" s="31">
        <v>2418291.1597500001</v>
      </c>
    </row>
    <row r="23" spans="1:28">
      <c r="A23" s="30">
        <v>22</v>
      </c>
      <c r="B23" s="17">
        <v>611312</v>
      </c>
      <c r="C23" s="17" t="s">
        <v>214</v>
      </c>
      <c r="D23" s="17" t="s">
        <v>308</v>
      </c>
      <c r="E23" s="17" t="s">
        <v>376</v>
      </c>
      <c r="F23" s="17" t="s">
        <v>504</v>
      </c>
      <c r="G23" s="17" t="s">
        <v>377</v>
      </c>
      <c r="H23" s="17" t="s">
        <v>53</v>
      </c>
      <c r="I23" s="17">
        <v>20259</v>
      </c>
      <c r="J23" s="17" t="s">
        <v>54</v>
      </c>
      <c r="K23" s="17" t="s">
        <v>69</v>
      </c>
      <c r="L23" s="17" t="s">
        <v>20</v>
      </c>
      <c r="M23" s="17" t="s">
        <v>378</v>
      </c>
      <c r="N23" s="17" t="s">
        <v>20</v>
      </c>
      <c r="O23" s="17" t="s">
        <v>199</v>
      </c>
      <c r="P23" s="17" t="s">
        <v>20</v>
      </c>
      <c r="Q23" s="17" t="s">
        <v>73</v>
      </c>
      <c r="R23" s="17" t="s">
        <v>20</v>
      </c>
      <c r="S23" s="17" t="s">
        <v>192</v>
      </c>
      <c r="T23" s="17">
        <v>314</v>
      </c>
      <c r="U23" s="18">
        <v>0</v>
      </c>
      <c r="X23" s="17" t="s">
        <v>62</v>
      </c>
      <c r="Y23" s="17" t="s">
        <v>123</v>
      </c>
      <c r="Z23" s="17" t="s">
        <v>172</v>
      </c>
      <c r="AA23" s="31">
        <v>780710.96377100004</v>
      </c>
      <c r="AB23" s="31">
        <v>2422624.4919199999</v>
      </c>
    </row>
    <row r="24" spans="1:28">
      <c r="A24" s="30">
        <v>23</v>
      </c>
      <c r="B24" s="17">
        <v>611312</v>
      </c>
      <c r="C24" s="17" t="s">
        <v>214</v>
      </c>
      <c r="D24" s="17" t="s">
        <v>308</v>
      </c>
      <c r="E24" s="17" t="s">
        <v>379</v>
      </c>
      <c r="F24" s="17" t="s">
        <v>504</v>
      </c>
      <c r="G24" s="17" t="s">
        <v>380</v>
      </c>
      <c r="H24" s="17" t="s">
        <v>53</v>
      </c>
      <c r="I24" s="17">
        <v>20259</v>
      </c>
      <c r="J24" s="17" t="s">
        <v>54</v>
      </c>
      <c r="K24" s="17" t="s">
        <v>93</v>
      </c>
      <c r="L24" s="17" t="s">
        <v>56</v>
      </c>
      <c r="M24" s="17" t="s">
        <v>122</v>
      </c>
      <c r="N24" s="17" t="s">
        <v>20</v>
      </c>
      <c r="O24" s="17" t="s">
        <v>185</v>
      </c>
      <c r="P24" s="17" t="s">
        <v>56</v>
      </c>
      <c r="Q24" s="17" t="s">
        <v>224</v>
      </c>
      <c r="R24" s="17" t="s">
        <v>20</v>
      </c>
      <c r="S24" s="17" t="s">
        <v>173</v>
      </c>
      <c r="T24" s="17">
        <v>0</v>
      </c>
      <c r="U24" s="18">
        <v>4499163620</v>
      </c>
      <c r="V24" s="17" t="s">
        <v>381</v>
      </c>
      <c r="W24" s="17" t="s">
        <v>382</v>
      </c>
      <c r="X24" s="17" t="s">
        <v>62</v>
      </c>
      <c r="Y24" s="17" t="s">
        <v>123</v>
      </c>
      <c r="Z24" s="17" t="s">
        <v>172</v>
      </c>
      <c r="AA24" s="31">
        <v>780871.87037400005</v>
      </c>
      <c r="AB24" s="31">
        <v>2422031.8906100001</v>
      </c>
    </row>
    <row r="25" spans="1:28">
      <c r="A25" s="30">
        <v>24</v>
      </c>
      <c r="B25" s="17">
        <v>611312</v>
      </c>
      <c r="C25" s="17" t="s">
        <v>214</v>
      </c>
      <c r="D25" s="17" t="s">
        <v>308</v>
      </c>
      <c r="E25" s="17" t="s">
        <v>383</v>
      </c>
      <c r="F25" s="17" t="s">
        <v>504</v>
      </c>
      <c r="G25" s="17" t="s">
        <v>384</v>
      </c>
      <c r="H25" s="17" t="s">
        <v>53</v>
      </c>
      <c r="I25" s="17">
        <v>20240</v>
      </c>
      <c r="J25" s="17" t="s">
        <v>54</v>
      </c>
      <c r="K25" s="17" t="s">
        <v>69</v>
      </c>
      <c r="L25" s="17" t="s">
        <v>20</v>
      </c>
      <c r="M25" s="17" t="s">
        <v>180</v>
      </c>
      <c r="N25" s="17" t="s">
        <v>20</v>
      </c>
      <c r="O25" s="17" t="s">
        <v>193</v>
      </c>
      <c r="P25" s="17" t="s">
        <v>20</v>
      </c>
      <c r="Q25" s="17" t="s">
        <v>197</v>
      </c>
      <c r="R25" s="17" t="s">
        <v>20</v>
      </c>
      <c r="S25" s="17" t="s">
        <v>181</v>
      </c>
      <c r="T25" s="17">
        <v>106</v>
      </c>
      <c r="U25" s="18">
        <v>0</v>
      </c>
      <c r="X25" s="17" t="s">
        <v>59</v>
      </c>
      <c r="Y25" s="17" t="s">
        <v>123</v>
      </c>
      <c r="Z25" s="17" t="s">
        <v>172</v>
      </c>
      <c r="AA25" s="31">
        <v>780564.94163500005</v>
      </c>
      <c r="AB25" s="31">
        <v>2421185.65325</v>
      </c>
    </row>
    <row r="26" spans="1:28">
      <c r="A26" s="30">
        <v>25</v>
      </c>
      <c r="B26" s="17">
        <v>611312</v>
      </c>
      <c r="C26" s="17" t="s">
        <v>214</v>
      </c>
      <c r="D26" s="17" t="s">
        <v>308</v>
      </c>
      <c r="E26" s="17" t="s">
        <v>385</v>
      </c>
      <c r="F26" s="17" t="s">
        <v>504</v>
      </c>
      <c r="G26" s="17" t="s">
        <v>306</v>
      </c>
      <c r="H26" s="17" t="s">
        <v>65</v>
      </c>
      <c r="I26" s="17">
        <v>20000</v>
      </c>
      <c r="J26" s="17" t="s">
        <v>54</v>
      </c>
      <c r="K26" s="17" t="s">
        <v>55</v>
      </c>
      <c r="L26" s="17" t="s">
        <v>20</v>
      </c>
      <c r="M26" s="17" t="s">
        <v>184</v>
      </c>
      <c r="N26" s="17" t="s">
        <v>20</v>
      </c>
      <c r="O26" s="17" t="s">
        <v>71</v>
      </c>
      <c r="P26" s="17" t="s">
        <v>20</v>
      </c>
      <c r="Q26" s="17" t="s">
        <v>153</v>
      </c>
      <c r="R26" s="17" t="s">
        <v>20</v>
      </c>
      <c r="S26" s="17" t="s">
        <v>179</v>
      </c>
      <c r="T26" s="17">
        <v>213</v>
      </c>
      <c r="U26" s="18">
        <v>0</v>
      </c>
      <c r="V26" s="17" t="s">
        <v>386</v>
      </c>
      <c r="W26" s="17" t="s">
        <v>387</v>
      </c>
      <c r="X26" s="17" t="s">
        <v>59</v>
      </c>
      <c r="Y26" s="17" t="s">
        <v>123</v>
      </c>
      <c r="Z26" s="17" t="s">
        <v>172</v>
      </c>
      <c r="AA26" s="31">
        <v>779693.17582</v>
      </c>
      <c r="AB26" s="31">
        <v>2422131.5760900001</v>
      </c>
    </row>
    <row r="27" spans="1:28">
      <c r="A27" s="30">
        <v>26</v>
      </c>
      <c r="B27" s="17">
        <v>611312</v>
      </c>
      <c r="C27" s="17" t="s">
        <v>214</v>
      </c>
      <c r="D27" s="17" t="s">
        <v>308</v>
      </c>
      <c r="E27" s="17" t="s">
        <v>388</v>
      </c>
      <c r="F27" s="17" t="s">
        <v>504</v>
      </c>
      <c r="G27" s="17" t="s">
        <v>293</v>
      </c>
      <c r="H27" s="17" t="s">
        <v>65</v>
      </c>
      <c r="I27" s="17">
        <v>20180</v>
      </c>
      <c r="J27" s="17" t="s">
        <v>54</v>
      </c>
      <c r="K27" s="17" t="s">
        <v>89</v>
      </c>
      <c r="L27" s="17" t="s">
        <v>57</v>
      </c>
      <c r="M27" s="17" t="s">
        <v>58</v>
      </c>
      <c r="N27" s="17" t="s">
        <v>56</v>
      </c>
      <c r="O27" s="17" t="s">
        <v>182</v>
      </c>
      <c r="P27" s="17" t="s">
        <v>20</v>
      </c>
      <c r="Q27" s="17" t="s">
        <v>77</v>
      </c>
      <c r="R27" s="17" t="s">
        <v>56</v>
      </c>
      <c r="S27" s="17" t="s">
        <v>182</v>
      </c>
      <c r="T27" s="17">
        <v>0</v>
      </c>
      <c r="U27" s="18">
        <v>0</v>
      </c>
      <c r="W27" s="17" t="s">
        <v>389</v>
      </c>
      <c r="X27" s="17" t="s">
        <v>62</v>
      </c>
      <c r="Y27" s="17" t="s">
        <v>123</v>
      </c>
      <c r="Z27" s="17" t="s">
        <v>172</v>
      </c>
      <c r="AA27" s="31">
        <v>780640.92997699999</v>
      </c>
      <c r="AB27" s="31">
        <v>2423556.00532</v>
      </c>
    </row>
    <row r="28" spans="1:28">
      <c r="A28" s="30">
        <v>27</v>
      </c>
      <c r="B28" s="17">
        <v>611312</v>
      </c>
      <c r="C28" s="17" t="s">
        <v>214</v>
      </c>
      <c r="D28" s="17" t="s">
        <v>308</v>
      </c>
      <c r="E28" s="17" t="s">
        <v>390</v>
      </c>
      <c r="F28" s="17" t="s">
        <v>504</v>
      </c>
      <c r="G28" s="17" t="s">
        <v>306</v>
      </c>
      <c r="H28" s="17" t="s">
        <v>65</v>
      </c>
      <c r="I28" s="17">
        <v>20000</v>
      </c>
      <c r="J28" s="17" t="s">
        <v>54</v>
      </c>
      <c r="K28" s="17" t="s">
        <v>69</v>
      </c>
      <c r="L28" s="17" t="s">
        <v>20</v>
      </c>
      <c r="M28" s="17" t="s">
        <v>184</v>
      </c>
      <c r="N28" s="17" t="s">
        <v>20</v>
      </c>
      <c r="O28" s="17" t="s">
        <v>71</v>
      </c>
      <c r="P28" s="17" t="s">
        <v>20</v>
      </c>
      <c r="Q28" s="17" t="s">
        <v>153</v>
      </c>
      <c r="R28" s="17" t="s">
        <v>20</v>
      </c>
      <c r="S28" s="17" t="s">
        <v>179</v>
      </c>
      <c r="T28" s="17">
        <v>227</v>
      </c>
      <c r="U28" s="18">
        <v>0</v>
      </c>
      <c r="V28" s="17" t="s">
        <v>391</v>
      </c>
      <c r="W28" s="17" t="s">
        <v>317</v>
      </c>
      <c r="X28" s="17" t="s">
        <v>61</v>
      </c>
      <c r="Y28" s="17" t="s">
        <v>123</v>
      </c>
      <c r="Z28" s="17" t="s">
        <v>172</v>
      </c>
      <c r="AA28" s="31">
        <v>779740.64887000003</v>
      </c>
      <c r="AB28" s="31">
        <v>2422142.4341199999</v>
      </c>
    </row>
    <row r="29" spans="1:28">
      <c r="A29" s="30">
        <v>28</v>
      </c>
      <c r="B29" s="17">
        <v>611312</v>
      </c>
      <c r="C29" s="17" t="s">
        <v>214</v>
      </c>
      <c r="D29" s="17" t="s">
        <v>308</v>
      </c>
      <c r="E29" s="17" t="s">
        <v>392</v>
      </c>
      <c r="F29" s="17" t="s">
        <v>504</v>
      </c>
      <c r="G29" s="17" t="s">
        <v>306</v>
      </c>
      <c r="H29" s="17" t="s">
        <v>65</v>
      </c>
      <c r="I29" s="17">
        <v>20000</v>
      </c>
      <c r="J29" s="17" t="s">
        <v>54</v>
      </c>
      <c r="K29" s="17" t="s">
        <v>75</v>
      </c>
      <c r="L29" s="17" t="s">
        <v>20</v>
      </c>
      <c r="M29" s="17" t="s">
        <v>175</v>
      </c>
      <c r="N29" s="17" t="s">
        <v>57</v>
      </c>
      <c r="O29" s="17" t="s">
        <v>393</v>
      </c>
      <c r="P29" s="17" t="s">
        <v>20</v>
      </c>
      <c r="Q29" s="17" t="s">
        <v>305</v>
      </c>
      <c r="R29" s="17" t="s">
        <v>20</v>
      </c>
      <c r="S29" s="17" t="s">
        <v>177</v>
      </c>
      <c r="T29" s="17">
        <v>419</v>
      </c>
      <c r="U29" s="18">
        <v>0</v>
      </c>
      <c r="V29" s="17" t="s">
        <v>394</v>
      </c>
      <c r="W29" s="17" t="s">
        <v>317</v>
      </c>
      <c r="X29" s="17" t="s">
        <v>61</v>
      </c>
      <c r="Y29" s="17" t="s">
        <v>123</v>
      </c>
      <c r="Z29" s="17" t="s">
        <v>172</v>
      </c>
      <c r="AA29" s="31">
        <v>779851.73028799996</v>
      </c>
      <c r="AB29" s="31">
        <v>2422855.48869</v>
      </c>
    </row>
    <row r="30" spans="1:28">
      <c r="A30" s="30">
        <v>29</v>
      </c>
      <c r="B30" s="17">
        <v>611211</v>
      </c>
      <c r="C30" s="17" t="s">
        <v>214</v>
      </c>
      <c r="D30" s="17" t="s">
        <v>52</v>
      </c>
      <c r="E30" s="17" t="s">
        <v>395</v>
      </c>
      <c r="F30" s="17" t="s">
        <v>505</v>
      </c>
      <c r="G30" s="17" t="s">
        <v>396</v>
      </c>
      <c r="H30" s="17" t="s">
        <v>65</v>
      </c>
      <c r="I30" s="17">
        <v>20000</v>
      </c>
      <c r="J30" s="17" t="s">
        <v>54</v>
      </c>
      <c r="K30" s="17" t="s">
        <v>60</v>
      </c>
      <c r="L30" s="17" t="s">
        <v>56</v>
      </c>
      <c r="M30" s="17" t="s">
        <v>67</v>
      </c>
      <c r="N30" s="17" t="s">
        <v>20</v>
      </c>
      <c r="O30" s="17" t="s">
        <v>130</v>
      </c>
      <c r="P30" s="17" t="s">
        <v>20</v>
      </c>
      <c r="Q30" s="17" t="s">
        <v>72</v>
      </c>
      <c r="R30" s="17" t="s">
        <v>20</v>
      </c>
      <c r="S30" s="17" t="s">
        <v>184</v>
      </c>
      <c r="T30" s="17">
        <v>319</v>
      </c>
      <c r="U30" s="18">
        <v>4491050484</v>
      </c>
      <c r="V30" s="17" t="s">
        <v>397</v>
      </c>
      <c r="X30" s="17" t="s">
        <v>97</v>
      </c>
      <c r="Y30" s="17" t="s">
        <v>123</v>
      </c>
      <c r="Z30" s="17" t="s">
        <v>172</v>
      </c>
      <c r="AA30" s="31">
        <v>779825.72914299998</v>
      </c>
      <c r="AB30" s="31">
        <v>2422246.5347799999</v>
      </c>
    </row>
    <row r="31" spans="1:28">
      <c r="A31" s="30">
        <v>30</v>
      </c>
      <c r="B31" s="17">
        <v>611211</v>
      </c>
      <c r="C31" s="17" t="s">
        <v>214</v>
      </c>
      <c r="D31" s="17" t="s">
        <v>52</v>
      </c>
      <c r="E31" s="17" t="s">
        <v>398</v>
      </c>
      <c r="F31" s="17" t="s">
        <v>505</v>
      </c>
      <c r="H31" s="17" t="s">
        <v>84</v>
      </c>
      <c r="I31" s="17">
        <v>20249</v>
      </c>
      <c r="J31" s="17" t="s">
        <v>54</v>
      </c>
      <c r="K31" s="17" t="s">
        <v>55</v>
      </c>
      <c r="L31" s="17" t="s">
        <v>98</v>
      </c>
      <c r="M31" s="17" t="s">
        <v>63</v>
      </c>
      <c r="N31" s="17" t="s">
        <v>56</v>
      </c>
      <c r="O31" s="17" t="s">
        <v>171</v>
      </c>
      <c r="P31" s="17" t="s">
        <v>20</v>
      </c>
      <c r="Q31" s="17" t="s">
        <v>173</v>
      </c>
      <c r="R31" s="17" t="s">
        <v>20</v>
      </c>
      <c r="S31" s="17" t="s">
        <v>174</v>
      </c>
      <c r="T31" s="17">
        <v>308</v>
      </c>
      <c r="U31" s="18">
        <v>4493293573</v>
      </c>
      <c r="V31" s="17" t="s">
        <v>399</v>
      </c>
      <c r="X31" s="17" t="s">
        <v>59</v>
      </c>
      <c r="Y31" s="17" t="s">
        <v>123</v>
      </c>
      <c r="Z31" s="17" t="s">
        <v>172</v>
      </c>
      <c r="AA31" s="31">
        <v>780894.28226600005</v>
      </c>
      <c r="AB31" s="31">
        <v>2421703.8362599998</v>
      </c>
    </row>
    <row r="32" spans="1:28">
      <c r="A32" s="30">
        <v>31</v>
      </c>
      <c r="B32" s="17">
        <v>611311</v>
      </c>
      <c r="C32" s="17" t="s">
        <v>214</v>
      </c>
      <c r="D32" s="17" t="s">
        <v>52</v>
      </c>
      <c r="E32" s="17" t="s">
        <v>400</v>
      </c>
      <c r="F32" s="17" t="s">
        <v>503</v>
      </c>
      <c r="G32" s="17" t="s">
        <v>401</v>
      </c>
      <c r="H32" s="17" t="s">
        <v>53</v>
      </c>
      <c r="I32" s="17">
        <v>20259</v>
      </c>
      <c r="J32" s="17" t="s">
        <v>54</v>
      </c>
      <c r="K32" s="17" t="s">
        <v>69</v>
      </c>
      <c r="L32" s="17" t="s">
        <v>56</v>
      </c>
      <c r="M32" s="17" t="s">
        <v>67</v>
      </c>
      <c r="N32" s="17" t="s">
        <v>20</v>
      </c>
      <c r="O32" s="17" t="s">
        <v>173</v>
      </c>
      <c r="P32" s="17" t="s">
        <v>20</v>
      </c>
      <c r="Q32" s="17" t="s">
        <v>282</v>
      </c>
      <c r="R32" s="17" t="s">
        <v>20</v>
      </c>
      <c r="S32" s="17" t="s">
        <v>283</v>
      </c>
      <c r="T32" s="17">
        <v>612</v>
      </c>
      <c r="U32" s="18">
        <v>4494696241</v>
      </c>
      <c r="V32" s="17" t="s">
        <v>402</v>
      </c>
      <c r="X32" s="17" t="s">
        <v>92</v>
      </c>
      <c r="Y32" s="17" t="s">
        <v>123</v>
      </c>
      <c r="Z32" s="17" t="s">
        <v>172</v>
      </c>
      <c r="AA32" s="31">
        <v>780566.47262300004</v>
      </c>
      <c r="AB32" s="31">
        <v>2422499.3240899998</v>
      </c>
    </row>
    <row r="33" spans="1:28">
      <c r="A33" s="30">
        <v>32</v>
      </c>
      <c r="B33" s="17">
        <v>611311</v>
      </c>
      <c r="C33" s="17" t="s">
        <v>214</v>
      </c>
      <c r="D33" s="17" t="s">
        <v>52</v>
      </c>
      <c r="E33" s="17" t="s">
        <v>403</v>
      </c>
      <c r="F33" s="17" t="s">
        <v>503</v>
      </c>
      <c r="G33" s="17" t="s">
        <v>404</v>
      </c>
      <c r="H33" s="17" t="s">
        <v>53</v>
      </c>
      <c r="I33" s="17">
        <v>20240</v>
      </c>
      <c r="J33" s="17" t="s">
        <v>54</v>
      </c>
      <c r="K33" s="17" t="s">
        <v>55</v>
      </c>
      <c r="L33" s="17" t="s">
        <v>56</v>
      </c>
      <c r="M33" s="17" t="s">
        <v>405</v>
      </c>
      <c r="N33" s="17" t="s">
        <v>20</v>
      </c>
      <c r="O33" s="17" t="s">
        <v>288</v>
      </c>
      <c r="P33" s="17" t="s">
        <v>20</v>
      </c>
      <c r="Q33" s="17" t="s">
        <v>200</v>
      </c>
      <c r="R33" s="17" t="s">
        <v>20</v>
      </c>
      <c r="S33" s="17" t="s">
        <v>284</v>
      </c>
      <c r="T33" s="17">
        <v>327</v>
      </c>
      <c r="U33" s="18">
        <v>0</v>
      </c>
      <c r="V33" s="17" t="s">
        <v>406</v>
      </c>
      <c r="W33" s="17" t="s">
        <v>407</v>
      </c>
      <c r="X33" s="17" t="s">
        <v>186</v>
      </c>
      <c r="Y33" s="17" t="s">
        <v>123</v>
      </c>
      <c r="Z33" s="17" t="s">
        <v>172</v>
      </c>
      <c r="AA33" s="31">
        <v>779837.27088900004</v>
      </c>
      <c r="AB33" s="31">
        <v>2421904.3724799999</v>
      </c>
    </row>
    <row r="34" spans="1:28">
      <c r="A34" s="30">
        <v>33</v>
      </c>
      <c r="B34" s="17">
        <v>611311</v>
      </c>
      <c r="C34" s="17" t="s">
        <v>214</v>
      </c>
      <c r="D34" s="17" t="s">
        <v>52</v>
      </c>
      <c r="E34" s="17" t="s">
        <v>408</v>
      </c>
      <c r="F34" s="17" t="s">
        <v>503</v>
      </c>
      <c r="G34" s="17" t="s">
        <v>409</v>
      </c>
      <c r="H34" s="17" t="s">
        <v>65</v>
      </c>
      <c r="I34" s="17">
        <v>20000</v>
      </c>
      <c r="J34" s="17" t="s">
        <v>54</v>
      </c>
      <c r="K34" s="17" t="s">
        <v>75</v>
      </c>
      <c r="L34" s="17" t="s">
        <v>20</v>
      </c>
      <c r="M34" s="17" t="s">
        <v>410</v>
      </c>
      <c r="N34" s="17" t="s">
        <v>20</v>
      </c>
      <c r="O34" s="17" t="s">
        <v>280</v>
      </c>
      <c r="P34" s="17" t="s">
        <v>57</v>
      </c>
      <c r="Q34" s="17" t="s">
        <v>285</v>
      </c>
      <c r="R34" s="17" t="s">
        <v>20</v>
      </c>
      <c r="S34" s="17" t="s">
        <v>281</v>
      </c>
      <c r="T34" s="17">
        <v>300</v>
      </c>
      <c r="U34" s="18">
        <v>0</v>
      </c>
      <c r="W34" s="17" t="s">
        <v>411</v>
      </c>
      <c r="X34" s="17" t="s">
        <v>97</v>
      </c>
      <c r="Y34" s="17" t="s">
        <v>123</v>
      </c>
      <c r="Z34" s="17" t="s">
        <v>172</v>
      </c>
      <c r="AA34" s="31">
        <v>779968.79935400002</v>
      </c>
      <c r="AB34" s="31">
        <v>2422650.55584</v>
      </c>
    </row>
    <row r="35" spans="1:28">
      <c r="A35" s="30">
        <v>34</v>
      </c>
      <c r="B35" s="17">
        <v>611311</v>
      </c>
      <c r="C35" s="17" t="s">
        <v>214</v>
      </c>
      <c r="D35" s="17" t="s">
        <v>52</v>
      </c>
      <c r="E35" s="17" t="s">
        <v>412</v>
      </c>
      <c r="F35" s="17" t="s">
        <v>503</v>
      </c>
      <c r="G35" s="17" t="s">
        <v>413</v>
      </c>
      <c r="H35" s="17" t="s">
        <v>65</v>
      </c>
      <c r="I35" s="17">
        <v>20000</v>
      </c>
      <c r="J35" s="17" t="s">
        <v>54</v>
      </c>
      <c r="K35" s="17" t="s">
        <v>93</v>
      </c>
      <c r="L35" s="17" t="s">
        <v>56</v>
      </c>
      <c r="M35" s="17" t="s">
        <v>414</v>
      </c>
      <c r="N35" s="17" t="s">
        <v>20</v>
      </c>
      <c r="O35" s="17" t="s">
        <v>200</v>
      </c>
      <c r="P35" s="17" t="s">
        <v>57</v>
      </c>
      <c r="Q35" s="17" t="s">
        <v>286</v>
      </c>
      <c r="R35" s="17" t="s">
        <v>20</v>
      </c>
      <c r="S35" s="17" t="s">
        <v>279</v>
      </c>
      <c r="T35" s="17">
        <v>400</v>
      </c>
      <c r="U35" s="18">
        <v>0</v>
      </c>
      <c r="X35" s="17" t="s">
        <v>62</v>
      </c>
      <c r="Y35" s="17" t="s">
        <v>123</v>
      </c>
      <c r="Z35" s="17" t="s">
        <v>172</v>
      </c>
      <c r="AA35" s="31">
        <v>779880.90658499999</v>
      </c>
      <c r="AB35" s="31">
        <v>2421928.83812</v>
      </c>
    </row>
    <row r="36" spans="1:28">
      <c r="A36" s="30">
        <v>35</v>
      </c>
      <c r="B36" s="17">
        <v>611311</v>
      </c>
      <c r="C36" s="17" t="s">
        <v>214</v>
      </c>
      <c r="D36" s="17" t="s">
        <v>52</v>
      </c>
      <c r="E36" s="17" t="s">
        <v>415</v>
      </c>
      <c r="F36" s="17" t="s">
        <v>503</v>
      </c>
      <c r="G36" s="17" t="s">
        <v>416</v>
      </c>
      <c r="H36" s="17" t="s">
        <v>65</v>
      </c>
      <c r="I36" s="17">
        <v>20000</v>
      </c>
      <c r="J36" s="17" t="s">
        <v>54</v>
      </c>
      <c r="K36" s="17" t="s">
        <v>55</v>
      </c>
      <c r="L36" s="17" t="s">
        <v>56</v>
      </c>
      <c r="M36" s="17" t="s">
        <v>67</v>
      </c>
      <c r="N36" s="17" t="s">
        <v>20</v>
      </c>
      <c r="O36" s="17" t="s">
        <v>130</v>
      </c>
      <c r="P36" s="17" t="s">
        <v>20</v>
      </c>
      <c r="Q36" s="17" t="s">
        <v>72</v>
      </c>
      <c r="R36" s="17" t="s">
        <v>20</v>
      </c>
      <c r="S36" s="17" t="s">
        <v>184</v>
      </c>
      <c r="T36" s="17">
        <v>333</v>
      </c>
      <c r="U36" s="18">
        <v>0</v>
      </c>
      <c r="V36" s="17" t="s">
        <v>417</v>
      </c>
      <c r="X36" s="17" t="s">
        <v>62</v>
      </c>
      <c r="Y36" s="17" t="s">
        <v>123</v>
      </c>
      <c r="Z36" s="17" t="s">
        <v>172</v>
      </c>
      <c r="AA36" s="31">
        <v>779879.07239800005</v>
      </c>
      <c r="AB36" s="31">
        <v>2422262.5928600002</v>
      </c>
    </row>
    <row r="37" spans="1:28">
      <c r="A37" s="30">
        <v>36</v>
      </c>
      <c r="B37" s="17">
        <v>611311</v>
      </c>
      <c r="C37" s="17" t="s">
        <v>214</v>
      </c>
      <c r="D37" s="17" t="s">
        <v>52</v>
      </c>
      <c r="E37" s="17" t="s">
        <v>418</v>
      </c>
      <c r="F37" s="17" t="s">
        <v>503</v>
      </c>
      <c r="G37" s="17" t="s">
        <v>419</v>
      </c>
      <c r="H37" s="17" t="s">
        <v>65</v>
      </c>
      <c r="I37" s="17">
        <v>20000</v>
      </c>
      <c r="J37" s="17" t="s">
        <v>54</v>
      </c>
      <c r="K37" s="17" t="s">
        <v>93</v>
      </c>
      <c r="L37" s="17" t="s">
        <v>56</v>
      </c>
      <c r="M37" s="17" t="s">
        <v>198</v>
      </c>
      <c r="N37" s="17" t="s">
        <v>20</v>
      </c>
      <c r="O37" s="17" t="s">
        <v>272</v>
      </c>
      <c r="P37" s="17" t="s">
        <v>20</v>
      </c>
      <c r="Q37" s="17" t="s">
        <v>200</v>
      </c>
      <c r="R37" s="17" t="s">
        <v>20</v>
      </c>
      <c r="S37" s="17" t="s">
        <v>284</v>
      </c>
      <c r="T37" s="17">
        <v>407</v>
      </c>
      <c r="U37" s="18">
        <v>0</v>
      </c>
      <c r="V37" s="17" t="s">
        <v>420</v>
      </c>
      <c r="W37" s="17" t="s">
        <v>421</v>
      </c>
      <c r="X37" s="17" t="s">
        <v>62</v>
      </c>
      <c r="Y37" s="17" t="s">
        <v>123</v>
      </c>
      <c r="Z37" s="17" t="s">
        <v>172</v>
      </c>
      <c r="AA37" s="31">
        <v>779951.43986699998</v>
      </c>
      <c r="AB37" s="31">
        <v>2421914.6394000002</v>
      </c>
    </row>
    <row r="38" spans="1:28">
      <c r="A38" s="30">
        <v>37</v>
      </c>
      <c r="B38" s="17">
        <v>611311</v>
      </c>
      <c r="C38" s="17" t="s">
        <v>214</v>
      </c>
      <c r="D38" s="17" t="s">
        <v>52</v>
      </c>
      <c r="E38" s="17" t="s">
        <v>408</v>
      </c>
      <c r="F38" s="17" t="s">
        <v>503</v>
      </c>
      <c r="G38" s="17" t="s">
        <v>422</v>
      </c>
      <c r="H38" s="17" t="s">
        <v>65</v>
      </c>
      <c r="I38" s="17">
        <v>20000</v>
      </c>
      <c r="J38" s="17" t="s">
        <v>54</v>
      </c>
      <c r="K38" s="17" t="s">
        <v>55</v>
      </c>
      <c r="L38" s="17" t="s">
        <v>20</v>
      </c>
      <c r="M38" s="17" t="s">
        <v>177</v>
      </c>
      <c r="N38" s="17" t="s">
        <v>57</v>
      </c>
      <c r="O38" s="17" t="s">
        <v>190</v>
      </c>
      <c r="P38" s="17" t="s">
        <v>20</v>
      </c>
      <c r="Q38" s="17" t="s">
        <v>196</v>
      </c>
      <c r="R38" s="17" t="s">
        <v>20</v>
      </c>
      <c r="S38" s="17" t="s">
        <v>289</v>
      </c>
      <c r="T38" s="17">
        <v>326</v>
      </c>
      <c r="U38" s="18">
        <v>0</v>
      </c>
      <c r="W38" s="17" t="s">
        <v>411</v>
      </c>
      <c r="X38" s="17" t="s">
        <v>59</v>
      </c>
      <c r="Y38" s="17" t="s">
        <v>123</v>
      </c>
      <c r="Z38" s="17" t="s">
        <v>172</v>
      </c>
      <c r="AA38" s="31">
        <v>779963.84042200004</v>
      </c>
      <c r="AB38" s="31">
        <v>2422669.9009199999</v>
      </c>
    </row>
    <row r="39" spans="1:28">
      <c r="A39" s="30">
        <v>38</v>
      </c>
      <c r="B39" s="17">
        <v>611311</v>
      </c>
      <c r="C39" s="17" t="s">
        <v>214</v>
      </c>
      <c r="D39" s="17" t="s">
        <v>52</v>
      </c>
      <c r="E39" s="17" t="s">
        <v>408</v>
      </c>
      <c r="F39" s="17" t="s">
        <v>503</v>
      </c>
      <c r="G39" s="17" t="s">
        <v>422</v>
      </c>
      <c r="H39" s="17" t="s">
        <v>65</v>
      </c>
      <c r="I39" s="17">
        <v>20000</v>
      </c>
      <c r="J39" s="17" t="s">
        <v>54</v>
      </c>
      <c r="K39" s="17" t="s">
        <v>55</v>
      </c>
      <c r="L39" s="17" t="s">
        <v>20</v>
      </c>
      <c r="M39" s="17" t="s">
        <v>176</v>
      </c>
      <c r="N39" s="17" t="s">
        <v>20</v>
      </c>
      <c r="O39" s="17" t="s">
        <v>189</v>
      </c>
      <c r="P39" s="17" t="s">
        <v>20</v>
      </c>
      <c r="Q39" s="17" t="s">
        <v>177</v>
      </c>
      <c r="R39" s="17" t="s">
        <v>20</v>
      </c>
      <c r="S39" s="17" t="s">
        <v>188</v>
      </c>
      <c r="T39" s="17">
        <v>101</v>
      </c>
      <c r="U39" s="18">
        <v>0</v>
      </c>
      <c r="W39" s="17" t="s">
        <v>411</v>
      </c>
      <c r="X39" s="17" t="s">
        <v>59</v>
      </c>
      <c r="Y39" s="17" t="s">
        <v>123</v>
      </c>
      <c r="Z39" s="17" t="s">
        <v>172</v>
      </c>
      <c r="AA39" s="31">
        <v>780011.68303800002</v>
      </c>
      <c r="AB39" s="31">
        <v>2422664.7557299999</v>
      </c>
    </row>
    <row r="40" spans="1:28">
      <c r="A40" s="30">
        <v>39</v>
      </c>
      <c r="B40" s="17">
        <v>611311</v>
      </c>
      <c r="C40" s="17" t="s">
        <v>214</v>
      </c>
      <c r="D40" s="17" t="s">
        <v>52</v>
      </c>
      <c r="E40" s="17" t="s">
        <v>408</v>
      </c>
      <c r="F40" s="17" t="s">
        <v>503</v>
      </c>
      <c r="G40" s="17" t="s">
        <v>422</v>
      </c>
      <c r="H40" s="17" t="s">
        <v>65</v>
      </c>
      <c r="I40" s="17">
        <v>20000</v>
      </c>
      <c r="J40" s="17" t="s">
        <v>54</v>
      </c>
      <c r="K40" s="17" t="s">
        <v>55</v>
      </c>
      <c r="L40" s="17" t="s">
        <v>20</v>
      </c>
      <c r="M40" s="17" t="s">
        <v>176</v>
      </c>
      <c r="N40" s="17" t="s">
        <v>20</v>
      </c>
      <c r="O40" s="17" t="s">
        <v>189</v>
      </c>
      <c r="P40" s="17" t="s">
        <v>20</v>
      </c>
      <c r="Q40" s="17" t="s">
        <v>177</v>
      </c>
      <c r="R40" s="17" t="s">
        <v>20</v>
      </c>
      <c r="S40" s="17" t="s">
        <v>188</v>
      </c>
      <c r="T40" s="17">
        <v>101</v>
      </c>
      <c r="U40" s="18">
        <v>0</v>
      </c>
      <c r="W40" s="17" t="s">
        <v>423</v>
      </c>
      <c r="X40" s="17" t="s">
        <v>59</v>
      </c>
      <c r="Y40" s="17" t="s">
        <v>123</v>
      </c>
      <c r="Z40" s="17" t="s">
        <v>172</v>
      </c>
      <c r="AA40" s="31">
        <v>780011.68303800002</v>
      </c>
      <c r="AB40" s="31">
        <v>2422664.7557299999</v>
      </c>
    </row>
    <row r="41" spans="1:28">
      <c r="A41" s="30">
        <v>40</v>
      </c>
      <c r="B41" s="17">
        <v>611311</v>
      </c>
      <c r="C41" s="17" t="s">
        <v>214</v>
      </c>
      <c r="D41" s="17" t="s">
        <v>52</v>
      </c>
      <c r="E41" s="17" t="s">
        <v>408</v>
      </c>
      <c r="F41" s="17" t="s">
        <v>503</v>
      </c>
      <c r="G41" s="17" t="s">
        <v>422</v>
      </c>
      <c r="H41" s="17" t="s">
        <v>65</v>
      </c>
      <c r="I41" s="17">
        <v>20000</v>
      </c>
      <c r="J41" s="17" t="s">
        <v>54</v>
      </c>
      <c r="K41" s="17" t="s">
        <v>55</v>
      </c>
      <c r="L41" s="17" t="s">
        <v>20</v>
      </c>
      <c r="M41" s="17" t="s">
        <v>176</v>
      </c>
      <c r="N41" s="17" t="s">
        <v>20</v>
      </c>
      <c r="O41" s="17" t="s">
        <v>189</v>
      </c>
      <c r="P41" s="17" t="s">
        <v>20</v>
      </c>
      <c r="Q41" s="17" t="s">
        <v>177</v>
      </c>
      <c r="R41" s="17" t="s">
        <v>20</v>
      </c>
      <c r="S41" s="17" t="s">
        <v>188</v>
      </c>
      <c r="T41" s="17">
        <v>101</v>
      </c>
      <c r="U41" s="18">
        <v>0</v>
      </c>
      <c r="W41" s="17" t="s">
        <v>411</v>
      </c>
      <c r="X41" s="17" t="s">
        <v>59</v>
      </c>
      <c r="Y41" s="17" t="s">
        <v>123</v>
      </c>
      <c r="Z41" s="17" t="s">
        <v>172</v>
      </c>
      <c r="AA41" s="31">
        <v>780011.68303800002</v>
      </c>
      <c r="AB41" s="31">
        <v>2422664.7557299999</v>
      </c>
    </row>
    <row r="42" spans="1:28">
      <c r="A42" s="30">
        <v>41</v>
      </c>
      <c r="B42" s="17">
        <v>611311</v>
      </c>
      <c r="C42" s="17" t="s">
        <v>214</v>
      </c>
      <c r="D42" s="17" t="s">
        <v>52</v>
      </c>
      <c r="E42" s="17" t="s">
        <v>408</v>
      </c>
      <c r="F42" s="17" t="s">
        <v>503</v>
      </c>
      <c r="G42" s="17" t="s">
        <v>422</v>
      </c>
      <c r="H42" s="17" t="s">
        <v>65</v>
      </c>
      <c r="I42" s="17">
        <v>20000</v>
      </c>
      <c r="J42" s="17" t="s">
        <v>54</v>
      </c>
      <c r="K42" s="17" t="s">
        <v>55</v>
      </c>
      <c r="L42" s="17" t="s">
        <v>20</v>
      </c>
      <c r="M42" s="17" t="s">
        <v>176</v>
      </c>
      <c r="N42" s="17" t="s">
        <v>20</v>
      </c>
      <c r="O42" s="17" t="s">
        <v>189</v>
      </c>
      <c r="P42" s="17" t="s">
        <v>20</v>
      </c>
      <c r="Q42" s="17" t="s">
        <v>177</v>
      </c>
      <c r="R42" s="17" t="s">
        <v>20</v>
      </c>
      <c r="S42" s="17" t="s">
        <v>188</v>
      </c>
      <c r="T42" s="17">
        <v>101</v>
      </c>
      <c r="U42" s="18">
        <v>0</v>
      </c>
      <c r="W42" s="17" t="s">
        <v>411</v>
      </c>
      <c r="X42" s="17" t="s">
        <v>59</v>
      </c>
      <c r="Y42" s="17" t="s">
        <v>123</v>
      </c>
      <c r="Z42" s="17" t="s">
        <v>172</v>
      </c>
      <c r="AA42" s="31">
        <v>780011.68303800002</v>
      </c>
      <c r="AB42" s="31">
        <v>2422664.7557299999</v>
      </c>
    </row>
    <row r="43" spans="1:28">
      <c r="A43" s="30">
        <v>42</v>
      </c>
      <c r="B43" s="17">
        <v>611311</v>
      </c>
      <c r="C43" s="17" t="s">
        <v>214</v>
      </c>
      <c r="D43" s="17" t="s">
        <v>52</v>
      </c>
      <c r="E43" s="17" t="s">
        <v>408</v>
      </c>
      <c r="F43" s="17" t="s">
        <v>503</v>
      </c>
      <c r="G43" s="17" t="s">
        <v>422</v>
      </c>
      <c r="H43" s="17" t="s">
        <v>65</v>
      </c>
      <c r="I43" s="17">
        <v>20000</v>
      </c>
      <c r="J43" s="17" t="s">
        <v>54</v>
      </c>
      <c r="K43" s="17" t="s">
        <v>55</v>
      </c>
      <c r="L43" s="17" t="s">
        <v>20</v>
      </c>
      <c r="M43" s="17" t="s">
        <v>177</v>
      </c>
      <c r="N43" s="17" t="s">
        <v>57</v>
      </c>
      <c r="O43" s="17" t="s">
        <v>187</v>
      </c>
      <c r="P43" s="17" t="s">
        <v>20</v>
      </c>
      <c r="Q43" s="17" t="s">
        <v>130</v>
      </c>
      <c r="R43" s="17" t="s">
        <v>20</v>
      </c>
      <c r="S43" s="17" t="s">
        <v>188</v>
      </c>
      <c r="T43" s="17">
        <v>315</v>
      </c>
      <c r="U43" s="18">
        <v>0</v>
      </c>
      <c r="W43" s="17" t="s">
        <v>411</v>
      </c>
      <c r="X43" s="17" t="s">
        <v>59</v>
      </c>
      <c r="Y43" s="17" t="s">
        <v>123</v>
      </c>
      <c r="Z43" s="17" t="s">
        <v>172</v>
      </c>
      <c r="AA43" s="31">
        <v>779893.33844199998</v>
      </c>
      <c r="AB43" s="31">
        <v>2422602.9300199999</v>
      </c>
    </row>
    <row r="44" spans="1:28">
      <c r="A44" s="30">
        <v>43</v>
      </c>
      <c r="B44" s="17">
        <v>611311</v>
      </c>
      <c r="C44" s="17" t="s">
        <v>214</v>
      </c>
      <c r="D44" s="17" t="s">
        <v>52</v>
      </c>
      <c r="E44" s="17" t="s">
        <v>424</v>
      </c>
      <c r="F44" s="17" t="s">
        <v>503</v>
      </c>
      <c r="G44" s="17" t="s">
        <v>425</v>
      </c>
      <c r="H44" s="17" t="s">
        <v>65</v>
      </c>
      <c r="I44" s="17">
        <v>20000</v>
      </c>
      <c r="J44" s="17" t="s">
        <v>54</v>
      </c>
      <c r="K44" s="17" t="s">
        <v>60</v>
      </c>
      <c r="L44" s="17" t="s">
        <v>20</v>
      </c>
      <c r="M44" s="17" t="s">
        <v>177</v>
      </c>
      <c r="N44" s="17" t="s">
        <v>20</v>
      </c>
      <c r="O44" s="17" t="s">
        <v>191</v>
      </c>
      <c r="P44" s="17" t="s">
        <v>20</v>
      </c>
      <c r="Q44" s="17" t="s">
        <v>195</v>
      </c>
      <c r="R44" s="17" t="s">
        <v>57</v>
      </c>
      <c r="S44" s="17" t="s">
        <v>201</v>
      </c>
      <c r="T44" s="17">
        <v>204</v>
      </c>
      <c r="U44" s="18">
        <v>0</v>
      </c>
      <c r="V44" s="17" t="s">
        <v>426</v>
      </c>
      <c r="W44" s="17" t="s">
        <v>427</v>
      </c>
      <c r="X44" s="17" t="s">
        <v>59</v>
      </c>
      <c r="Y44" s="17" t="s">
        <v>123</v>
      </c>
      <c r="Z44" s="17" t="s">
        <v>172</v>
      </c>
      <c r="AA44" s="31">
        <v>779651.94115299999</v>
      </c>
      <c r="AB44" s="31">
        <v>2422497.9441399998</v>
      </c>
    </row>
    <row r="45" spans="1:28">
      <c r="A45" s="30">
        <v>44</v>
      </c>
      <c r="B45" s="17">
        <v>611211</v>
      </c>
      <c r="C45" s="17" t="s">
        <v>214</v>
      </c>
      <c r="D45" s="17" t="s">
        <v>52</v>
      </c>
      <c r="E45" s="17" t="s">
        <v>428</v>
      </c>
      <c r="F45" s="17" t="s">
        <v>505</v>
      </c>
      <c r="G45" s="17" t="s">
        <v>429</v>
      </c>
      <c r="H45" s="17" t="s">
        <v>65</v>
      </c>
      <c r="I45" s="17">
        <v>20000</v>
      </c>
      <c r="J45" s="17" t="s">
        <v>54</v>
      </c>
      <c r="K45" s="17" t="s">
        <v>60</v>
      </c>
      <c r="L45" s="17" t="s">
        <v>20</v>
      </c>
      <c r="M45" s="17" t="s">
        <v>202</v>
      </c>
      <c r="N45" s="17" t="s">
        <v>20</v>
      </c>
      <c r="O45" s="17" t="s">
        <v>207</v>
      </c>
      <c r="P45" s="17" t="s">
        <v>20</v>
      </c>
      <c r="Q45" s="17" t="s">
        <v>194</v>
      </c>
      <c r="R45" s="17" t="s">
        <v>20</v>
      </c>
      <c r="S45" s="17" t="s">
        <v>206</v>
      </c>
      <c r="T45" s="17">
        <v>306</v>
      </c>
      <c r="U45" s="18">
        <v>0</v>
      </c>
      <c r="V45" s="17" t="s">
        <v>430</v>
      </c>
      <c r="W45" s="17" t="s">
        <v>431</v>
      </c>
      <c r="X45" s="17" t="s">
        <v>59</v>
      </c>
      <c r="Y45" s="17" t="s">
        <v>99</v>
      </c>
      <c r="Z45" s="17" t="s">
        <v>172</v>
      </c>
      <c r="AA45" s="31">
        <v>779146.06940899999</v>
      </c>
      <c r="AB45" s="31">
        <v>2422257.3802299998</v>
      </c>
    </row>
    <row r="46" spans="1:28">
      <c r="A46" s="30">
        <v>45</v>
      </c>
      <c r="B46" s="17">
        <v>611211</v>
      </c>
      <c r="C46" s="17" t="s">
        <v>214</v>
      </c>
      <c r="D46" s="17" t="s">
        <v>52</v>
      </c>
      <c r="E46" s="17" t="s">
        <v>432</v>
      </c>
      <c r="F46" s="17" t="s">
        <v>505</v>
      </c>
      <c r="G46" s="17" t="s">
        <v>432</v>
      </c>
      <c r="H46" s="17" t="s">
        <v>65</v>
      </c>
      <c r="I46" s="17">
        <v>20000</v>
      </c>
      <c r="J46" s="17" t="s">
        <v>54</v>
      </c>
      <c r="K46" s="17" t="s">
        <v>55</v>
      </c>
      <c r="L46" s="17" t="s">
        <v>20</v>
      </c>
      <c r="M46" s="17" t="s">
        <v>179</v>
      </c>
      <c r="N46" s="17" t="s">
        <v>20</v>
      </c>
      <c r="O46" s="17" t="s">
        <v>156</v>
      </c>
      <c r="P46" s="17" t="s">
        <v>20</v>
      </c>
      <c r="Q46" s="17" t="s">
        <v>150</v>
      </c>
      <c r="R46" s="17" t="s">
        <v>56</v>
      </c>
      <c r="S46" s="17" t="s">
        <v>135</v>
      </c>
      <c r="T46" s="17">
        <v>105</v>
      </c>
      <c r="U46" s="18">
        <v>44994517974</v>
      </c>
      <c r="V46" s="17" t="s">
        <v>433</v>
      </c>
      <c r="W46" s="17" t="s">
        <v>434</v>
      </c>
      <c r="X46" s="17" t="s">
        <v>61</v>
      </c>
      <c r="Y46" s="17" t="s">
        <v>99</v>
      </c>
      <c r="Z46" s="17" t="s">
        <v>172</v>
      </c>
      <c r="AA46" s="31">
        <v>779453.95237900002</v>
      </c>
      <c r="AB46" s="31">
        <v>2421878.0519099999</v>
      </c>
    </row>
    <row r="47" spans="1:28">
      <c r="A47" s="30">
        <v>46</v>
      </c>
      <c r="B47" s="17">
        <v>611311</v>
      </c>
      <c r="C47" s="17" t="s">
        <v>214</v>
      </c>
      <c r="D47" s="17" t="s">
        <v>52</v>
      </c>
      <c r="E47" s="17" t="s">
        <v>435</v>
      </c>
      <c r="F47" s="17" t="s">
        <v>503</v>
      </c>
      <c r="G47" s="17" t="s">
        <v>436</v>
      </c>
      <c r="H47" s="17" t="s">
        <v>53</v>
      </c>
      <c r="I47" s="17">
        <v>20070</v>
      </c>
      <c r="J47" s="17" t="s">
        <v>54</v>
      </c>
      <c r="K47" s="17" t="s">
        <v>60</v>
      </c>
      <c r="L47" s="17" t="s">
        <v>20</v>
      </c>
      <c r="M47" s="17" t="s">
        <v>205</v>
      </c>
      <c r="N47" s="17" t="s">
        <v>20</v>
      </c>
      <c r="O47" s="17" t="s">
        <v>290</v>
      </c>
      <c r="P47" s="17" t="s">
        <v>20</v>
      </c>
      <c r="Q47" s="17" t="s">
        <v>204</v>
      </c>
      <c r="R47" s="17" t="s">
        <v>20</v>
      </c>
      <c r="S47" s="17" t="s">
        <v>134</v>
      </c>
      <c r="T47" s="17">
        <v>123</v>
      </c>
      <c r="U47" s="18">
        <v>4491812621</v>
      </c>
      <c r="V47" s="17" t="s">
        <v>437</v>
      </c>
      <c r="X47" s="17" t="s">
        <v>59</v>
      </c>
      <c r="Y47" s="17" t="s">
        <v>99</v>
      </c>
      <c r="Z47" s="17" t="s">
        <v>172</v>
      </c>
      <c r="AA47" s="31">
        <v>778661.54678199999</v>
      </c>
      <c r="AB47" s="31">
        <v>2421996.8027900001</v>
      </c>
    </row>
    <row r="48" spans="1:28">
      <c r="A48" s="30">
        <v>47</v>
      </c>
      <c r="B48" s="17">
        <v>611311</v>
      </c>
      <c r="C48" s="17" t="s">
        <v>214</v>
      </c>
      <c r="D48" s="17" t="s">
        <v>52</v>
      </c>
      <c r="E48" s="17" t="s">
        <v>438</v>
      </c>
      <c r="F48" s="17" t="s">
        <v>503</v>
      </c>
      <c r="G48" s="17" t="s">
        <v>439</v>
      </c>
      <c r="H48" s="17" t="s">
        <v>53</v>
      </c>
      <c r="I48" s="17">
        <v>20059</v>
      </c>
      <c r="J48" s="17" t="s">
        <v>54</v>
      </c>
      <c r="K48" s="17" t="s">
        <v>60</v>
      </c>
      <c r="L48" s="17" t="s">
        <v>20</v>
      </c>
      <c r="M48" s="17" t="s">
        <v>206</v>
      </c>
      <c r="N48" s="17" t="s">
        <v>20</v>
      </c>
      <c r="O48" s="17" t="s">
        <v>91</v>
      </c>
      <c r="P48" s="17" t="s">
        <v>20</v>
      </c>
      <c r="Q48" s="17" t="s">
        <v>207</v>
      </c>
      <c r="R48" s="17" t="s">
        <v>20</v>
      </c>
      <c r="S48" s="17" t="s">
        <v>134</v>
      </c>
      <c r="T48" s="17">
        <v>323</v>
      </c>
      <c r="U48" s="18">
        <v>0</v>
      </c>
      <c r="V48" s="17" t="s">
        <v>440</v>
      </c>
      <c r="X48" s="17" t="s">
        <v>59</v>
      </c>
      <c r="Y48" s="17" t="s">
        <v>99</v>
      </c>
      <c r="Z48" s="17" t="s">
        <v>172</v>
      </c>
      <c r="AA48" s="31">
        <v>778912.32108300005</v>
      </c>
      <c r="AB48" s="31">
        <v>2422087.14701</v>
      </c>
    </row>
    <row r="49" spans="1:28">
      <c r="A49" s="30">
        <v>48</v>
      </c>
      <c r="B49" s="17">
        <v>611311</v>
      </c>
      <c r="C49" s="17" t="s">
        <v>214</v>
      </c>
      <c r="D49" s="17" t="s">
        <v>52</v>
      </c>
      <c r="E49" s="17" t="s">
        <v>441</v>
      </c>
      <c r="F49" s="17" t="s">
        <v>503</v>
      </c>
      <c r="G49" s="17" t="s">
        <v>348</v>
      </c>
      <c r="H49" s="17" t="s">
        <v>65</v>
      </c>
      <c r="I49" s="17">
        <v>20000</v>
      </c>
      <c r="J49" s="17" t="s">
        <v>54</v>
      </c>
      <c r="K49" s="17" t="s">
        <v>69</v>
      </c>
      <c r="L49" s="17" t="s">
        <v>20</v>
      </c>
      <c r="M49" s="17" t="s">
        <v>70</v>
      </c>
      <c r="N49" s="17" t="s">
        <v>20</v>
      </c>
      <c r="O49" s="17" t="s">
        <v>291</v>
      </c>
      <c r="P49" s="17" t="s">
        <v>20</v>
      </c>
      <c r="Q49" s="17" t="s">
        <v>292</v>
      </c>
      <c r="R49" s="17" t="s">
        <v>20</v>
      </c>
      <c r="S49" s="17" t="s">
        <v>287</v>
      </c>
      <c r="T49" s="17">
        <v>122</v>
      </c>
      <c r="U49" s="18">
        <v>0</v>
      </c>
      <c r="V49" s="17" t="s">
        <v>442</v>
      </c>
      <c r="X49" s="17" t="s">
        <v>92</v>
      </c>
      <c r="Y49" s="17" t="s">
        <v>99</v>
      </c>
      <c r="Z49" s="17" t="s">
        <v>172</v>
      </c>
      <c r="AA49" s="31">
        <v>779309.91836799996</v>
      </c>
      <c r="AB49" s="31">
        <v>2422206.6234800001</v>
      </c>
    </row>
    <row r="50" spans="1:28">
      <c r="A50" s="30">
        <v>49</v>
      </c>
      <c r="B50" s="17">
        <v>611311</v>
      </c>
      <c r="C50" s="17" t="s">
        <v>214</v>
      </c>
      <c r="D50" s="17" t="s">
        <v>52</v>
      </c>
      <c r="E50" s="17" t="s">
        <v>443</v>
      </c>
      <c r="F50" s="17" t="s">
        <v>503</v>
      </c>
      <c r="G50" s="17" t="s">
        <v>444</v>
      </c>
      <c r="H50" s="17" t="s">
        <v>65</v>
      </c>
      <c r="I50" s="17">
        <v>20230</v>
      </c>
      <c r="J50" s="17" t="s">
        <v>54</v>
      </c>
      <c r="K50" s="17" t="s">
        <v>75</v>
      </c>
      <c r="L50" s="17" t="s">
        <v>20</v>
      </c>
      <c r="M50" s="17" t="s">
        <v>166</v>
      </c>
      <c r="N50" s="17" t="s">
        <v>20</v>
      </c>
      <c r="O50" s="17" t="s">
        <v>116</v>
      </c>
      <c r="P50" s="17" t="s">
        <v>20</v>
      </c>
      <c r="Q50" s="17" t="s">
        <v>203</v>
      </c>
      <c r="R50" s="17" t="s">
        <v>117</v>
      </c>
      <c r="S50" s="17" t="s">
        <v>209</v>
      </c>
      <c r="T50" s="17">
        <v>213</v>
      </c>
      <c r="U50" s="18">
        <v>0</v>
      </c>
      <c r="X50" s="17" t="s">
        <v>59</v>
      </c>
      <c r="Y50" s="17" t="s">
        <v>99</v>
      </c>
      <c r="Z50" s="17" t="s">
        <v>172</v>
      </c>
      <c r="AA50" s="31">
        <v>779351.43321100005</v>
      </c>
      <c r="AB50" s="31">
        <v>2420914.7271500002</v>
      </c>
    </row>
    <row r="51" spans="1:28">
      <c r="A51" s="30">
        <v>50</v>
      </c>
      <c r="B51" s="17">
        <v>611311</v>
      </c>
      <c r="C51" s="17" t="s">
        <v>214</v>
      </c>
      <c r="D51" s="17" t="s">
        <v>52</v>
      </c>
      <c r="E51" s="17" t="s">
        <v>445</v>
      </c>
      <c r="F51" s="17" t="s">
        <v>503</v>
      </c>
      <c r="G51" s="17" t="s">
        <v>446</v>
      </c>
      <c r="H51" s="17" t="s">
        <v>84</v>
      </c>
      <c r="I51" s="17">
        <v>20199</v>
      </c>
      <c r="J51" s="17" t="s">
        <v>54</v>
      </c>
      <c r="K51" s="17" t="s">
        <v>69</v>
      </c>
      <c r="L51" s="17" t="s">
        <v>20</v>
      </c>
      <c r="M51" s="17" t="s">
        <v>220</v>
      </c>
      <c r="N51" s="17" t="s">
        <v>20</v>
      </c>
      <c r="O51" s="17" t="s">
        <v>216</v>
      </c>
      <c r="P51" s="17" t="s">
        <v>20</v>
      </c>
      <c r="Q51" s="17" t="s">
        <v>217</v>
      </c>
      <c r="R51" s="17" t="s">
        <v>20</v>
      </c>
      <c r="S51" s="17" t="s">
        <v>219</v>
      </c>
      <c r="T51" s="17">
        <v>612</v>
      </c>
      <c r="U51" s="18">
        <v>0</v>
      </c>
      <c r="X51" s="17" t="s">
        <v>62</v>
      </c>
      <c r="Y51" s="17" t="s">
        <v>210</v>
      </c>
      <c r="Z51" s="17" t="s">
        <v>215</v>
      </c>
      <c r="AA51" s="31">
        <v>782958.17063199996</v>
      </c>
      <c r="AB51" s="31">
        <v>2423551.76168</v>
      </c>
    </row>
    <row r="52" spans="1:28">
      <c r="A52" s="30">
        <v>51</v>
      </c>
      <c r="B52" s="17">
        <v>611312</v>
      </c>
      <c r="C52" s="17" t="s">
        <v>214</v>
      </c>
      <c r="D52" s="17" t="s">
        <v>308</v>
      </c>
      <c r="E52" s="17" t="s">
        <v>447</v>
      </c>
      <c r="F52" s="17" t="s">
        <v>504</v>
      </c>
      <c r="G52" s="17" t="s">
        <v>447</v>
      </c>
      <c r="H52" s="17" t="s">
        <v>78</v>
      </c>
      <c r="I52" s="17">
        <v>20210</v>
      </c>
      <c r="J52" s="17" t="s">
        <v>54</v>
      </c>
      <c r="K52" s="17" t="s">
        <v>89</v>
      </c>
      <c r="L52" s="17" t="s">
        <v>56</v>
      </c>
      <c r="M52" s="17" t="s">
        <v>183</v>
      </c>
      <c r="N52" s="17" t="s">
        <v>223</v>
      </c>
      <c r="O52" s="17" t="s">
        <v>103</v>
      </c>
      <c r="P52" s="17" t="s">
        <v>56</v>
      </c>
      <c r="Q52" s="17" t="s">
        <v>171</v>
      </c>
      <c r="R52" s="17" t="s">
        <v>221</v>
      </c>
      <c r="S52" s="17" t="s">
        <v>294</v>
      </c>
      <c r="T52" s="17">
        <v>904</v>
      </c>
      <c r="U52" s="18">
        <v>4499151574</v>
      </c>
      <c r="V52" s="17" t="s">
        <v>448</v>
      </c>
      <c r="W52" s="17" t="s">
        <v>449</v>
      </c>
      <c r="X52" s="17" t="s">
        <v>61</v>
      </c>
      <c r="Y52" s="17" t="s">
        <v>123</v>
      </c>
      <c r="Z52" s="17" t="s">
        <v>222</v>
      </c>
      <c r="AA52" s="31">
        <v>780929.13108700002</v>
      </c>
      <c r="AB52" s="31">
        <v>2421304.3535799999</v>
      </c>
    </row>
    <row r="53" spans="1:28">
      <c r="A53" s="30">
        <v>52</v>
      </c>
      <c r="B53" s="17">
        <v>611312</v>
      </c>
      <c r="C53" s="17" t="s">
        <v>214</v>
      </c>
      <c r="D53" s="17" t="s">
        <v>308</v>
      </c>
      <c r="E53" s="17" t="s">
        <v>450</v>
      </c>
      <c r="F53" s="17" t="s">
        <v>504</v>
      </c>
      <c r="G53" s="17" t="s">
        <v>451</v>
      </c>
      <c r="H53" s="17" t="s">
        <v>84</v>
      </c>
      <c r="I53" s="17">
        <v>20256</v>
      </c>
      <c r="J53" s="17" t="s">
        <v>54</v>
      </c>
      <c r="K53" s="17" t="s">
        <v>346</v>
      </c>
      <c r="L53" s="17" t="s">
        <v>56</v>
      </c>
      <c r="M53" s="17" t="s">
        <v>178</v>
      </c>
      <c r="N53" s="17" t="s">
        <v>20</v>
      </c>
      <c r="O53" s="17" t="s">
        <v>295</v>
      </c>
      <c r="P53" s="17" t="s">
        <v>56</v>
      </c>
      <c r="Q53" s="17" t="s">
        <v>226</v>
      </c>
      <c r="R53" s="17" t="s">
        <v>56</v>
      </c>
      <c r="S53" s="17" t="s">
        <v>183</v>
      </c>
      <c r="T53" s="17">
        <v>1801</v>
      </c>
      <c r="U53" s="18">
        <v>4499105002</v>
      </c>
      <c r="V53" s="17" t="s">
        <v>452</v>
      </c>
      <c r="W53" s="17" t="s">
        <v>453</v>
      </c>
      <c r="X53" s="17" t="s">
        <v>62</v>
      </c>
      <c r="Y53" s="17" t="s">
        <v>115</v>
      </c>
      <c r="Z53" s="17" t="s">
        <v>222</v>
      </c>
      <c r="AA53" s="31">
        <v>782823.90167000005</v>
      </c>
      <c r="AB53" s="31">
        <v>2421861.7971299998</v>
      </c>
    </row>
    <row r="54" spans="1:28">
      <c r="A54" s="30">
        <v>53</v>
      </c>
      <c r="B54" s="17">
        <v>611212</v>
      </c>
      <c r="C54" s="17" t="s">
        <v>214</v>
      </c>
      <c r="D54" s="17" t="s">
        <v>308</v>
      </c>
      <c r="E54" s="17" t="s">
        <v>454</v>
      </c>
      <c r="F54" s="17" t="s">
        <v>506</v>
      </c>
      <c r="G54" s="17" t="s">
        <v>455</v>
      </c>
      <c r="H54" s="17" t="s">
        <v>84</v>
      </c>
      <c r="I54" s="17">
        <v>20263</v>
      </c>
      <c r="J54" s="17" t="s">
        <v>54</v>
      </c>
      <c r="K54" s="17" t="s">
        <v>69</v>
      </c>
      <c r="L54" s="17" t="s">
        <v>20</v>
      </c>
      <c r="M54" s="17" t="s">
        <v>296</v>
      </c>
      <c r="N54" s="17" t="s">
        <v>56</v>
      </c>
      <c r="O54" s="17" t="s">
        <v>105</v>
      </c>
      <c r="P54" s="17" t="s">
        <v>20</v>
      </c>
      <c r="Q54" s="17" t="s">
        <v>225</v>
      </c>
      <c r="R54" s="17" t="s">
        <v>20</v>
      </c>
      <c r="S54" s="17" t="s">
        <v>170</v>
      </c>
      <c r="T54" s="17">
        <v>0</v>
      </c>
      <c r="U54" s="18">
        <v>4499946600</v>
      </c>
      <c r="W54" s="17" t="s">
        <v>307</v>
      </c>
      <c r="X54" s="17" t="s">
        <v>62</v>
      </c>
      <c r="Y54" s="17" t="s">
        <v>213</v>
      </c>
      <c r="Z54" s="17" t="s">
        <v>222</v>
      </c>
      <c r="AA54" s="31">
        <v>783687.59243700001</v>
      </c>
      <c r="AB54" s="31">
        <v>2419756.9691900001</v>
      </c>
    </row>
    <row r="55" spans="1:28">
      <c r="A55" s="30">
        <v>54</v>
      </c>
      <c r="B55" s="17">
        <v>611312</v>
      </c>
      <c r="C55" s="17" t="s">
        <v>214</v>
      </c>
      <c r="D55" s="17" t="s">
        <v>308</v>
      </c>
      <c r="E55" s="17" t="s">
        <v>456</v>
      </c>
      <c r="F55" s="17" t="s">
        <v>504</v>
      </c>
      <c r="G55" s="17" t="s">
        <v>310</v>
      </c>
      <c r="H55" s="17" t="s">
        <v>84</v>
      </c>
      <c r="I55" s="17">
        <v>20170</v>
      </c>
      <c r="J55" s="17" t="s">
        <v>54</v>
      </c>
      <c r="K55" s="17" t="s">
        <v>89</v>
      </c>
      <c r="L55" s="17" t="s">
        <v>56</v>
      </c>
      <c r="M55" s="17" t="s">
        <v>228</v>
      </c>
      <c r="N55" s="17" t="s">
        <v>56</v>
      </c>
      <c r="O55" s="17" t="s">
        <v>229</v>
      </c>
      <c r="P55" s="17" t="s">
        <v>56</v>
      </c>
      <c r="Q55" s="17" t="s">
        <v>230</v>
      </c>
      <c r="R55" s="17" t="s">
        <v>56</v>
      </c>
      <c r="S55" s="17" t="s">
        <v>230</v>
      </c>
      <c r="T55" s="17">
        <v>0</v>
      </c>
      <c r="U55" s="18">
        <v>0</v>
      </c>
      <c r="X55" s="17" t="s">
        <v>62</v>
      </c>
      <c r="Y55" s="17" t="s">
        <v>210</v>
      </c>
      <c r="Z55" s="17" t="s">
        <v>227</v>
      </c>
      <c r="AA55" s="31">
        <v>781646.10968999995</v>
      </c>
      <c r="AB55" s="31">
        <v>2424026.1620700001</v>
      </c>
    </row>
    <row r="56" spans="1:28">
      <c r="A56" s="30">
        <v>55</v>
      </c>
      <c r="B56" s="17">
        <v>611312</v>
      </c>
      <c r="C56" s="17" t="s">
        <v>214</v>
      </c>
      <c r="D56" s="17" t="s">
        <v>308</v>
      </c>
      <c r="E56" s="17" t="s">
        <v>457</v>
      </c>
      <c r="F56" s="17" t="s">
        <v>504</v>
      </c>
      <c r="G56" s="17" t="s">
        <v>457</v>
      </c>
      <c r="H56" s="17" t="s">
        <v>131</v>
      </c>
      <c r="I56" s="17">
        <v>20342</v>
      </c>
      <c r="J56" s="17" t="s">
        <v>54</v>
      </c>
      <c r="K56" s="17" t="s">
        <v>346</v>
      </c>
      <c r="M56" s="17" t="s">
        <v>458</v>
      </c>
      <c r="O56" s="17" t="s">
        <v>58</v>
      </c>
      <c r="Q56" s="17" t="s">
        <v>58</v>
      </c>
      <c r="S56" s="17" t="s">
        <v>58</v>
      </c>
      <c r="T56" s="17">
        <v>207</v>
      </c>
      <c r="U56" s="18">
        <v>0</v>
      </c>
      <c r="X56" s="17" t="s">
        <v>88</v>
      </c>
      <c r="Y56" s="17" t="s">
        <v>107</v>
      </c>
      <c r="Z56" s="17" t="s">
        <v>231</v>
      </c>
      <c r="AA56" s="31">
        <v>779729.17258899997</v>
      </c>
      <c r="AB56" s="31">
        <v>2413932.5833999999</v>
      </c>
    </row>
    <row r="57" spans="1:28">
      <c r="A57" s="30">
        <v>56</v>
      </c>
      <c r="B57" s="17">
        <v>611312</v>
      </c>
      <c r="C57" s="17" t="s">
        <v>214</v>
      </c>
      <c r="D57" s="17" t="s">
        <v>308</v>
      </c>
      <c r="E57" s="17" t="s">
        <v>459</v>
      </c>
      <c r="F57" s="17" t="s">
        <v>504</v>
      </c>
      <c r="G57" s="17" t="s">
        <v>459</v>
      </c>
      <c r="H57" s="17" t="s">
        <v>81</v>
      </c>
      <c r="I57" s="17">
        <v>20340</v>
      </c>
      <c r="J57" s="17" t="s">
        <v>54</v>
      </c>
      <c r="K57" s="17" t="s">
        <v>93</v>
      </c>
      <c r="L57" s="17" t="s">
        <v>87</v>
      </c>
      <c r="M57" s="17" t="s">
        <v>90</v>
      </c>
      <c r="O57" s="17" t="s">
        <v>58</v>
      </c>
      <c r="Q57" s="17" t="s">
        <v>58</v>
      </c>
      <c r="S57" s="17" t="s">
        <v>58</v>
      </c>
      <c r="T57" s="17">
        <v>0</v>
      </c>
      <c r="U57" s="18">
        <v>0</v>
      </c>
      <c r="X57" s="17" t="s">
        <v>97</v>
      </c>
      <c r="Y57" s="17" t="s">
        <v>107</v>
      </c>
      <c r="Z57" s="17" t="s">
        <v>231</v>
      </c>
      <c r="AA57" s="31">
        <v>780086.12230199995</v>
      </c>
      <c r="AB57" s="31">
        <v>2412395.70199</v>
      </c>
    </row>
    <row r="58" spans="1:28">
      <c r="A58" s="30">
        <v>57</v>
      </c>
      <c r="B58" s="17">
        <v>611311</v>
      </c>
      <c r="C58" s="17" t="s">
        <v>214</v>
      </c>
      <c r="D58" s="17" t="s">
        <v>52</v>
      </c>
      <c r="E58" s="17" t="s">
        <v>460</v>
      </c>
      <c r="F58" s="17" t="s">
        <v>503</v>
      </c>
      <c r="G58" s="17" t="s">
        <v>461</v>
      </c>
      <c r="H58" s="17" t="s">
        <v>65</v>
      </c>
      <c r="I58" s="17">
        <v>20280</v>
      </c>
      <c r="J58" s="17" t="s">
        <v>54</v>
      </c>
      <c r="K58" s="17" t="s">
        <v>69</v>
      </c>
      <c r="L58" s="17" t="s">
        <v>56</v>
      </c>
      <c r="M58" s="17" t="s">
        <v>235</v>
      </c>
      <c r="N58" s="17" t="s">
        <v>20</v>
      </c>
      <c r="O58" s="17" t="s">
        <v>233</v>
      </c>
      <c r="P58" s="17" t="s">
        <v>20</v>
      </c>
      <c r="Q58" s="17" t="s">
        <v>58</v>
      </c>
      <c r="S58" s="17" t="s">
        <v>58</v>
      </c>
      <c r="T58" s="17">
        <v>2315</v>
      </c>
      <c r="U58" s="18">
        <v>0</v>
      </c>
      <c r="V58" s="17" t="s">
        <v>462</v>
      </c>
      <c r="X58" s="17" t="s">
        <v>59</v>
      </c>
      <c r="Y58" s="17" t="s">
        <v>107</v>
      </c>
      <c r="Z58" s="17" t="s">
        <v>231</v>
      </c>
      <c r="AA58" s="31">
        <v>780278.35436400003</v>
      </c>
      <c r="AB58" s="31">
        <v>2416171.10714</v>
      </c>
    </row>
    <row r="59" spans="1:28">
      <c r="A59" s="30">
        <v>58</v>
      </c>
      <c r="B59" s="17">
        <v>611311</v>
      </c>
      <c r="C59" s="17" t="s">
        <v>214</v>
      </c>
      <c r="D59" s="17" t="s">
        <v>52</v>
      </c>
      <c r="E59" s="17" t="s">
        <v>463</v>
      </c>
      <c r="F59" s="17" t="s">
        <v>503</v>
      </c>
      <c r="H59" s="17" t="s">
        <v>84</v>
      </c>
      <c r="I59" s="17">
        <v>20290</v>
      </c>
      <c r="J59" s="17" t="s">
        <v>54</v>
      </c>
      <c r="K59" s="17" t="s">
        <v>346</v>
      </c>
      <c r="L59" s="17" t="s">
        <v>56</v>
      </c>
      <c r="M59" s="17" t="s">
        <v>235</v>
      </c>
      <c r="N59" s="17" t="s">
        <v>20</v>
      </c>
      <c r="O59" s="17" t="s">
        <v>58</v>
      </c>
      <c r="P59" s="17" t="s">
        <v>102</v>
      </c>
      <c r="Q59" s="17" t="s">
        <v>236</v>
      </c>
      <c r="R59" s="17" t="s">
        <v>20</v>
      </c>
      <c r="S59" s="17" t="s">
        <v>58</v>
      </c>
      <c r="T59" s="17">
        <v>101</v>
      </c>
      <c r="U59" s="18">
        <v>0</v>
      </c>
      <c r="V59" s="17" t="s">
        <v>464</v>
      </c>
      <c r="W59" s="17" t="s">
        <v>465</v>
      </c>
      <c r="X59" s="17" t="s">
        <v>62</v>
      </c>
      <c r="Y59" s="17" t="s">
        <v>118</v>
      </c>
      <c r="Z59" s="17" t="s">
        <v>231</v>
      </c>
      <c r="AA59" s="31">
        <v>780696.46061199997</v>
      </c>
      <c r="AB59" s="31">
        <v>2415894.2891299999</v>
      </c>
    </row>
    <row r="60" spans="1:28">
      <c r="A60" s="30">
        <v>59</v>
      </c>
      <c r="B60" s="17">
        <v>611311</v>
      </c>
      <c r="C60" s="17" t="s">
        <v>214</v>
      </c>
      <c r="D60" s="17" t="s">
        <v>52</v>
      </c>
      <c r="E60" s="17" t="s">
        <v>466</v>
      </c>
      <c r="F60" s="17" t="s">
        <v>503</v>
      </c>
      <c r="G60" s="17" t="s">
        <v>373</v>
      </c>
      <c r="H60" s="17" t="s">
        <v>65</v>
      </c>
      <c r="I60" s="17">
        <v>20196</v>
      </c>
      <c r="J60" s="17" t="s">
        <v>54</v>
      </c>
      <c r="K60" s="17" t="s">
        <v>69</v>
      </c>
      <c r="L60" s="17" t="s">
        <v>56</v>
      </c>
      <c r="M60" s="17" t="s">
        <v>110</v>
      </c>
      <c r="N60" s="17" t="s">
        <v>20</v>
      </c>
      <c r="O60" s="17" t="s">
        <v>298</v>
      </c>
      <c r="P60" s="17" t="s">
        <v>20</v>
      </c>
      <c r="Q60" s="17" t="s">
        <v>299</v>
      </c>
      <c r="R60" s="17" t="s">
        <v>76</v>
      </c>
      <c r="S60" s="17" t="s">
        <v>58</v>
      </c>
      <c r="T60" s="17">
        <v>6104</v>
      </c>
      <c r="U60" s="18">
        <v>0</v>
      </c>
      <c r="V60" s="17" t="s">
        <v>467</v>
      </c>
      <c r="W60" s="17" t="s">
        <v>375</v>
      </c>
      <c r="X60" s="17" t="s">
        <v>62</v>
      </c>
      <c r="Y60" s="17" t="s">
        <v>213</v>
      </c>
      <c r="Z60" s="17" t="s">
        <v>237</v>
      </c>
      <c r="AA60" s="31">
        <v>784707.14361499995</v>
      </c>
      <c r="AB60" s="31">
        <v>2421094.5897599999</v>
      </c>
    </row>
    <row r="61" spans="1:28">
      <c r="A61" s="30">
        <v>60</v>
      </c>
      <c r="B61" s="17">
        <v>611311</v>
      </c>
      <c r="C61" s="17" t="s">
        <v>214</v>
      </c>
      <c r="D61" s="17" t="s">
        <v>52</v>
      </c>
      <c r="E61" s="17" t="s">
        <v>468</v>
      </c>
      <c r="F61" s="17" t="s">
        <v>503</v>
      </c>
      <c r="G61" s="17" t="s">
        <v>468</v>
      </c>
      <c r="H61" s="17" t="s">
        <v>212</v>
      </c>
      <c r="I61" s="17">
        <v>20196</v>
      </c>
      <c r="J61" s="17" t="s">
        <v>54</v>
      </c>
      <c r="K61" s="17" t="s">
        <v>55</v>
      </c>
      <c r="L61" s="17" t="s">
        <v>20</v>
      </c>
      <c r="M61" s="17" t="s">
        <v>211</v>
      </c>
      <c r="N61" s="17" t="s">
        <v>56</v>
      </c>
      <c r="O61" s="17" t="s">
        <v>226</v>
      </c>
      <c r="P61" s="17" t="s">
        <v>56</v>
      </c>
      <c r="Q61" s="17" t="s">
        <v>110</v>
      </c>
      <c r="R61" s="17" t="s">
        <v>56</v>
      </c>
      <c r="S61" s="17" t="s">
        <v>110</v>
      </c>
      <c r="T61" s="17">
        <v>0</v>
      </c>
      <c r="U61" s="18">
        <v>0</v>
      </c>
      <c r="X61" s="17" t="s">
        <v>59</v>
      </c>
      <c r="Y61" s="17" t="s">
        <v>213</v>
      </c>
      <c r="Z61" s="17" t="s">
        <v>237</v>
      </c>
      <c r="AA61" s="31">
        <v>784568.92765299999</v>
      </c>
      <c r="AB61" s="31">
        <v>2421108.7412899998</v>
      </c>
    </row>
    <row r="62" spans="1:28">
      <c r="A62" s="30">
        <v>61</v>
      </c>
      <c r="B62" s="17">
        <v>611311</v>
      </c>
      <c r="C62" s="17" t="s">
        <v>214</v>
      </c>
      <c r="D62" s="17" t="s">
        <v>52</v>
      </c>
      <c r="E62" s="17" t="s">
        <v>469</v>
      </c>
      <c r="F62" s="17" t="s">
        <v>503</v>
      </c>
      <c r="G62" s="17" t="s">
        <v>470</v>
      </c>
      <c r="H62" s="17" t="s">
        <v>65</v>
      </c>
      <c r="I62" s="17">
        <v>20137</v>
      </c>
      <c r="J62" s="17" t="s">
        <v>54</v>
      </c>
      <c r="K62" s="17" t="s">
        <v>75</v>
      </c>
      <c r="L62" s="17" t="s">
        <v>76</v>
      </c>
      <c r="M62" s="17" t="s">
        <v>77</v>
      </c>
      <c r="N62" s="17" t="s">
        <v>20</v>
      </c>
      <c r="O62" s="17" t="s">
        <v>471</v>
      </c>
      <c r="P62" s="17" t="s">
        <v>76</v>
      </c>
      <c r="Q62" s="17" t="s">
        <v>95</v>
      </c>
      <c r="R62" s="17" t="s">
        <v>56</v>
      </c>
      <c r="S62" s="17" t="s">
        <v>300</v>
      </c>
      <c r="T62" s="17">
        <v>1111</v>
      </c>
      <c r="U62" s="18">
        <v>0</v>
      </c>
      <c r="V62" s="17" t="s">
        <v>472</v>
      </c>
      <c r="W62" s="17" t="s">
        <v>473</v>
      </c>
      <c r="X62" s="17" t="s">
        <v>59</v>
      </c>
      <c r="Y62" s="17" t="s">
        <v>114</v>
      </c>
      <c r="Z62" s="17" t="s">
        <v>239</v>
      </c>
      <c r="AA62" s="31">
        <v>775594.53507800004</v>
      </c>
      <c r="AB62" s="31">
        <v>2425309.79593</v>
      </c>
    </row>
    <row r="63" spans="1:28">
      <c r="A63" s="30">
        <v>62</v>
      </c>
      <c r="B63" s="17">
        <v>611312</v>
      </c>
      <c r="C63" s="17" t="s">
        <v>214</v>
      </c>
      <c r="D63" s="17" t="s">
        <v>308</v>
      </c>
      <c r="E63" s="17" t="s">
        <v>474</v>
      </c>
      <c r="F63" s="17" t="s">
        <v>504</v>
      </c>
      <c r="G63" s="17" t="s">
        <v>475</v>
      </c>
      <c r="H63" s="17" t="s">
        <v>65</v>
      </c>
      <c r="I63" s="17">
        <v>20313</v>
      </c>
      <c r="J63" s="17" t="s">
        <v>54</v>
      </c>
      <c r="K63" s="17" t="s">
        <v>75</v>
      </c>
      <c r="L63" s="17" t="s">
        <v>79</v>
      </c>
      <c r="M63" s="17" t="s">
        <v>476</v>
      </c>
      <c r="O63" s="17" t="s">
        <v>304</v>
      </c>
      <c r="Q63" s="17" t="s">
        <v>58</v>
      </c>
      <c r="S63" s="17" t="s">
        <v>58</v>
      </c>
      <c r="T63" s="17">
        <v>117</v>
      </c>
      <c r="U63" s="18">
        <v>0</v>
      </c>
      <c r="V63" s="17" t="s">
        <v>477</v>
      </c>
      <c r="X63" s="17" t="s">
        <v>94</v>
      </c>
      <c r="Y63" s="17" t="s">
        <v>120</v>
      </c>
      <c r="Z63" s="17" t="s">
        <v>239</v>
      </c>
      <c r="AA63" s="31">
        <v>773587.54208799999</v>
      </c>
      <c r="AB63" s="31">
        <v>2423665.36882</v>
      </c>
    </row>
    <row r="64" spans="1:28">
      <c r="A64" s="30">
        <v>63</v>
      </c>
      <c r="B64" s="17">
        <v>611311</v>
      </c>
      <c r="C64" s="17" t="s">
        <v>214</v>
      </c>
      <c r="D64" s="17" t="s">
        <v>52</v>
      </c>
      <c r="E64" s="17" t="s">
        <v>478</v>
      </c>
      <c r="F64" s="17" t="s">
        <v>503</v>
      </c>
      <c r="G64" s="17" t="s">
        <v>479</v>
      </c>
      <c r="H64" s="17" t="s">
        <v>84</v>
      </c>
      <c r="I64" s="17">
        <v>20207</v>
      </c>
      <c r="J64" s="17" t="s">
        <v>54</v>
      </c>
      <c r="K64" s="17" t="s">
        <v>89</v>
      </c>
      <c r="L64" s="17" t="s">
        <v>102</v>
      </c>
      <c r="M64" s="17" t="s">
        <v>241</v>
      </c>
      <c r="N64" s="17" t="s">
        <v>20</v>
      </c>
      <c r="O64" s="17" t="s">
        <v>242</v>
      </c>
      <c r="P64" s="17" t="s">
        <v>96</v>
      </c>
      <c r="Q64" s="17" t="s">
        <v>480</v>
      </c>
      <c r="R64" s="17" t="s">
        <v>20</v>
      </c>
      <c r="S64" s="17" t="s">
        <v>66</v>
      </c>
      <c r="T64" s="17">
        <v>1144</v>
      </c>
      <c r="U64" s="18">
        <v>0</v>
      </c>
      <c r="X64" s="17" t="s">
        <v>62</v>
      </c>
      <c r="Y64" s="17" t="s">
        <v>120</v>
      </c>
      <c r="Z64" s="17" t="s">
        <v>240</v>
      </c>
      <c r="AA64" s="31">
        <v>774684.75701099995</v>
      </c>
      <c r="AB64" s="31">
        <v>2419539.93157</v>
      </c>
    </row>
    <row r="65" spans="1:28">
      <c r="A65" s="30">
        <v>64</v>
      </c>
      <c r="B65" s="17">
        <v>611312</v>
      </c>
      <c r="C65" s="17" t="s">
        <v>214</v>
      </c>
      <c r="D65" s="17" t="s">
        <v>308</v>
      </c>
      <c r="E65" s="17" t="s">
        <v>481</v>
      </c>
      <c r="F65" s="17" t="s">
        <v>504</v>
      </c>
      <c r="G65" s="17" t="s">
        <v>482</v>
      </c>
      <c r="H65" s="17" t="s">
        <v>84</v>
      </c>
      <c r="I65" s="17">
        <v>20116</v>
      </c>
      <c r="J65" s="17" t="s">
        <v>113</v>
      </c>
      <c r="K65" s="17" t="s">
        <v>55</v>
      </c>
      <c r="L65" s="17" t="s">
        <v>20</v>
      </c>
      <c r="M65" s="17" t="s">
        <v>251</v>
      </c>
      <c r="N65" s="17" t="s">
        <v>20</v>
      </c>
      <c r="O65" s="17" t="s">
        <v>68</v>
      </c>
      <c r="P65" s="17" t="s">
        <v>20</v>
      </c>
      <c r="Q65" s="17" t="s">
        <v>251</v>
      </c>
      <c r="R65" s="17" t="s">
        <v>20</v>
      </c>
      <c r="S65" s="17" t="s">
        <v>252</v>
      </c>
      <c r="T65" s="17">
        <v>0</v>
      </c>
      <c r="U65" s="18">
        <v>0</v>
      </c>
      <c r="X65" s="17" t="s">
        <v>59</v>
      </c>
      <c r="Y65" s="17" t="s">
        <v>114</v>
      </c>
      <c r="Z65" s="17" t="s">
        <v>244</v>
      </c>
      <c r="AA65" s="31">
        <v>778913.80474299996</v>
      </c>
      <c r="AB65" s="31">
        <v>2428523.0923600001</v>
      </c>
    </row>
    <row r="66" spans="1:28">
      <c r="A66" s="30">
        <v>65</v>
      </c>
      <c r="B66" s="17">
        <v>611312</v>
      </c>
      <c r="C66" s="17" t="s">
        <v>214</v>
      </c>
      <c r="D66" s="17" t="s">
        <v>308</v>
      </c>
      <c r="E66" s="17" t="s">
        <v>306</v>
      </c>
      <c r="F66" s="17" t="s">
        <v>504</v>
      </c>
      <c r="G66" s="17" t="s">
        <v>306</v>
      </c>
      <c r="H66" s="17" t="s">
        <v>84</v>
      </c>
      <c r="I66" s="17">
        <v>20130</v>
      </c>
      <c r="J66" s="17" t="s">
        <v>54</v>
      </c>
      <c r="K66" s="17" t="s">
        <v>346</v>
      </c>
      <c r="L66" s="17" t="s">
        <v>56</v>
      </c>
      <c r="M66" s="17" t="s">
        <v>141</v>
      </c>
      <c r="N66" s="17" t="s">
        <v>20</v>
      </c>
      <c r="O66" s="17" t="s">
        <v>238</v>
      </c>
      <c r="Q66" s="17" t="s">
        <v>58</v>
      </c>
      <c r="R66" s="17" t="s">
        <v>56</v>
      </c>
      <c r="S66" s="17" t="s">
        <v>121</v>
      </c>
      <c r="T66" s="17">
        <v>940</v>
      </c>
      <c r="U66" s="18">
        <v>0</v>
      </c>
      <c r="V66" s="17" t="s">
        <v>483</v>
      </c>
      <c r="W66" s="17" t="s">
        <v>317</v>
      </c>
      <c r="X66" s="17" t="s">
        <v>59</v>
      </c>
      <c r="Y66" s="17" t="s">
        <v>114</v>
      </c>
      <c r="Z66" s="17" t="s">
        <v>244</v>
      </c>
      <c r="AA66" s="31">
        <v>777717.84839399997</v>
      </c>
      <c r="AB66" s="31">
        <v>2425449.13754</v>
      </c>
    </row>
    <row r="67" spans="1:28">
      <c r="A67" s="30">
        <v>66</v>
      </c>
      <c r="B67" s="17">
        <v>611311</v>
      </c>
      <c r="C67" s="17" t="s">
        <v>214</v>
      </c>
      <c r="D67" s="17" t="s">
        <v>52</v>
      </c>
      <c r="E67" s="17" t="s">
        <v>484</v>
      </c>
      <c r="F67" s="17" t="s">
        <v>503</v>
      </c>
      <c r="G67" s="17" t="s">
        <v>485</v>
      </c>
      <c r="H67" s="17" t="s">
        <v>65</v>
      </c>
      <c r="I67" s="17">
        <v>20135</v>
      </c>
      <c r="J67" s="17" t="s">
        <v>54</v>
      </c>
      <c r="K67" s="17" t="s">
        <v>75</v>
      </c>
      <c r="L67" s="17" t="s">
        <v>56</v>
      </c>
      <c r="M67" s="17" t="s">
        <v>138</v>
      </c>
      <c r="N67" s="17" t="s">
        <v>56</v>
      </c>
      <c r="O67" s="17" t="s">
        <v>85</v>
      </c>
      <c r="P67" s="17" t="s">
        <v>20</v>
      </c>
      <c r="Q67" s="17" t="s">
        <v>58</v>
      </c>
      <c r="R67" s="17" t="s">
        <v>20</v>
      </c>
      <c r="S67" s="17" t="s">
        <v>58</v>
      </c>
      <c r="T67" s="17">
        <v>0</v>
      </c>
      <c r="U67" s="18">
        <v>0</v>
      </c>
      <c r="W67" s="17" t="s">
        <v>486</v>
      </c>
      <c r="X67" s="17" t="s">
        <v>61</v>
      </c>
      <c r="Y67" s="17" t="s">
        <v>114</v>
      </c>
      <c r="Z67" s="17" t="s">
        <v>244</v>
      </c>
      <c r="AA67" s="31">
        <v>779254.58129600005</v>
      </c>
      <c r="AB67" s="31">
        <v>2425936.0899399999</v>
      </c>
    </row>
    <row r="68" spans="1:28">
      <c r="A68" s="30">
        <v>67</v>
      </c>
      <c r="B68" s="17">
        <v>611311</v>
      </c>
      <c r="C68" s="17" t="s">
        <v>214</v>
      </c>
      <c r="D68" s="17" t="s">
        <v>52</v>
      </c>
      <c r="E68" s="17" t="s">
        <v>484</v>
      </c>
      <c r="F68" s="17" t="s">
        <v>503</v>
      </c>
      <c r="G68" s="17" t="s">
        <v>484</v>
      </c>
      <c r="H68" s="17" t="s">
        <v>65</v>
      </c>
      <c r="I68" s="17">
        <v>20116</v>
      </c>
      <c r="J68" s="17" t="s">
        <v>54</v>
      </c>
      <c r="K68" s="17" t="s">
        <v>55</v>
      </c>
      <c r="L68" s="17" t="s">
        <v>20</v>
      </c>
      <c r="M68" s="17" t="s">
        <v>58</v>
      </c>
      <c r="O68" s="17" t="s">
        <v>58</v>
      </c>
      <c r="Q68" s="17" t="s">
        <v>58</v>
      </c>
      <c r="R68" s="17" t="s">
        <v>20</v>
      </c>
      <c r="S68" s="17" t="s">
        <v>58</v>
      </c>
      <c r="T68" s="17">
        <v>0</v>
      </c>
      <c r="U68" s="18">
        <v>4491624444</v>
      </c>
      <c r="X68" s="17" t="s">
        <v>59</v>
      </c>
      <c r="Y68" s="17" t="s">
        <v>114</v>
      </c>
      <c r="Z68" s="17" t="s">
        <v>244</v>
      </c>
      <c r="AA68" s="31">
        <v>779379.228749</v>
      </c>
      <c r="AB68" s="31">
        <v>2426572.2379899998</v>
      </c>
    </row>
    <row r="69" spans="1:28">
      <c r="A69" s="30">
        <v>68</v>
      </c>
      <c r="B69" s="17">
        <v>611311</v>
      </c>
      <c r="C69" s="17" t="s">
        <v>214</v>
      </c>
      <c r="D69" s="17" t="s">
        <v>52</v>
      </c>
      <c r="E69" s="17" t="s">
        <v>487</v>
      </c>
      <c r="F69" s="17" t="s">
        <v>503</v>
      </c>
      <c r="G69" s="17" t="s">
        <v>488</v>
      </c>
      <c r="H69" s="17" t="s">
        <v>65</v>
      </c>
      <c r="I69" s="17">
        <v>20328</v>
      </c>
      <c r="J69" s="17" t="s">
        <v>54</v>
      </c>
      <c r="K69" s="17" t="s">
        <v>89</v>
      </c>
      <c r="L69" s="17" t="s">
        <v>76</v>
      </c>
      <c r="M69" s="17" t="s">
        <v>58</v>
      </c>
      <c r="N69" s="17" t="s">
        <v>76</v>
      </c>
      <c r="O69" s="17" t="s">
        <v>58</v>
      </c>
      <c r="P69" s="17" t="s">
        <v>76</v>
      </c>
      <c r="Q69" s="17" t="s">
        <v>58</v>
      </c>
      <c r="R69" s="17" t="s">
        <v>76</v>
      </c>
      <c r="S69" s="17" t="s">
        <v>58</v>
      </c>
      <c r="T69" s="17">
        <v>1500</v>
      </c>
      <c r="U69" s="18">
        <v>0</v>
      </c>
      <c r="V69" s="17" t="s">
        <v>489</v>
      </c>
      <c r="W69" s="17" t="s">
        <v>490</v>
      </c>
      <c r="X69" s="17" t="s">
        <v>62</v>
      </c>
      <c r="Y69" s="17" t="s">
        <v>114</v>
      </c>
      <c r="Z69" s="17" t="s">
        <v>244</v>
      </c>
      <c r="AA69" s="31">
        <v>774641.64356899995</v>
      </c>
      <c r="AB69" s="31">
        <v>2427901.8626100002</v>
      </c>
    </row>
    <row r="70" spans="1:28">
      <c r="A70" s="30">
        <v>69</v>
      </c>
      <c r="B70" s="17">
        <v>611311</v>
      </c>
      <c r="C70" s="17" t="s">
        <v>214</v>
      </c>
      <c r="D70" s="17" t="s">
        <v>52</v>
      </c>
      <c r="E70" s="17" t="s">
        <v>491</v>
      </c>
      <c r="F70" s="17" t="s">
        <v>503</v>
      </c>
      <c r="G70" s="17" t="s">
        <v>492</v>
      </c>
      <c r="H70" s="17" t="s">
        <v>65</v>
      </c>
      <c r="I70" s="17">
        <v>20116</v>
      </c>
      <c r="J70" s="17" t="s">
        <v>54</v>
      </c>
      <c r="K70" s="17" t="s">
        <v>75</v>
      </c>
      <c r="L70" s="17" t="s">
        <v>98</v>
      </c>
      <c r="M70" s="17" t="s">
        <v>130</v>
      </c>
      <c r="N70" s="17" t="s">
        <v>20</v>
      </c>
      <c r="O70" s="17" t="s">
        <v>253</v>
      </c>
      <c r="P70" s="17" t="s">
        <v>79</v>
      </c>
      <c r="Q70" s="17" t="s">
        <v>301</v>
      </c>
      <c r="R70" s="17" t="s">
        <v>79</v>
      </c>
      <c r="S70" s="17" t="s">
        <v>302</v>
      </c>
      <c r="T70" s="17">
        <v>4200</v>
      </c>
      <c r="U70" s="18">
        <v>4495065192</v>
      </c>
      <c r="W70" s="17" t="s">
        <v>493</v>
      </c>
      <c r="X70" s="17" t="s">
        <v>94</v>
      </c>
      <c r="Y70" s="17" t="s">
        <v>114</v>
      </c>
      <c r="Z70" s="17" t="s">
        <v>244</v>
      </c>
      <c r="AA70" s="31">
        <v>778581.91480200004</v>
      </c>
      <c r="AB70" s="31">
        <v>2427960.5469399998</v>
      </c>
    </row>
    <row r="71" spans="1:28">
      <c r="A71" s="30">
        <v>70</v>
      </c>
      <c r="B71" s="17">
        <v>611311</v>
      </c>
      <c r="C71" s="17" t="s">
        <v>214</v>
      </c>
      <c r="D71" s="17" t="s">
        <v>52</v>
      </c>
      <c r="E71" s="17" t="s">
        <v>494</v>
      </c>
      <c r="F71" s="17" t="s">
        <v>503</v>
      </c>
      <c r="G71" s="17" t="s">
        <v>495</v>
      </c>
      <c r="H71" s="17" t="s">
        <v>84</v>
      </c>
      <c r="I71" s="17">
        <v>20127</v>
      </c>
      <c r="J71" s="17" t="s">
        <v>54</v>
      </c>
      <c r="K71" s="17" t="s">
        <v>89</v>
      </c>
      <c r="L71" s="17" t="s">
        <v>56</v>
      </c>
      <c r="M71" s="17" t="s">
        <v>85</v>
      </c>
      <c r="N71" s="17" t="s">
        <v>56</v>
      </c>
      <c r="O71" s="17" t="s">
        <v>248</v>
      </c>
      <c r="P71" s="17" t="s">
        <v>20</v>
      </c>
      <c r="Q71" s="17" t="s">
        <v>243</v>
      </c>
      <c r="R71" s="17" t="s">
        <v>20</v>
      </c>
      <c r="S71" s="17" t="s">
        <v>249</v>
      </c>
      <c r="T71" s="17">
        <v>1861</v>
      </c>
      <c r="U71" s="18">
        <v>0</v>
      </c>
      <c r="V71" s="17" t="s">
        <v>496</v>
      </c>
      <c r="W71" s="17" t="s">
        <v>497</v>
      </c>
      <c r="X71" s="17" t="s">
        <v>62</v>
      </c>
      <c r="Y71" s="17" t="s">
        <v>114</v>
      </c>
      <c r="Z71" s="17" t="s">
        <v>244</v>
      </c>
      <c r="AA71" s="31">
        <v>778241.04423</v>
      </c>
      <c r="AB71" s="31">
        <v>2425997.7599999998</v>
      </c>
    </row>
    <row r="72" spans="1:28">
      <c r="A72" s="30">
        <v>71</v>
      </c>
      <c r="B72" s="17">
        <v>611311</v>
      </c>
      <c r="C72" s="17" t="s">
        <v>214</v>
      </c>
      <c r="D72" s="17" t="s">
        <v>52</v>
      </c>
      <c r="E72" s="17" t="s">
        <v>498</v>
      </c>
      <c r="F72" s="17" t="s">
        <v>503</v>
      </c>
      <c r="G72" s="17" t="s">
        <v>499</v>
      </c>
      <c r="H72" s="17" t="s">
        <v>84</v>
      </c>
      <c r="I72" s="17">
        <v>20115</v>
      </c>
      <c r="J72" s="17" t="s">
        <v>54</v>
      </c>
      <c r="K72" s="17" t="s">
        <v>55</v>
      </c>
      <c r="L72" s="17" t="s">
        <v>57</v>
      </c>
      <c r="M72" s="17" t="s">
        <v>218</v>
      </c>
      <c r="N72" s="17" t="s">
        <v>102</v>
      </c>
      <c r="O72" s="17" t="s">
        <v>234</v>
      </c>
      <c r="P72" s="17" t="s">
        <v>20</v>
      </c>
      <c r="Q72" s="17" t="s">
        <v>247</v>
      </c>
      <c r="R72" s="17" t="s">
        <v>102</v>
      </c>
      <c r="S72" s="17" t="s">
        <v>234</v>
      </c>
      <c r="T72" s="17">
        <v>200</v>
      </c>
      <c r="U72" s="18">
        <v>4492057229</v>
      </c>
      <c r="V72" s="17" t="s">
        <v>500</v>
      </c>
      <c r="X72" s="17" t="s">
        <v>59</v>
      </c>
      <c r="Y72" s="17" t="s">
        <v>114</v>
      </c>
      <c r="Z72" s="17" t="s">
        <v>244</v>
      </c>
      <c r="AA72" s="31">
        <v>778466.48126399994</v>
      </c>
      <c r="AB72" s="31">
        <v>2427034.9880499998</v>
      </c>
    </row>
    <row r="73" spans="1:28">
      <c r="A73" s="30">
        <v>72</v>
      </c>
      <c r="B73" s="17">
        <v>611311</v>
      </c>
      <c r="C73" s="17" t="s">
        <v>214</v>
      </c>
      <c r="D73" s="17" t="s">
        <v>52</v>
      </c>
      <c r="E73" s="17" t="s">
        <v>501</v>
      </c>
      <c r="F73" s="17" t="s">
        <v>503</v>
      </c>
      <c r="G73" s="17" t="s">
        <v>502</v>
      </c>
      <c r="H73" s="17" t="s">
        <v>84</v>
      </c>
      <c r="I73" s="17">
        <v>20129</v>
      </c>
      <c r="J73" s="17" t="s">
        <v>54</v>
      </c>
      <c r="K73" s="17" t="s">
        <v>55</v>
      </c>
      <c r="L73" s="17" t="s">
        <v>20</v>
      </c>
      <c r="M73" s="17" t="s">
        <v>303</v>
      </c>
      <c r="N73" s="17" t="s">
        <v>20</v>
      </c>
      <c r="O73" s="17" t="s">
        <v>246</v>
      </c>
      <c r="P73" s="17" t="s">
        <v>20</v>
      </c>
      <c r="Q73" s="17" t="s">
        <v>250</v>
      </c>
      <c r="R73" s="17" t="s">
        <v>20</v>
      </c>
      <c r="S73" s="17" t="s">
        <v>245</v>
      </c>
      <c r="T73" s="17">
        <v>105</v>
      </c>
      <c r="U73" s="18">
        <v>0</v>
      </c>
      <c r="X73" s="17" t="s">
        <v>59</v>
      </c>
      <c r="Y73" s="17" t="s">
        <v>114</v>
      </c>
      <c r="Z73" s="17" t="s">
        <v>244</v>
      </c>
      <c r="AA73" s="31">
        <v>777552.43887399998</v>
      </c>
      <c r="AB73" s="31">
        <v>2426696.8487399998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24EU_EDU_SUPERIOR</vt:lpstr>
      <vt:lpstr>BASE DE DATOS_EDU_SUPERIOR</vt:lpstr>
      <vt:lpstr>'24EU_EDU_SUPERIOR'!Área_de_impresión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2025-08-13T14:58:36Z</dcterms:modified>
</cp:coreProperties>
</file>