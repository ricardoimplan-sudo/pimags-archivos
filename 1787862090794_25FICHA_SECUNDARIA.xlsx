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SECUNDARIA\"/>
    </mc:Choice>
  </mc:AlternateContent>
  <bookViews>
    <workbookView xWindow="0" yWindow="0" windowWidth="28800" windowHeight="11535"/>
  </bookViews>
  <sheets>
    <sheet name="24EU_EDU_SECUNDARIA" sheetId="1" r:id="rId1"/>
    <sheet name="BASE DE DATOS_EDU_SECUNDARIA" sheetId="2" r:id="rId2"/>
  </sheets>
  <definedNames>
    <definedName name="_xlnm.Print_Area" localSheetId="0">'24EU_EDU_SECUNDARIA'!$A$1:$C$35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<sst xmlns="http://schemas.openxmlformats.org/spreadsheetml/2006/main" count="1591" uniqueCount="486">
  <si>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</si>
  <si>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</si>
  <si>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</si>
  <si>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</si>
  <si>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</si>
  <si>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</si>
  <si>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</si>
  <si>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</si>
  <si>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</si>
  <si>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</si>
  <si>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</si>
  <si>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</si>
  <si>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</si>
  <si>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</si>
  <si>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</si>
  <si>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</si>
  <si>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</si>
  <si>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</si>
  <si>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</si>
  <si>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</si>
  <si>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</si>
  <si>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</si>
  <si>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</si>
  <si>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</si>
  <si>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</si>
  <si>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</si>
  <si>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</si>
  <si>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</si>
  <si>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</si>
  <si>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</si>
  <si>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</si>
  <si>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</si>
  <si>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</si>
  <si>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</si>
  <si>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</si>
  <si>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</si>
  <si>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</si>
  <si>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</si>
  <si>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</si>
  <si>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</si>
  <si>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</si>
  <si>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</si>
  <si>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</si>
  <si>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</si>
  <si>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</si>
  <si>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</si>
  <si>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</si>
  <si>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</si>
  <si>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</si>
  <si>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</si>
  <si>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</si>
  <si>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</si>
  <si>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</si>
  <si>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</si>
  <si>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</si>
  <si>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</si>
  <si>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</si>
  <si>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</si>
  <si>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</si>
  <si>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</si>
  <si>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</si>
  <si>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</si>
  <si>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</si>
  <si>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</si>
  <si>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</si>
  <si>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2010-07</t>
  </si>
  <si>
    <t>SAN ANTONIO</t>
  </si>
  <si>
    <t>COLONIA</t>
  </si>
  <si>
    <t>REVOLUCION</t>
  </si>
  <si>
    <t>EMILIANO ZAPATA</t>
  </si>
  <si>
    <t>11 a 30 personas</t>
  </si>
  <si>
    <t>MIGUEL HIDALGO Y COSTILLA</t>
  </si>
  <si>
    <t>EJIDO</t>
  </si>
  <si>
    <t>CA├æADA HONDA</t>
  </si>
  <si>
    <t>DIAMANTES</t>
  </si>
  <si>
    <t>31 a 50 personas</t>
  </si>
  <si>
    <t>OTRO(ESPECIFIQUE)</t>
  </si>
  <si>
    <t>2023-11</t>
  </si>
  <si>
    <t>SIN REFERENCIA</t>
  </si>
  <si>
    <t>UNIDAD HABITACIONAL</t>
  </si>
  <si>
    <t>(REFOM)-CA├æADA</t>
  </si>
  <si>
    <t>BENITO JUAREZ</t>
  </si>
  <si>
    <t>S/D</t>
  </si>
  <si>
    <t>PROFESOR EDMUNDO GAMEZ OROZCO</t>
  </si>
  <si>
    <t>FRACCIONAMIENTO</t>
  </si>
  <si>
    <t>INDEPENDENCIA</t>
  </si>
  <si>
    <t>LOCALIDAD</t>
  </si>
  <si>
    <t>20 DE NOVIEMBRE</t>
  </si>
  <si>
    <t>(REFOM)-PE├æUELAS</t>
  </si>
  <si>
    <t>PILA</t>
  </si>
  <si>
    <t>RIELEROS</t>
  </si>
  <si>
    <t>LIGA DEL PACIFICO</t>
  </si>
  <si>
    <t>PE├æUELAS</t>
  </si>
  <si>
    <t>101 a 250 personas</t>
  </si>
  <si>
    <t>2021-05</t>
  </si>
  <si>
    <t>51 a 100 personas</t>
  </si>
  <si>
    <t>GUADALUPE</t>
  </si>
  <si>
    <t>PROLONGACION</t>
  </si>
  <si>
    <t>PASEO DE LA ASUNCION</t>
  </si>
  <si>
    <t>CENTRO PONIENTE</t>
  </si>
  <si>
    <t>(ZUFO)- SAN FRANCISCO</t>
  </si>
  <si>
    <t>MARIANO ABAD MIRAMONTES</t>
  </si>
  <si>
    <t>ANDADOR</t>
  </si>
  <si>
    <t>BOULEVARD</t>
  </si>
  <si>
    <t>FAISAN</t>
  </si>
  <si>
    <t>MAHATMA GANDHI</t>
  </si>
  <si>
    <t>GENERAL FRANCISCO CARRERA TORRES</t>
  </si>
  <si>
    <t>GENERAL FORTUNATO MAYCOTTE</t>
  </si>
  <si>
    <t>INSURGENTES</t>
  </si>
  <si>
    <t>ANDADOR DE LAS GAVIOTAS</t>
  </si>
  <si>
    <t>JOSE CALVILLO</t>
  </si>
  <si>
    <t>GENERAL JUVENTINO ESPINOZA</t>
  </si>
  <si>
    <t>SANTA ROSA</t>
  </si>
  <si>
    <t>SIGLO XXI</t>
  </si>
  <si>
    <t>CARLOS LOPEZ MOCTEZUMA</t>
  </si>
  <si>
    <t>GENERAL LUIS MOYA</t>
  </si>
  <si>
    <t>POCITOS</t>
  </si>
  <si>
    <t>MORELOS</t>
  </si>
  <si>
    <t>JOSL CALVILLO</t>
  </si>
  <si>
    <t>ANDRES SOLER</t>
  </si>
  <si>
    <t>ROSALIA MONROY</t>
  </si>
  <si>
    <t>JORGE NEGRETE</t>
  </si>
  <si>
    <t>MUJERES ILUSTRES</t>
  </si>
  <si>
    <t>SAN MARCOS</t>
  </si>
  <si>
    <t>AGUASCALIENTES PONIENTE</t>
  </si>
  <si>
    <t>CENTRO ORIENTE</t>
  </si>
  <si>
    <t>(ZUFO)-ARELLANO</t>
  </si>
  <si>
    <t>FELIX DE LA PAZ</t>
  </si>
  <si>
    <t>GENERAL IGNACIO ZARAGOZA</t>
  </si>
  <si>
    <t>GENERAL MIGUEL BARRAGAN</t>
  </si>
  <si>
    <t>MARINA NACIONAL</t>
  </si>
  <si>
    <t>CONVENCION DE 1914 NORTE</t>
  </si>
  <si>
    <t>DOCTOR PEDRO DE ALBA</t>
  </si>
  <si>
    <t>CAMPECHE</t>
  </si>
  <si>
    <t>PUEBLITO</t>
  </si>
  <si>
    <t>GENERAL EMILIANO ZAPATA</t>
  </si>
  <si>
    <t>TALAMANTES</t>
  </si>
  <si>
    <t>LIMA</t>
  </si>
  <si>
    <t>AQUILES ELORDUY</t>
  </si>
  <si>
    <t>LICENCIADO ADOLFO LOPEZ MATEOS PONIENTE</t>
  </si>
  <si>
    <t>CARLOS SAGREDO</t>
  </si>
  <si>
    <t>RIO COLORADO</t>
  </si>
  <si>
    <t>RIO RHIN</t>
  </si>
  <si>
    <t>RIO LERMA</t>
  </si>
  <si>
    <t>RAO T</t>
  </si>
  <si>
    <t>ORO</t>
  </si>
  <si>
    <t>SAN JORGE</t>
  </si>
  <si>
    <t>SAN CLEMENTE</t>
  </si>
  <si>
    <t>SAN COSME</t>
  </si>
  <si>
    <t>PLATA</t>
  </si>
  <si>
    <t>INSTITUTO DE EDUCACION DE AGUASCALIENTES</t>
  </si>
  <si>
    <t>(ZUFO)-AYUNTAMIENTO</t>
  </si>
  <si>
    <t>DIEGO DE IBARRA</t>
  </si>
  <si>
    <t>CALLE DE LOS PLACERES</t>
  </si>
  <si>
    <t>HERNAN GONZALEZ</t>
  </si>
  <si>
    <t>PALL HARRIS</t>
  </si>
  <si>
    <t>CRIST</t>
  </si>
  <si>
    <t>DIEGO FERNANDEZ VILLA</t>
  </si>
  <si>
    <t>GALICIA</t>
  </si>
  <si>
    <t>IGNACIO T. CHAVEZ</t>
  </si>
  <si>
    <t>REPUBLICA DE BELICE</t>
  </si>
  <si>
    <t>MEDELLIN</t>
  </si>
  <si>
    <t>JOSE ACEVES DIAZ DE SANDI</t>
  </si>
  <si>
    <t>SINALOA</t>
  </si>
  <si>
    <t>(ZUFO)-CENTRO</t>
  </si>
  <si>
    <t>PEDRO PARGA</t>
  </si>
  <si>
    <t>LICENCIADO ADOLFO LOPEZ MATEOS ORIENTE</t>
  </si>
  <si>
    <t>MANUEL GOMEZ MORIN</t>
  </si>
  <si>
    <t>ALAMEDA</t>
  </si>
  <si>
    <t>HEROICO COLEGIO MILITAR</t>
  </si>
  <si>
    <t>AGUST</t>
  </si>
  <si>
    <t>CONSTITUCION</t>
  </si>
  <si>
    <t>RIO MORCINIQUE</t>
  </si>
  <si>
    <t>HVROE DE NACOZARI SUR</t>
  </si>
  <si>
    <t>NARCISO MENDOZA</t>
  </si>
  <si>
    <t>GRECIA</t>
  </si>
  <si>
    <t>GENERAL GUADALUPE VICTORIA</t>
  </si>
  <si>
    <t>VALENTIN GOMEZ FARIAS</t>
  </si>
  <si>
    <t>GENERAL IGNACIO ALLENDE</t>
  </si>
  <si>
    <t>JOSE F. ELIZONDO</t>
  </si>
  <si>
    <t>ALARCON</t>
  </si>
  <si>
    <t>RINCEN</t>
  </si>
  <si>
    <t>MARIANO MATAMOROS SUR</t>
  </si>
  <si>
    <t>ALAMAN</t>
  </si>
  <si>
    <t>JUVENTINO ROSAS</t>
  </si>
  <si>
    <t>SANTA ANITA</t>
  </si>
  <si>
    <t>GUADALUPE PERALTA</t>
  </si>
  <si>
    <t>(ZUFO)-DON PASCUAL ORIENTE</t>
  </si>
  <si>
    <t>CATEDRATICOS</t>
  </si>
  <si>
    <t>SALUD</t>
  </si>
  <si>
    <t>JOSE TRINIDAD VELA SALAS</t>
  </si>
  <si>
    <t>CABUYA</t>
  </si>
  <si>
    <t>RECINTO SAGUARO 204</t>
  </si>
  <si>
    <t>OJOCALIENTE</t>
  </si>
  <si>
    <t>EDUCACION</t>
  </si>
  <si>
    <t>VILLAS</t>
  </si>
  <si>
    <t>CULTURA MAYA</t>
  </si>
  <si>
    <t>LOMA DEL CARDENAL</t>
  </si>
  <si>
    <t>CULTURA TOTONACA</t>
  </si>
  <si>
    <t>(ZUFO)-DON PASCUAL PONIENTE</t>
  </si>
  <si>
    <t>POZO BRAVO</t>
  </si>
  <si>
    <t>RENATO LEDUC</t>
  </si>
  <si>
    <t>JUAN JOSE ARREOLA</t>
  </si>
  <si>
    <t>FRIDA KALHO</t>
  </si>
  <si>
    <t>VICENTE ROJO</t>
  </si>
  <si>
    <t>PEDRO CORONEL</t>
  </si>
  <si>
    <t>J. ANTONIO VELARDE</t>
  </si>
  <si>
    <t>PASCUAL CORNEJO</t>
  </si>
  <si>
    <t>LIBRE COMERCIO</t>
  </si>
  <si>
    <t>GENTE BUENA</t>
  </si>
  <si>
    <t>RODOLFO LANDEROS</t>
  </si>
  <si>
    <t>EL BAJIO</t>
  </si>
  <si>
    <t>GILDARDO SANCHEZ OROPEZA</t>
  </si>
  <si>
    <t>SIERRA DE SAN BERNARDINO</t>
  </si>
  <si>
    <t>(ZUFO)-EL CEDAZO</t>
  </si>
  <si>
    <t>CASA BLANCA</t>
  </si>
  <si>
    <t>JESUS YUREM</t>
  </si>
  <si>
    <t>MARIANO HIDALGO</t>
  </si>
  <si>
    <t>SITIO DE CUAUTLA</t>
  </si>
  <si>
    <t>ARTILLERO MIER</t>
  </si>
  <si>
    <t>ARQUEROS</t>
  </si>
  <si>
    <t>MEXICO LIBRE</t>
  </si>
  <si>
    <t>CAUDILLOS</t>
  </si>
  <si>
    <t>ESTRELLA POLAR</t>
  </si>
  <si>
    <t>HERMANOS GALEANA</t>
  </si>
  <si>
    <t>PASEO DEL CEDAZO</t>
  </si>
  <si>
    <t>ACUARIO</t>
  </si>
  <si>
    <t>AURORA</t>
  </si>
  <si>
    <t>(ZUFO)-FERROCARRIL</t>
  </si>
  <si>
    <t>ARTICULO 23</t>
  </si>
  <si>
    <t>FELIPE PESCADOR</t>
  </si>
  <si>
    <t>ARTICULO 52</t>
  </si>
  <si>
    <t>ARTICULO 31</t>
  </si>
  <si>
    <t>PARQUE VIA</t>
  </si>
  <si>
    <t>NAZARIO ORTIZ GARZA</t>
  </si>
  <si>
    <t>AGUASCALIENTES</t>
  </si>
  <si>
    <t>(ZUFO)-INDUSTRIAL</t>
  </si>
  <si>
    <t>TREN BALA</t>
  </si>
  <si>
    <t>DOMINGO VELASCO</t>
  </si>
  <si>
    <t>VALLE DE LOS ROMERO</t>
  </si>
  <si>
    <t>(ZUFO)-LA HACIENDA</t>
  </si>
  <si>
    <t>VALLE DE LOS ROMEROS</t>
  </si>
  <si>
    <t>RODRIGO RINCON GALLARDO</t>
  </si>
  <si>
    <t>LUIS CHAVEZ</t>
  </si>
  <si>
    <t>JUAN G. ALVARADO</t>
  </si>
  <si>
    <t>JOSE DE JESUS GONZALEZ GARCIA</t>
  </si>
  <si>
    <t>FERNAN GONZALEZ DE ESLAVA</t>
  </si>
  <si>
    <t>(ZUFO)-LOS PARGA</t>
  </si>
  <si>
    <t>VILLA DE LOURDES</t>
  </si>
  <si>
    <t>DIAGONAL ALFIL</t>
  </si>
  <si>
    <t>AVENIDA DEL REY</t>
  </si>
  <si>
    <t>HACIENDA DE OJOCALIENTE</t>
  </si>
  <si>
    <t>(ZUFO)-OJOCALIENTE</t>
  </si>
  <si>
    <t>HACIENDA EL TORIL</t>
  </si>
  <si>
    <t>HACIENDA JALTOMATE</t>
  </si>
  <si>
    <t>LA MANZANA</t>
  </si>
  <si>
    <t>AJEDRECISTAS</t>
  </si>
  <si>
    <t>VISTA DE LA LUNA</t>
  </si>
  <si>
    <t>CHICALOTE</t>
  </si>
  <si>
    <t>PELUELAS</t>
  </si>
  <si>
    <t>EL SALTO DE LOS SALADO</t>
  </si>
  <si>
    <t>SAN FRANCISCO DE LOS ROMO</t>
  </si>
  <si>
    <t>EUGENIO GARZA SADA</t>
  </si>
  <si>
    <t>BARDA</t>
  </si>
  <si>
    <t>(ZUFO)-SAN PEDRO SUR</t>
  </si>
  <si>
    <t>SAN JUAN DE LOS LAGOS</t>
  </si>
  <si>
    <t>SAN MIGUEL EL ALTO</t>
  </si>
  <si>
    <t>(ZUFO)-UNIVERSIDAD</t>
  </si>
  <si>
    <t>LAGOS DE MORENO</t>
  </si>
  <si>
    <t>MARCOS CORONADO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</si>
  <si>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</si>
  <si>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</si>
  <si>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</si>
  <si>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</si>
  <si>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</si>
  <si>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</si>
  <si>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</si>
  <si>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</si>
  <si>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</si>
  <si>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</si>
  <si>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</si>
  <si>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</si>
  <si>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SALVADOR RANGEL LOPEZ</t>
  </si>
  <si>
    <t>MARIANO AZUELA</t>
  </si>
  <si>
    <t>JAZMIN</t>
  </si>
  <si>
    <t>LAS PALMAS</t>
  </si>
  <si>
    <t>NORIA DEL CARMEN</t>
  </si>
  <si>
    <t>NORIA DE BAMBILETE</t>
  </si>
  <si>
    <t>NORIA DEL MACHO</t>
  </si>
  <si>
    <t>AGUILA</t>
  </si>
  <si>
    <t>PEDRO VARGAS</t>
  </si>
  <si>
    <t>ALONDRA</t>
  </si>
  <si>
    <t>GENERAL JULICN MEDINA</t>
  </si>
  <si>
    <t>M MUNICIPIO AGUASCALIENTES</t>
  </si>
  <si>
    <t>PLACERES</t>
  </si>
  <si>
    <t>GALERIAS</t>
  </si>
  <si>
    <t>GALER</t>
  </si>
  <si>
    <t>GLORIETA BENITO JUAREZ</t>
  </si>
  <si>
    <t>ENRIQUE C. RCBSAMEN</t>
  </si>
  <si>
    <t>CHICHEN ITZA</t>
  </si>
  <si>
    <t>CATARINO ARREOLA</t>
  </si>
  <si>
    <t>INGENIERO L. RAMIREZ</t>
  </si>
  <si>
    <t>SERVANDO CANALES</t>
  </si>
  <si>
    <t>RIVERO Y GUTILRREZ</t>
  </si>
  <si>
    <t>HACIENDA DE CHINAMECA</t>
  </si>
  <si>
    <t>MAESTRO FERNANDO VILLALPANDO</t>
  </si>
  <si>
    <t>CULTURA TOTONACA 104</t>
  </si>
  <si>
    <t>COLMENA</t>
  </si>
  <si>
    <t>GOBIERNO DEL ESTADO DE AGUASCALIENTES</t>
  </si>
  <si>
    <t>LOMA DEL HUIZACHE</t>
  </si>
  <si>
    <t>TANYVETH</t>
  </si>
  <si>
    <t>LAZARO MALDONADO DEL RIO</t>
  </si>
  <si>
    <t>DOMINGO GARCZA</t>
  </si>
  <si>
    <t>JOSE VENTURA LOPEZ</t>
  </si>
  <si>
    <t>VISTA DE LA PLAYA</t>
  </si>
  <si>
    <t>VISTA DE LA MONTA</t>
  </si>
  <si>
    <t>CALLE DE LA ESTRATEGIA</t>
  </si>
  <si>
    <t>LAS TROJES</t>
  </si>
  <si>
    <t>EL BARRANCO</t>
  </si>
  <si>
    <t>FILOSOFOS</t>
  </si>
  <si>
    <t>UNIVERSITARIOS</t>
  </si>
  <si>
    <t>LITERATOS</t>
  </si>
  <si>
    <t>AVENIDA DE LAS PALOMAS</t>
  </si>
  <si>
    <t>GOBIERNO</t>
  </si>
  <si>
    <t>PUBLICO</t>
  </si>
  <si>
    <t>GOBIERNO DEL ESTADO</t>
  </si>
  <si>
    <t>I E A</t>
  </si>
  <si>
    <t>IEA INSTITUTO DE EDUCACION DE AGUASCALIENTES</t>
  </si>
  <si>
    <t>01DESS0013T@IEA.EDU.MX</t>
  </si>
  <si>
    <t>TELESECUNDARIA 45 ENRIQUE OLIVARES SANTANA TV</t>
  </si>
  <si>
    <t>TELESECUNDARIA_45@HOTMAIL.COM</t>
  </si>
  <si>
    <t>TELESECUNDARIA 45 ENRIQUE OLIVARES SANTANA TM</t>
  </si>
  <si>
    <t>ETV 98 JOSE MA BOCANEGRA</t>
  </si>
  <si>
    <t>INSTITUTO EDUCACION AGUASCALIENTES</t>
  </si>
  <si>
    <t>ESCUELA SECUNDARIA GENERAL NO 25 MOISES SAENZ</t>
  </si>
  <si>
    <t>SECRETARIA DE EDUCACION PLBLICA SEP</t>
  </si>
  <si>
    <t>INSTITUTO DEL ESTADO DE AGUASCALIENTES</t>
  </si>
  <si>
    <t>WWW.IEA.GOB.MX</t>
  </si>
  <si>
    <t>TELESECUNDARIA ETV 57 ADOLFO LOPEZ MATEOS</t>
  </si>
  <si>
    <t>01DTV0057W@IEA.EDU.MX</t>
  </si>
  <si>
    <t>ESCUELAS DE EDUCACI0N SECUNDARIA GENERAL DEL SECTOR PLBLICO</t>
  </si>
  <si>
    <t>01DTV0108M@IEA.EDU.MX</t>
  </si>
  <si>
    <t>CONAFE</t>
  </si>
  <si>
    <t>IEA</t>
  </si>
  <si>
    <t>NORIA DEL MEZQUITE</t>
  </si>
  <si>
    <t>TELESECUNDARIA NUMERO 60</t>
  </si>
  <si>
    <t>SECUNDARIA COMUNITARIA NORIAS DE CEDAZO</t>
  </si>
  <si>
    <t>ESCUELA SECUNDARIA TECNICA 27 BENEMERITO DE LA AMERICAS</t>
  </si>
  <si>
    <t>01DST0030B@IEA.EDU.MX</t>
  </si>
  <si>
    <t>SECRETARIA DE EDUCACION PLBLICA</t>
  </si>
  <si>
    <t>ESCUELA SECUNDARIA 21 PROF AGUSTIN LOPEZ ORTEGA</t>
  </si>
  <si>
    <t>INSTITUTO DE EDUCACION DE AGS</t>
  </si>
  <si>
    <t>ESCUELA SECUNDARIA GENERAL NO 10 22 DE OCTUBRE</t>
  </si>
  <si>
    <t>01DES0007I@IEA.EDU.MX</t>
  </si>
  <si>
    <t>ESCUELA SECUNDARIA GENERAL NUMERO 30 OCTAVIO PAZ</t>
  </si>
  <si>
    <t>IEASEC30GRAL@HOTMAIL.COM</t>
  </si>
  <si>
    <t>ESCUELA SECUNDARIA TECNICA NO 24 J ISABEL DUR,N HERNANDEZ TURNO VESPERTINO</t>
  </si>
  <si>
    <t>ESCUELA SECUNDARIA TECNICA NO 24 J ISABEL DUR,N HERNANDEZ GOBIERNO FEDERAL</t>
  </si>
  <si>
    <t>ESCUELA SECUNDARIA TECNICA NO 24 J ISABEL DURON HERNANDEZ TURNO MATUTINO</t>
  </si>
  <si>
    <t>ESCUELA SECUNDARIA TECNICA NO 24 J ISABEL DURON HERNANDEZ GOBIERNO FEDERAL</t>
  </si>
  <si>
    <t>ESCUELA SECUNDARIA GENERAL NO 17 1 DE MAYO</t>
  </si>
  <si>
    <t>01DES0027W@IEA.EDU.MX</t>
  </si>
  <si>
    <t>INSTITUTO DE EDUCACION DEL ESTADO DE AGUASCALIENTES</t>
  </si>
  <si>
    <t>ESCUELA SECUNDARIA GENERAL NUMERO 2 JOSE CLEMENTE OROZCO</t>
  </si>
  <si>
    <t>OLDES0008H@IEA.COM.MX</t>
  </si>
  <si>
    <t>ESCUELA SECUNDARIA TECNICA 20</t>
  </si>
  <si>
    <t>ESCUELA SECUNDARIA TECNICA N-1</t>
  </si>
  <si>
    <t>01DST0016@IEA.EDU.COM</t>
  </si>
  <si>
    <t>SECUNDARIA TECNICA 20</t>
  </si>
  <si>
    <t>ESCUELA SECUNDARIA TECNICA NUMERO 2</t>
  </si>
  <si>
    <t>01DST0002F@IEA.EDU.MX</t>
  </si>
  <si>
    <t>ESCUELA SECUNDARIA GENERAL N</t>
  </si>
  <si>
    <t>CHARRITOAJUA5577@GMIAL.COM</t>
  </si>
  <si>
    <t>INSTITUTO DE EDUCACION DE AGUASCALIENTES TURNO MATUTINO</t>
  </si>
  <si>
    <t>SECGRAL12@HOTMAIL.COM</t>
  </si>
  <si>
    <t>ESCUELA SECUNDARIA GENERAL 6 JOSE GUADALUPE POSADA AGUILAR TURNO MATUTINO</t>
  </si>
  <si>
    <t>01DES0015R@IEA.EDU.MX</t>
  </si>
  <si>
    <t>ESCUELA SECUNDARIA GENERAL 6 JOSE GUADALUPE POSADA AGUILAR TURNO VESPERTINO</t>
  </si>
  <si>
    <t>CONVENCITN DE 1914 SUR</t>
  </si>
  <si>
    <t>01DES0009G@IEA.EDU.MX</t>
  </si>
  <si>
    <t>SECUNDARIA TECNICA NO 31</t>
  </si>
  <si>
    <t>EST_NO31_AGS@HOTMAIL.COM</t>
  </si>
  <si>
    <t>ESCUELA SECUNDARIA TECNICA 31</t>
  </si>
  <si>
    <t>ESCUELA SECUNDARIA TECNICA NUMERO 28</t>
  </si>
  <si>
    <t>01DST0031A@IEA.EDU.MX</t>
  </si>
  <si>
    <t>SECUNDARIA GENERAL NUMERO 40 DEL DEPPORTE</t>
  </si>
  <si>
    <t>01DES0033G@IEA.EDU.MX</t>
  </si>
  <si>
    <t>ESCUELA SECUNDARIA TECNICA 22, NAZARIO S ORTpZ GARZA TURNO MATUTINO Y VESPERTINO</t>
  </si>
  <si>
    <t>AGSEST22@HOTMAIL.COM</t>
  </si>
  <si>
    <t>COLEGIO DE CIENCIAS HUMANIDADES</t>
  </si>
  <si>
    <t>ROCIO66CCH@HOTMAIL.COM</t>
  </si>
  <si>
    <t>WWW.CCH.EDU.MX</t>
  </si>
  <si>
    <t>ESCUELA SECUNDARIA GENERAL NO 1 LICENCIADO BENITO JUAREZ</t>
  </si>
  <si>
    <t>SECLICBENITOJUAREZ@HOTMAIL.COM</t>
  </si>
  <si>
    <t>ESCUELA SECUNDARIA GENERAL 37</t>
  </si>
  <si>
    <t>ESCUELA SECUNDARIA TECNICA 5</t>
  </si>
  <si>
    <t>CENTRO DE PROMOCION FEMENINA</t>
  </si>
  <si>
    <t>CENTRO DE PROMOCION FEMENINA CASA DE JESUS AC</t>
  </si>
  <si>
    <t>CPFAGUAS@HOTMAIL.COM</t>
  </si>
  <si>
    <t>WWW.CASADEJESUS.MX</t>
  </si>
  <si>
    <t>ESCUELA SECUNDARIA GENERAL NUMERO 8 RAMON LOPEZ VELARDE</t>
  </si>
  <si>
    <t>AV PASEO DEL CEDAZO</t>
  </si>
  <si>
    <t>IEASEC8GRAL@HOTMAIL.COM</t>
  </si>
  <si>
    <t>SALVADOR RAMLREZ MARTNN DEL CAMPO</t>
  </si>
  <si>
    <t>ESCUELA SECUNDARIA NO37 JUAN JACOBO ROUSSEAU TURNO MATUTINO</t>
  </si>
  <si>
    <t>ESCUELA SECUNDARIA TECNICA 35 JAIME SABINES TURNO VESPERTINO</t>
  </si>
  <si>
    <t>PROCERES DE LA ENSETANZA</t>
  </si>
  <si>
    <t>01DST0038U@IEA.EDU.MX</t>
  </si>
  <si>
    <t>ESCUELA SECUNDARIA TECNICA 35 JAIME SABINES TURNO MATUTINO</t>
  </si>
  <si>
    <t>ESCUELA SECUNDARIA TECNICA 42</t>
  </si>
  <si>
    <t>01DST0045D@IEA.EDU.MX</t>
  </si>
  <si>
    <t>JUAN JACOBO RUSO ESCUELA SECUNDARIA TECNICA NO 37</t>
  </si>
  <si>
    <t>ESCUELA SECUNDARIA TECNICA NUMERO 38 TURNO MATUTINO</t>
  </si>
  <si>
    <t>ESCUELA SECUNDARIA TECNICA NO38 MARIO AGUILERA DORANTES TV</t>
  </si>
  <si>
    <t>EST NO 34 FRIDA KAHLO CALDER</t>
  </si>
  <si>
    <t>ESCUELA SECUNDARIA TECNICA NO 34 FRIDA KALHO</t>
  </si>
  <si>
    <t>SECUNDARIA GENERAL N9 AMADO NERVO</t>
  </si>
  <si>
    <t>IEASEC9GRAL@HOTMAIL.COM</t>
  </si>
  <si>
    <t>ESCUELA SECUNDARIA GENERAL NUMERO 20</t>
  </si>
  <si>
    <t>01DEC0029U@IEA.EDU.MX</t>
  </si>
  <si>
    <t>ESCUELA SECUNDARIA GENERAL 32 J JESUS AGUILERA PALOMINO</t>
  </si>
  <si>
    <t>ESCUELA SECUNDARIA GENERAL N0 5 CONVENCIeN DE AGUASCALIENTES TURNO MATUTINO</t>
  </si>
  <si>
    <t>ESCUELA SECUNDARIA GENERAL N 7</t>
  </si>
  <si>
    <t>01DES0016Q@IEA.EDU.MX</t>
  </si>
  <si>
    <t>ESCUELA SECUNDARIA GENERAL NO 18</t>
  </si>
  <si>
    <t>ESCUELA SECUNDARIA GENERAL NO 18 CONGRESO DE CHILPANCINGO TM</t>
  </si>
  <si>
    <t>01DES0021D@IEA.EDU.GOB</t>
  </si>
  <si>
    <t>ESCUELA SECUNDARIA GENERAL NO18 TV CONGRESO DE CHILPANCINGO</t>
  </si>
  <si>
    <t>ESCUELA SECUNDARIA GENERAL NO 13 RICARDO FLORES MAGON</t>
  </si>
  <si>
    <t>IEASEC13GRAL@HOTMAIL.COM</t>
  </si>
  <si>
    <t>ESCUELA SECUNDARIA TECNICA N</t>
  </si>
  <si>
    <t>WWW.IEA.COM.MX</t>
  </si>
  <si>
    <t>ESCUELA SECUNDARIA GENERAL 13 TM</t>
  </si>
  <si>
    <t>ESCUELA SECUNDARIA GENERAL NUMERO 15 CONSTITUCION DE 1917 TURNO VESPERTINO</t>
  </si>
  <si>
    <t>ESCUELA SECUNDARIA GENERAL NUMERO 15 CONSTITUCION DE 1917 TURNO MATUTINO</t>
  </si>
  <si>
    <t>IEASEC15GRAL@HOTMAIL.COM</t>
  </si>
  <si>
    <t>ESCUELA SECUNDARIA GENERAL 4 LEYES DE REFORMA</t>
  </si>
  <si>
    <t>IEASEG4GRAL@HOTMAIL.COM</t>
  </si>
  <si>
    <t>ESCUELA SECUNDARIA GENERAL NUMERO 11</t>
  </si>
  <si>
    <t>IEASEC11GRAL@HOTMAIL.COM</t>
  </si>
  <si>
    <t>ESCUELA TELESECUNDARIA NUMERO 107 MARIA CONCEPCION AGUAYO</t>
  </si>
  <si>
    <t>ESCUELA TELESECUNDARIA NUMERO 49 ETV 49 FRANCISCO VILLA</t>
  </si>
  <si>
    <t>IEA930117T62</t>
  </si>
  <si>
    <t>01DTV0049N@IEA.EDU.MX</t>
  </si>
  <si>
    <t>ESCUELA SECUNDARIA GENERAL NO 38 GENERAL MIGUEL ANGEL BARBERENA VEGA</t>
  </si>
  <si>
    <t>01DES0039A</t>
  </si>
  <si>
    <t>01DES0039A@IEA.EDU.MX</t>
  </si>
  <si>
    <t>ESCUELA SECUNDARIA TECNICA NO 41 CLAVE:01DST0044E TURNO MATUTINO Y VESPERTINO</t>
  </si>
  <si>
    <t>01DST044E@IEA.EDU.MX</t>
  </si>
  <si>
    <t>ESCUELA SECUNDARIA GENERAL NO 34 MAHATMA GANDHI CLAVE 01DES0035E</t>
  </si>
  <si>
    <t>ESCUELA SECUNDARIA GENERAL 41 JOSEPH LANCOSTER</t>
  </si>
  <si>
    <t>PRECERES DE LA ENSECANZA</t>
  </si>
  <si>
    <t>COLEGIO TIERRA NUEVA</t>
  </si>
  <si>
    <t>MARAAGUILAR@COLEGIOTIERRANUEVA.EDU.MX</t>
  </si>
  <si>
    <t>ESCUELA SECUNDARIA GENERAL 33 J REFUGIO MIRANDA AGUAYO T V</t>
  </si>
  <si>
    <t>01DES0034F.@IEA.EDU.MX</t>
  </si>
  <si>
    <t>ESCUELA SECUNDARIA GENERAL 31 ROSARIO CASTELLANOS TM</t>
  </si>
  <si>
    <t>ESCUELA SECUNDARIA GENERAL 31 ROSARIO CASTELLANOS TV</t>
  </si>
  <si>
    <t>ESCUELA SECUNDARIA GENERAL NO16 OTILIO MONTA EZ TURNO VESPERTINO</t>
  </si>
  <si>
    <t>ESCUELA SECUNDARIA TECNICA 26 HIMNO NACIONAL</t>
  </si>
  <si>
    <t>ESCUELA SECUNDARIA TECNICA NUMERO 33 TURNO MATUTINO Y VESPERTINO</t>
  </si>
  <si>
    <t>ESTACION CAeADA</t>
  </si>
  <si>
    <t>VILLAS DE LA ASUNCIIN</t>
  </si>
  <si>
    <t>EST_NO33_AGS@HOTMAIL.COM</t>
  </si>
  <si>
    <t>ESCUELA GENERAL NO 19 GRAN TENOCHTITLAN</t>
  </si>
  <si>
    <t>CEGGEN19@YAHOO.COM.MX</t>
  </si>
  <si>
    <t>ESCUELA SECUNDARIA GENERAL 14 JESUS REYES HEROLES MATUTINO</t>
  </si>
  <si>
    <t>ESCUELA SEGUNDARIA GENERAL 14 JESUS REYES HEROLES</t>
  </si>
  <si>
    <t>IEASEC14GRAL@HOTMAIL.COM</t>
  </si>
  <si>
    <t>ESCUELA TELESECUNDARIA MIGUEL BARRAGAN 67</t>
  </si>
  <si>
    <t>01DTV0067C@IEA.EDU.MX</t>
  </si>
  <si>
    <t>COLEGIO BOQUES</t>
  </si>
  <si>
    <t>COLEGIO BOSQUES SC</t>
  </si>
  <si>
    <t>ADMISIONES@COLEGIOBOSQUES.EDU.MX</t>
  </si>
  <si>
    <t>AVENIDA PASEO DE LA SOLEDAD</t>
  </si>
  <si>
    <t>WWW.COLEGIOBOSQUES.COM</t>
  </si>
  <si>
    <t>TELESECUNDARIA NUMENIMesa del SON DUCACION TELESECUNDARIAMONTORO (MESA MNLIONTEVADAESA TELESECUNDARIA AGUASCALIENTES</t>
  </si>
  <si>
    <t>Escuelas de educacion secundaria tecnica del sector privado</t>
  </si>
  <si>
    <t>Escuelas de educacion secundaria general del sector privado</t>
  </si>
  <si>
    <t>Escuelas de educacion secundaria general del sector publico</t>
  </si>
  <si>
    <t>Escuelas de educacion secundaria tecnica del sector publico</t>
  </si>
  <si>
    <t>LA CLASIFICACIÓN DE ELEMENTOS ESTÁ BASADA EN EL SISTEMA NORMATIVO DE EQUIPAMIENTO URBANO DE LA SEDESOL FEDERAL, SUBSISTEMA EDUCACIÓN. LA INTEGRACIÓN FUE REALIZADA POR EL IMPLAN CON INFORMACIÓN DEL DIRECTORIO ESTADISTICO NACIONAL DE UNIDADES ECONOMICAS (INEGI)</t>
  </si>
  <si>
    <t>ESCUELA SECUNDARIA GENERAL NUMERO 24 TURNO MATUTINO JOSl GUADALUPE NNJERA JIMENEZ</t>
  </si>
  <si>
    <t>CVE (1-78)</t>
  </si>
  <si>
    <t>UBICACIÓN DE SITIOS DE EDUCACIÓN SECUNDARIA</t>
  </si>
  <si>
    <t>EU_EDUCACIÓN SECUNDARIA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</si>
</sst>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100854</xdr:colOff>
      <xdr:row>0</xdr:row>
      <xdr:rowOff>123264</xdr:rowOff>
    </xdr:from>
    <xdr:to>
      <xdr:col>2</xdr:col>
      <xdr:colOff>5082654</xdr:colOff>
      <xdr:row>1</xdr:row>
      <xdr:rowOff>526677</xdr:rowOff>
    </xdr:to>
    <xdr:grpSp>
      <xdr:nvGrpSpPr>
        <xdr:cNvPr id="3" name="Grupo 2"/>
        <xdr:cNvGrpSpPr/>
      </xdr:nvGrpSpPr>
      <xdr:grpSpPr>
        <a:xfrm>
          <a:off x="246530" y="123264"/>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79" totalsRowShown="0" headerRowDxfId="28">
  <autoFilter ref="A1:AB79"/>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H7" sqref="H7"/>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1"/>
      <c r="C1" s="31"/>
    </row>
    <row r="2" spans="2:4" ht="50.25" customHeight="1" thickBot="1">
      <c r="B2" s="31"/>
      <c r="C2" s="31"/>
    </row>
    <row r="3" spans="2:4" ht="18.75" thickBot="1">
      <c r="B3" s="32" t="s">
        <v>484</v>
      </c>
      <c r="C3" s="33"/>
    </row>
    <row r="4" spans="2:4">
      <c r="B4" s="8"/>
      <c r="C4" s="8"/>
    </row>
    <row r="5" spans="2:4" ht="15.75">
      <c r="B5" s="34" t="s">
        <v>0</v>
      </c>
      <c r="C5" s="34"/>
      <c r="D5" s="9"/>
    </row>
    <row r="6" spans="2:4">
      <c r="B6" s="10" t="s">
        <v>2</v>
      </c>
      <c r="C6" s="11" t="s">
        <v>485</v>
      </c>
    </row>
    <row r="7" spans="2:4" ht="24.75" customHeight="1">
      <c r="B7" s="10" t="s">
        <v>3</v>
      </c>
      <c r="C7" s="12" t="s">
        <v>1</v>
      </c>
    </row>
    <row r="8" spans="2:4">
      <c r="B8" s="10" t="s">
        <v>4</v>
      </c>
      <c r="C8" s="11" t="s">
        <v>5</v>
      </c>
    </row>
    <row r="9" spans="2:4">
      <c r="B9" s="10" t="s">
        <v>6</v>
      </c>
      <c r="C9" s="11" t="s">
        <v>7</v>
      </c>
    </row>
    <row r="10" spans="2:4">
      <c r="B10" s="10" t="s">
        <v>8</v>
      </c>
      <c r="C10" s="11" t="s">
        <v>272</v>
      </c>
    </row>
    <row r="11" spans="2:4">
      <c r="B11" s="10" t="s">
        <v>9</v>
      </c>
      <c r="C11" s="11" t="s">
        <v>271</v>
      </c>
    </row>
    <row r="12" spans="2:4">
      <c r="B12" s="10" t="s">
        <v>10</v>
      </c>
      <c r="C12" s="11" t="s">
        <v>11</v>
      </c>
    </row>
    <row r="13" spans="2:4" ht="39">
      <c r="B13" s="13" t="s">
        <v>12</v>
      </c>
      <c r="C13" s="12" t="s">
        <v>481</v>
      </c>
    </row>
    <row r="14" spans="2:4">
      <c r="B14" s="8"/>
      <c r="C14" s="8"/>
    </row>
    <row r="15" spans="2:4" ht="16.5" thickBot="1">
      <c r="B15" s="34" t="s">
        <v>13</v>
      </c>
      <c r="C15" s="34"/>
    </row>
    <row r="16" spans="2:4" ht="18">
      <c r="B16" s="14" t="s">
        <v>14</v>
      </c>
      <c r="C16" s="15" t="s">
        <v>15</v>
      </c>
    </row>
    <row r="17" spans="2:12">
      <c r="B17" s="1" t="s">
        <v>16</v>
      </c>
      <c r="C17" s="2" t="s">
        <v>235</v>
      </c>
    </row>
    <row r="18" spans="2:12">
      <c r="B18" s="1" t="s">
        <v>17</v>
      </c>
      <c r="C18" s="3" t="s">
        <v>235</v>
      </c>
      <c r="G18"/>
      <c r="H18"/>
      <c r="I18"/>
      <c r="J18"/>
      <c r="K18"/>
    </row>
    <row r="19" spans="2:12">
      <c r="B19" s="1" t="s">
        <v>18</v>
      </c>
      <c r="C19" s="3" t="str">
        <f>VLOOKUP($C$21,ABASTO[#All],25,FALSE)</f>
        <v>POCITOS</v>
      </c>
      <c r="G19" s="23"/>
      <c r="H19" s="23"/>
      <c r="I19" s="24"/>
      <c r="J19" s="24"/>
      <c r="K19" s="25"/>
      <c r="L19" s="16"/>
    </row>
    <row r="20" spans="2:12">
      <c r="B20" s="1" t="s">
        <v>273</v>
      </c>
      <c r="C20" s="3" t="str">
        <f>VLOOKUP($C$21,ABASTO[#All],26,FALSE)</f>
        <v>(ZUFO)-UNIVERSIDAD</v>
      </c>
      <c r="G20" s="25"/>
      <c r="H20" s="16"/>
      <c r="I20" s="25"/>
      <c r="J20" s="25"/>
      <c r="K20" s="25"/>
      <c r="L20" s="16"/>
    </row>
    <row r="21" spans="2:12" ht="19.5">
      <c r="B21" s="26" t="s">
        <v>483</v>
      </c>
      <c r="C21" s="27">
        <v>78</v>
      </c>
      <c r="G21" s="25"/>
      <c r="H21" s="25"/>
      <c r="I21" s="25"/>
      <c r="J21" s="25"/>
      <c r="K21" s="25"/>
      <c r="L21" s="16"/>
    </row>
    <row r="22" spans="2:12">
      <c r="B22" s="1" t="s">
        <v>274</v>
      </c>
      <c r="C22" s="21" t="str">
        <f>VLOOKUP($C$21,ABASTO[#All],5,FALSE)</f>
        <v>COLEGIO BOQUES</v>
      </c>
      <c r="G22"/>
      <c r="H22"/>
      <c r="I22"/>
      <c r="J22"/>
      <c r="K22"/>
    </row>
    <row r="23" spans="2:12">
      <c r="B23" s="4" t="s">
        <v>275</v>
      </c>
      <c r="C23" s="21" t="str">
        <f>VLOOKUP($C$21,ABASTO[#All],6,FALSE)</f>
        <v>Escuelas de educacion secundaria general del sector privado</v>
      </c>
    </row>
    <row r="24" spans="2:12">
      <c r="B24" s="1" t="s">
        <v>19</v>
      </c>
      <c r="C24" s="21">
        <f>VLOOKUP($C$21,ABASTO[#All],2,FALSE)</f>
        <v>611131</v>
      </c>
    </row>
    <row r="25" spans="2:12">
      <c r="B25" s="5" t="s">
        <v>276</v>
      </c>
      <c r="C25" s="21" t="str">
        <f>VLOOKUP($C$21,ABASTO[#All],4,FALSE)</f>
        <v>PRIVADO</v>
      </c>
    </row>
    <row r="26" spans="2:12">
      <c r="B26" s="1" t="s">
        <v>277</v>
      </c>
      <c r="C26" s="21" t="str">
        <f>VLOOKUP($C$21,ABASTO[#All],11,FALSE)</f>
        <v>51 a 100 personas</v>
      </c>
    </row>
    <row r="27" spans="2:12">
      <c r="B27" s="4" t="s">
        <v>278</v>
      </c>
      <c r="C27" s="21" t="str">
        <f>VLOOKUP($C$21,ABASTO[#All],8,FALSE)</f>
        <v>FRACCIONAMIENTO</v>
      </c>
    </row>
    <row r="28" spans="2:12">
      <c r="B28" s="1" t="s">
        <v>280</v>
      </c>
      <c r="C28" s="21" t="str">
        <f>VLOOKUP($C$21,ABASTO[#All],13,FALSE)</f>
        <v>AVENIDA PASEO DE LA SOLEDAD</v>
      </c>
    </row>
    <row r="29" spans="2:12">
      <c r="B29" s="1" t="s">
        <v>279</v>
      </c>
      <c r="C29" s="21" t="str">
        <f>VLOOKUP($C$21,ABASTO[#All],12,FALSE)</f>
        <v>AVENIDA</v>
      </c>
    </row>
    <row r="30" spans="2:12">
      <c r="B30" s="4" t="s">
        <v>281</v>
      </c>
      <c r="C30" s="21" t="str">
        <f>VLOOKUP($C$21,ABASTO[#All],22,FALSE)</f>
        <v>ADMISIONES@COLEGIOBOSQUES.EDU.MX</v>
      </c>
    </row>
    <row r="31" spans="2:12">
      <c r="B31" s="1" t="s">
        <v>21</v>
      </c>
      <c r="C31" s="21">
        <f>VLOOKUP($C$21,ABASTO[#All],20,FALSE)</f>
        <v>169</v>
      </c>
    </row>
    <row r="32" spans="2:12">
      <c r="B32" s="4" t="s">
        <v>24</v>
      </c>
      <c r="C32" s="21">
        <f>VLOOKUP($C$21,ABASTO[#All],21,FALSE)</f>
        <v>0</v>
      </c>
    </row>
    <row r="33" spans="1:3">
      <c r="B33" s="1" t="s">
        <v>22</v>
      </c>
      <c r="C33" s="21">
        <f>VLOOKUP($C$21,ABASTO[#All],27,FALSE)</f>
        <v>778722.40497100004</v>
      </c>
    </row>
    <row r="34" spans="1:3" ht="15.75" thickBot="1">
      <c r="B34" s="6" t="s">
        <v>23</v>
      </c>
      <c r="C34" s="21">
        <f>VLOOKUP($C$21,ABASTO[#All],28,FALSE)</f>
        <v>2427612.8635</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DATOS_EDU_SECUNDARIA'!$A$2:$A$79</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9"/>
  <sheetViews>
    <sheetView zoomScale="85" zoomScaleNormal="85" workbookViewId="0">
      <selection activeCell="E89" sqref="E89"/>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270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611132</v>
      </c>
      <c r="C2" s="17" t="s">
        <v>194</v>
      </c>
      <c r="D2" s="17" t="s">
        <v>324</v>
      </c>
      <c r="E2" s="17" t="s">
        <v>482</v>
      </c>
      <c r="F2" s="17" t="s">
        <v>479</v>
      </c>
      <c r="G2" s="17" t="s">
        <v>327</v>
      </c>
      <c r="H2" s="17" t="s">
        <v>67</v>
      </c>
      <c r="I2" s="17">
        <v>20344</v>
      </c>
      <c r="J2" s="17" t="s">
        <v>54</v>
      </c>
      <c r="K2" s="17" t="s">
        <v>75</v>
      </c>
      <c r="L2" s="17" t="s">
        <v>56</v>
      </c>
      <c r="M2" s="17" t="s">
        <v>68</v>
      </c>
      <c r="N2" s="17" t="s">
        <v>20</v>
      </c>
      <c r="O2" s="17" t="s">
        <v>69</v>
      </c>
      <c r="P2" s="17" t="s">
        <v>56</v>
      </c>
      <c r="Q2" s="17" t="s">
        <v>57</v>
      </c>
      <c r="R2" s="17" t="s">
        <v>20</v>
      </c>
      <c r="S2" s="17" t="s">
        <v>283</v>
      </c>
      <c r="T2" s="17">
        <v>0</v>
      </c>
      <c r="U2" s="18">
        <v>0</v>
      </c>
      <c r="V2" s="17" t="s">
        <v>328</v>
      </c>
      <c r="X2" s="17" t="s">
        <v>65</v>
      </c>
      <c r="Y2" s="17" t="s">
        <v>61</v>
      </c>
      <c r="Z2" s="17" t="s">
        <v>62</v>
      </c>
      <c r="AA2" s="29">
        <v>790430.50406099996</v>
      </c>
      <c r="AB2" s="29">
        <v>2418039.68358</v>
      </c>
    </row>
    <row r="3" spans="1:28">
      <c r="A3" s="30">
        <v>2</v>
      </c>
      <c r="B3" s="17">
        <v>611132</v>
      </c>
      <c r="C3" s="17" t="s">
        <v>194</v>
      </c>
      <c r="D3" s="17" t="s">
        <v>324</v>
      </c>
      <c r="E3" s="17" t="s">
        <v>329</v>
      </c>
      <c r="F3" s="17" t="s">
        <v>479</v>
      </c>
      <c r="G3" s="17" t="s">
        <v>150</v>
      </c>
      <c r="H3" s="17" t="s">
        <v>72</v>
      </c>
      <c r="I3" s="17">
        <v>20367</v>
      </c>
      <c r="J3" s="17" t="s">
        <v>54</v>
      </c>
      <c r="K3" s="17" t="s">
        <v>63</v>
      </c>
      <c r="L3" s="17" t="s">
        <v>20</v>
      </c>
      <c r="M3" s="17" t="s">
        <v>74</v>
      </c>
      <c r="N3" s="17" t="s">
        <v>20</v>
      </c>
      <c r="O3" s="17" t="s">
        <v>149</v>
      </c>
      <c r="P3" s="17" t="s">
        <v>20</v>
      </c>
      <c r="Q3" s="17" t="s">
        <v>145</v>
      </c>
      <c r="R3" s="17" t="s">
        <v>20</v>
      </c>
      <c r="S3" s="17" t="s">
        <v>59</v>
      </c>
      <c r="T3" s="17">
        <v>0</v>
      </c>
      <c r="U3" s="18">
        <v>4499185040</v>
      </c>
      <c r="V3" s="17" t="s">
        <v>330</v>
      </c>
      <c r="X3" s="17" t="s">
        <v>65</v>
      </c>
      <c r="Y3" s="17" t="s">
        <v>73</v>
      </c>
      <c r="Z3" s="17" t="s">
        <v>62</v>
      </c>
      <c r="AA3" s="29">
        <v>787276.03089599998</v>
      </c>
      <c r="AB3" s="29">
        <v>2422870.91867</v>
      </c>
    </row>
    <row r="4" spans="1:28">
      <c r="A4" s="30">
        <v>3</v>
      </c>
      <c r="B4" s="17">
        <v>611132</v>
      </c>
      <c r="C4" s="17" t="s">
        <v>194</v>
      </c>
      <c r="D4" s="17" t="s">
        <v>324</v>
      </c>
      <c r="E4" s="17" t="s">
        <v>331</v>
      </c>
      <c r="F4" s="17" t="s">
        <v>479</v>
      </c>
      <c r="G4" s="17" t="s">
        <v>150</v>
      </c>
      <c r="H4" s="17" t="s">
        <v>72</v>
      </c>
      <c r="I4" s="17">
        <v>20367</v>
      </c>
      <c r="J4" s="17" t="s">
        <v>54</v>
      </c>
      <c r="K4" s="17" t="s">
        <v>70</v>
      </c>
      <c r="L4" s="17" t="s">
        <v>20</v>
      </c>
      <c r="M4" s="17" t="s">
        <v>74</v>
      </c>
      <c r="N4" s="17" t="s">
        <v>20</v>
      </c>
      <c r="O4" s="17" t="s">
        <v>149</v>
      </c>
      <c r="P4" s="17" t="s">
        <v>20</v>
      </c>
      <c r="Q4" s="17" t="s">
        <v>145</v>
      </c>
      <c r="R4" s="17" t="s">
        <v>20</v>
      </c>
      <c r="S4" s="17" t="s">
        <v>59</v>
      </c>
      <c r="T4" s="17">
        <v>113</v>
      </c>
      <c r="U4" s="18">
        <v>0</v>
      </c>
      <c r="V4" s="17" t="s">
        <v>330</v>
      </c>
      <c r="X4" s="17" t="s">
        <v>65</v>
      </c>
      <c r="Y4" s="17" t="s">
        <v>73</v>
      </c>
      <c r="Z4" s="17" t="s">
        <v>62</v>
      </c>
      <c r="AA4" s="29">
        <v>787300.42903600005</v>
      </c>
      <c r="AB4" s="29">
        <v>2422887.7056399998</v>
      </c>
    </row>
    <row r="5" spans="1:28">
      <c r="A5" s="30">
        <v>4</v>
      </c>
      <c r="B5" s="17">
        <v>611132</v>
      </c>
      <c r="C5" s="17" t="s">
        <v>194</v>
      </c>
      <c r="D5" s="17" t="s">
        <v>324</v>
      </c>
      <c r="E5" s="17" t="s">
        <v>332</v>
      </c>
      <c r="F5" s="17" t="s">
        <v>479</v>
      </c>
      <c r="G5" s="17" t="s">
        <v>333</v>
      </c>
      <c r="H5" s="17" t="s">
        <v>79</v>
      </c>
      <c r="I5" s="17">
        <v>20384</v>
      </c>
      <c r="J5" s="17" t="s">
        <v>54</v>
      </c>
      <c r="K5" s="17" t="s">
        <v>63</v>
      </c>
      <c r="L5" s="17" t="s">
        <v>20</v>
      </c>
      <c r="M5" s="17" t="s">
        <v>284</v>
      </c>
      <c r="N5" s="17" t="s">
        <v>20</v>
      </c>
      <c r="O5" s="17" t="s">
        <v>78</v>
      </c>
      <c r="P5" s="17" t="s">
        <v>20</v>
      </c>
      <c r="Q5" s="17" t="s">
        <v>78</v>
      </c>
      <c r="R5" s="17" t="s">
        <v>20</v>
      </c>
      <c r="S5" s="17" t="s">
        <v>78</v>
      </c>
      <c r="T5" s="17">
        <v>0</v>
      </c>
      <c r="U5" s="18">
        <v>4491237348</v>
      </c>
      <c r="X5" s="17" t="s">
        <v>60</v>
      </c>
      <c r="Y5" s="17" t="s">
        <v>73</v>
      </c>
      <c r="Z5" s="17" t="s">
        <v>62</v>
      </c>
      <c r="AA5" s="29">
        <v>788888.66038300004</v>
      </c>
      <c r="AB5" s="29">
        <v>2420664.19551</v>
      </c>
    </row>
    <row r="6" spans="1:28">
      <c r="A6" s="30">
        <v>5</v>
      </c>
      <c r="B6" s="17">
        <v>611132</v>
      </c>
      <c r="C6" s="17" t="s">
        <v>194</v>
      </c>
      <c r="D6" s="17" t="s">
        <v>324</v>
      </c>
      <c r="E6" s="17" t="s">
        <v>334</v>
      </c>
      <c r="F6" s="17" t="s">
        <v>479</v>
      </c>
      <c r="G6" s="17" t="s">
        <v>335</v>
      </c>
      <c r="H6" s="17" t="s">
        <v>82</v>
      </c>
      <c r="I6" s="17">
        <v>20320</v>
      </c>
      <c r="J6" s="17" t="s">
        <v>54</v>
      </c>
      <c r="K6" s="17" t="s">
        <v>75</v>
      </c>
      <c r="L6" s="17" t="s">
        <v>20</v>
      </c>
      <c r="M6" s="17" t="s">
        <v>83</v>
      </c>
      <c r="N6" s="17" t="s">
        <v>20</v>
      </c>
      <c r="O6" s="17" t="s">
        <v>78</v>
      </c>
      <c r="P6" s="17" t="s">
        <v>20</v>
      </c>
      <c r="Q6" s="17" t="s">
        <v>85</v>
      </c>
      <c r="R6" s="17" t="s">
        <v>20</v>
      </c>
      <c r="S6" s="17" t="s">
        <v>83</v>
      </c>
      <c r="T6" s="17">
        <v>118</v>
      </c>
      <c r="U6" s="18">
        <v>0</v>
      </c>
      <c r="X6" s="17" t="s">
        <v>64</v>
      </c>
      <c r="Y6" s="17" t="s">
        <v>73</v>
      </c>
      <c r="Z6" s="17" t="s">
        <v>80</v>
      </c>
      <c r="AA6" s="29">
        <v>788669.49682700005</v>
      </c>
      <c r="AB6" s="29">
        <v>2435551.7289900002</v>
      </c>
    </row>
    <row r="7" spans="1:28">
      <c r="A7" s="30">
        <v>6</v>
      </c>
      <c r="B7" s="17">
        <v>611132</v>
      </c>
      <c r="C7" s="17" t="s">
        <v>194</v>
      </c>
      <c r="D7" s="17" t="s">
        <v>324</v>
      </c>
      <c r="E7" s="17" t="s">
        <v>338</v>
      </c>
      <c r="F7" s="17" t="s">
        <v>479</v>
      </c>
      <c r="G7" s="17" t="s">
        <v>150</v>
      </c>
      <c r="H7" s="17" t="s">
        <v>86</v>
      </c>
      <c r="I7" s="17">
        <v>20394</v>
      </c>
      <c r="J7" s="17" t="s">
        <v>54</v>
      </c>
      <c r="K7" s="17" t="s">
        <v>63</v>
      </c>
      <c r="L7" s="17" t="s">
        <v>20</v>
      </c>
      <c r="M7" s="17" t="s">
        <v>89</v>
      </c>
      <c r="O7" s="17" t="s">
        <v>59</v>
      </c>
      <c r="P7" s="17" t="s">
        <v>20</v>
      </c>
      <c r="Q7" s="17" t="s">
        <v>285</v>
      </c>
      <c r="S7" s="17" t="s">
        <v>59</v>
      </c>
      <c r="T7" s="17">
        <v>101</v>
      </c>
      <c r="U7" s="18">
        <v>4491517638</v>
      </c>
      <c r="V7" s="17" t="s">
        <v>339</v>
      </c>
      <c r="W7" s="17" t="s">
        <v>337</v>
      </c>
      <c r="X7" s="17" t="s">
        <v>60</v>
      </c>
      <c r="Y7" s="17" t="s">
        <v>61</v>
      </c>
      <c r="Z7" s="17" t="s">
        <v>88</v>
      </c>
      <c r="AA7" s="29">
        <v>785725.01726899995</v>
      </c>
      <c r="AB7" s="29">
        <v>2411458.1461399999</v>
      </c>
    </row>
    <row r="8" spans="1:28">
      <c r="A8" s="30">
        <v>7</v>
      </c>
      <c r="B8" s="17">
        <v>611132</v>
      </c>
      <c r="C8" s="17" t="s">
        <v>194</v>
      </c>
      <c r="D8" s="17" t="s">
        <v>324</v>
      </c>
      <c r="E8" s="17" t="s">
        <v>340</v>
      </c>
      <c r="F8" s="17" t="s">
        <v>479</v>
      </c>
      <c r="G8" s="17" t="s">
        <v>336</v>
      </c>
      <c r="H8" s="17" t="s">
        <v>86</v>
      </c>
      <c r="I8" s="17">
        <v>20340</v>
      </c>
      <c r="J8" s="17" t="s">
        <v>54</v>
      </c>
      <c r="K8" s="17" t="s">
        <v>63</v>
      </c>
      <c r="L8" s="17" t="s">
        <v>20</v>
      </c>
      <c r="M8" s="17" t="s">
        <v>91</v>
      </c>
      <c r="N8" s="17" t="s">
        <v>20</v>
      </c>
      <c r="O8" s="17" t="s">
        <v>90</v>
      </c>
      <c r="P8" s="17" t="s">
        <v>20</v>
      </c>
      <c r="Q8" s="17" t="s">
        <v>59</v>
      </c>
      <c r="S8" s="17" t="s">
        <v>59</v>
      </c>
      <c r="T8" s="17">
        <v>0</v>
      </c>
      <c r="U8" s="18">
        <v>0</v>
      </c>
      <c r="V8" s="17" t="s">
        <v>341</v>
      </c>
      <c r="X8" s="17" t="s">
        <v>60</v>
      </c>
      <c r="Y8" s="17" t="s">
        <v>61</v>
      </c>
      <c r="Z8" s="17" t="s">
        <v>88</v>
      </c>
      <c r="AA8" s="29">
        <v>782612.98005899996</v>
      </c>
      <c r="AB8" s="29">
        <v>2408024.3506499999</v>
      </c>
    </row>
    <row r="9" spans="1:28">
      <c r="A9" s="30">
        <v>8</v>
      </c>
      <c r="B9" s="17">
        <v>611132</v>
      </c>
      <c r="C9" s="17" t="s">
        <v>194</v>
      </c>
      <c r="D9" s="17" t="s">
        <v>324</v>
      </c>
      <c r="E9" s="17" t="s">
        <v>345</v>
      </c>
      <c r="F9" s="17" t="s">
        <v>479</v>
      </c>
      <c r="G9" s="17" t="s">
        <v>476</v>
      </c>
      <c r="H9" s="17" t="s">
        <v>86</v>
      </c>
      <c r="I9" s="17">
        <v>20392</v>
      </c>
      <c r="J9" s="17" t="s">
        <v>54</v>
      </c>
      <c r="K9" s="17" t="s">
        <v>70</v>
      </c>
      <c r="M9" s="17" t="s">
        <v>59</v>
      </c>
      <c r="N9" s="17" t="s">
        <v>58</v>
      </c>
      <c r="O9" s="17" t="s">
        <v>59</v>
      </c>
      <c r="P9" s="17" t="s">
        <v>20</v>
      </c>
      <c r="Q9" s="17" t="s">
        <v>59</v>
      </c>
      <c r="R9" s="17" t="s">
        <v>20</v>
      </c>
      <c r="S9" s="17" t="s">
        <v>59</v>
      </c>
      <c r="T9" s="17">
        <v>0</v>
      </c>
      <c r="U9" s="18">
        <v>4494945612</v>
      </c>
      <c r="X9" s="17" t="s">
        <v>60</v>
      </c>
      <c r="Y9" s="17" t="s">
        <v>92</v>
      </c>
      <c r="Z9" s="17" t="s">
        <v>88</v>
      </c>
      <c r="AA9" s="29">
        <v>779055.98483099998</v>
      </c>
      <c r="AB9" s="29">
        <v>2408090.2813900001</v>
      </c>
    </row>
    <row r="10" spans="1:28">
      <c r="A10" s="30">
        <v>9</v>
      </c>
      <c r="B10" s="17">
        <v>611132</v>
      </c>
      <c r="C10" s="17" t="s">
        <v>194</v>
      </c>
      <c r="D10" s="17" t="s">
        <v>324</v>
      </c>
      <c r="E10" s="17" t="s">
        <v>346</v>
      </c>
      <c r="F10" s="17" t="s">
        <v>479</v>
      </c>
      <c r="G10" s="17" t="s">
        <v>342</v>
      </c>
      <c r="H10" s="17" t="s">
        <v>86</v>
      </c>
      <c r="I10" s="17">
        <v>20340</v>
      </c>
      <c r="J10" s="17" t="s">
        <v>54</v>
      </c>
      <c r="K10" s="17" t="s">
        <v>55</v>
      </c>
      <c r="L10" s="17" t="s">
        <v>20</v>
      </c>
      <c r="M10" s="17" t="s">
        <v>288</v>
      </c>
      <c r="N10" s="17" t="s">
        <v>20</v>
      </c>
      <c r="O10" s="17" t="s">
        <v>286</v>
      </c>
      <c r="P10" s="17" t="s">
        <v>20</v>
      </c>
      <c r="Q10" s="17" t="s">
        <v>287</v>
      </c>
      <c r="R10" s="17" t="s">
        <v>20</v>
      </c>
      <c r="S10" s="17" t="s">
        <v>344</v>
      </c>
      <c r="T10" s="17">
        <v>0</v>
      </c>
      <c r="U10" s="18">
        <v>0</v>
      </c>
      <c r="X10" s="17" t="s">
        <v>60</v>
      </c>
      <c r="Y10" s="17" t="s">
        <v>92</v>
      </c>
      <c r="Z10" s="17" t="s">
        <v>88</v>
      </c>
      <c r="AA10" s="29">
        <v>777960.65595299995</v>
      </c>
      <c r="AB10" s="29">
        <v>2410150.7271400001</v>
      </c>
    </row>
    <row r="11" spans="1:28">
      <c r="A11" s="30">
        <v>10</v>
      </c>
      <c r="B11" s="17">
        <v>611142</v>
      </c>
      <c r="C11" s="17" t="s">
        <v>194</v>
      </c>
      <c r="D11" s="17" t="s">
        <v>324</v>
      </c>
      <c r="E11" s="17" t="s">
        <v>347</v>
      </c>
      <c r="F11" s="17" t="s">
        <v>480</v>
      </c>
      <c r="G11" s="17" t="s">
        <v>343</v>
      </c>
      <c r="H11" s="17" t="s">
        <v>86</v>
      </c>
      <c r="I11" s="17">
        <v>20340</v>
      </c>
      <c r="J11" s="17" t="s">
        <v>54</v>
      </c>
      <c r="K11" s="17" t="s">
        <v>75</v>
      </c>
      <c r="M11" s="17" t="s">
        <v>59</v>
      </c>
      <c r="N11" s="17" t="s">
        <v>20</v>
      </c>
      <c r="O11" s="17" t="s">
        <v>71</v>
      </c>
      <c r="P11" s="17" t="s">
        <v>20</v>
      </c>
      <c r="Q11" s="17" t="s">
        <v>71</v>
      </c>
      <c r="S11" s="17" t="s">
        <v>59</v>
      </c>
      <c r="T11" s="17">
        <v>0</v>
      </c>
      <c r="U11" s="18">
        <v>0</v>
      </c>
      <c r="V11" s="17" t="s">
        <v>348</v>
      </c>
      <c r="X11" s="17" t="s">
        <v>60</v>
      </c>
      <c r="Y11" s="17" t="s">
        <v>92</v>
      </c>
      <c r="Z11" s="17" t="s">
        <v>88</v>
      </c>
      <c r="AA11" s="29">
        <v>781618.641343</v>
      </c>
      <c r="AB11" s="29">
        <v>2404827.2544499999</v>
      </c>
    </row>
    <row r="12" spans="1:28">
      <c r="A12" s="30">
        <v>11</v>
      </c>
      <c r="B12" s="17">
        <v>611132</v>
      </c>
      <c r="C12" s="17" t="s">
        <v>194</v>
      </c>
      <c r="D12" s="17" t="s">
        <v>324</v>
      </c>
      <c r="E12" s="17" t="s">
        <v>350</v>
      </c>
      <c r="F12" s="17" t="s">
        <v>479</v>
      </c>
      <c r="G12" s="17" t="s">
        <v>351</v>
      </c>
      <c r="H12" s="17" t="s">
        <v>67</v>
      </c>
      <c r="I12" s="17">
        <v>20287</v>
      </c>
      <c r="J12" s="17" t="s">
        <v>54</v>
      </c>
      <c r="K12" s="17" t="s">
        <v>95</v>
      </c>
      <c r="L12" s="17" t="s">
        <v>20</v>
      </c>
      <c r="M12" s="17" t="s">
        <v>115</v>
      </c>
      <c r="N12" s="17" t="s">
        <v>20</v>
      </c>
      <c r="O12" s="17" t="s">
        <v>106</v>
      </c>
      <c r="P12" s="17" t="s">
        <v>20</v>
      </c>
      <c r="Q12" s="17" t="s">
        <v>116</v>
      </c>
      <c r="R12" s="17" t="s">
        <v>20</v>
      </c>
      <c r="S12" s="17" t="s">
        <v>292</v>
      </c>
      <c r="T12" s="17">
        <v>0</v>
      </c>
      <c r="U12" s="18">
        <v>4499136139</v>
      </c>
      <c r="X12" s="17" t="s">
        <v>65</v>
      </c>
      <c r="Y12" s="17" t="s">
        <v>108</v>
      </c>
      <c r="Z12" s="17" t="s">
        <v>100</v>
      </c>
      <c r="AA12" s="29">
        <v>777820.08179900004</v>
      </c>
      <c r="AB12" s="29">
        <v>2418517.27654</v>
      </c>
    </row>
    <row r="13" spans="1:28">
      <c r="A13" s="30">
        <v>12</v>
      </c>
      <c r="B13" s="17">
        <v>611132</v>
      </c>
      <c r="C13" s="17" t="s">
        <v>194</v>
      </c>
      <c r="D13" s="17" t="s">
        <v>324</v>
      </c>
      <c r="E13" s="17" t="s">
        <v>352</v>
      </c>
      <c r="F13" s="17" t="s">
        <v>479</v>
      </c>
      <c r="G13" s="17" t="s">
        <v>150</v>
      </c>
      <c r="H13" s="17" t="s">
        <v>84</v>
      </c>
      <c r="I13" s="17">
        <v>20206</v>
      </c>
      <c r="J13" s="17" t="s">
        <v>54</v>
      </c>
      <c r="K13" s="17" t="s">
        <v>75</v>
      </c>
      <c r="L13" s="17" t="s">
        <v>20</v>
      </c>
      <c r="M13" s="17" t="s">
        <v>110</v>
      </c>
      <c r="N13" s="17" t="s">
        <v>20</v>
      </c>
      <c r="O13" s="17" t="s">
        <v>111</v>
      </c>
      <c r="P13" s="17" t="s">
        <v>20</v>
      </c>
      <c r="Q13" s="17" t="s">
        <v>120</v>
      </c>
      <c r="R13" s="17" t="s">
        <v>20</v>
      </c>
      <c r="S13" s="17" t="s">
        <v>118</v>
      </c>
      <c r="T13" s="17">
        <v>0</v>
      </c>
      <c r="U13" s="18">
        <v>0</v>
      </c>
      <c r="V13" s="17" t="s">
        <v>353</v>
      </c>
      <c r="X13" s="17" t="s">
        <v>65</v>
      </c>
      <c r="Y13" s="17" t="s">
        <v>108</v>
      </c>
      <c r="Z13" s="17" t="s">
        <v>100</v>
      </c>
      <c r="AA13" s="29">
        <v>776672.75860599999</v>
      </c>
      <c r="AB13" s="29">
        <v>2418740.9438999998</v>
      </c>
    </row>
    <row r="14" spans="1:28">
      <c r="A14" s="30">
        <v>13</v>
      </c>
      <c r="B14" s="17">
        <v>611132</v>
      </c>
      <c r="C14" s="17" t="s">
        <v>194</v>
      </c>
      <c r="D14" s="17" t="s">
        <v>324</v>
      </c>
      <c r="E14" s="17" t="s">
        <v>354</v>
      </c>
      <c r="F14" s="17" t="s">
        <v>479</v>
      </c>
      <c r="G14" s="17" t="s">
        <v>150</v>
      </c>
      <c r="H14" s="17" t="s">
        <v>84</v>
      </c>
      <c r="I14" s="17">
        <v>20284</v>
      </c>
      <c r="J14" s="17" t="s">
        <v>54</v>
      </c>
      <c r="K14" s="17" t="s">
        <v>75</v>
      </c>
      <c r="L14" s="17" t="s">
        <v>20</v>
      </c>
      <c r="M14" s="17" t="s">
        <v>119</v>
      </c>
      <c r="N14" s="17" t="s">
        <v>20</v>
      </c>
      <c r="O14" s="17" t="s">
        <v>290</v>
      </c>
      <c r="P14" s="17" t="s">
        <v>20</v>
      </c>
      <c r="Q14" s="17" t="s">
        <v>114</v>
      </c>
      <c r="R14" s="17" t="s">
        <v>20</v>
      </c>
      <c r="S14" s="17" t="s">
        <v>121</v>
      </c>
      <c r="T14" s="17">
        <v>158</v>
      </c>
      <c r="U14" s="18">
        <v>4491365326</v>
      </c>
      <c r="V14" s="17" t="s">
        <v>355</v>
      </c>
      <c r="X14" s="17" t="s">
        <v>65</v>
      </c>
      <c r="Y14" s="17" t="s">
        <v>108</v>
      </c>
      <c r="Z14" s="17" t="s">
        <v>100</v>
      </c>
      <c r="AA14" s="29">
        <v>778625.81550999999</v>
      </c>
      <c r="AB14" s="29">
        <v>2417857.8670600001</v>
      </c>
    </row>
    <row r="15" spans="1:28">
      <c r="A15" s="30">
        <v>14</v>
      </c>
      <c r="B15" s="17">
        <v>611142</v>
      </c>
      <c r="C15" s="17" t="s">
        <v>194</v>
      </c>
      <c r="D15" s="17" t="s">
        <v>324</v>
      </c>
      <c r="E15" s="17" t="s">
        <v>356</v>
      </c>
      <c r="F15" s="17" t="s">
        <v>480</v>
      </c>
      <c r="G15" s="17" t="s">
        <v>357</v>
      </c>
      <c r="H15" s="17" t="s">
        <v>67</v>
      </c>
      <c r="I15" s="17">
        <v>20289</v>
      </c>
      <c r="J15" s="17" t="s">
        <v>54</v>
      </c>
      <c r="K15" s="17" t="s">
        <v>75</v>
      </c>
      <c r="L15" s="17" t="s">
        <v>103</v>
      </c>
      <c r="M15" s="17" t="s">
        <v>289</v>
      </c>
      <c r="N15" s="17" t="s">
        <v>102</v>
      </c>
      <c r="O15" s="17" t="s">
        <v>291</v>
      </c>
      <c r="P15" s="17" t="s">
        <v>56</v>
      </c>
      <c r="Q15" s="17" t="s">
        <v>104</v>
      </c>
      <c r="R15" s="17" t="s">
        <v>20</v>
      </c>
      <c r="S15" s="17" t="s">
        <v>109</v>
      </c>
      <c r="T15" s="17">
        <v>0</v>
      </c>
      <c r="U15" s="18">
        <v>0</v>
      </c>
      <c r="X15" s="17" t="s">
        <v>64</v>
      </c>
      <c r="Y15" s="17" t="s">
        <v>108</v>
      </c>
      <c r="Z15" s="17" t="s">
        <v>100</v>
      </c>
      <c r="AA15" s="29">
        <v>779227.09877299995</v>
      </c>
      <c r="AB15" s="29">
        <v>2418535.1201999998</v>
      </c>
    </row>
    <row r="16" spans="1:28">
      <c r="A16" s="30">
        <v>15</v>
      </c>
      <c r="B16" s="17">
        <v>611142</v>
      </c>
      <c r="C16" s="17" t="s">
        <v>194</v>
      </c>
      <c r="D16" s="17" t="s">
        <v>324</v>
      </c>
      <c r="E16" s="17" t="s">
        <v>358</v>
      </c>
      <c r="F16" s="17" t="s">
        <v>480</v>
      </c>
      <c r="G16" s="17" t="s">
        <v>359</v>
      </c>
      <c r="H16" s="17" t="s">
        <v>67</v>
      </c>
      <c r="I16" s="17">
        <v>20289</v>
      </c>
      <c r="J16" s="17" t="s">
        <v>54</v>
      </c>
      <c r="K16" s="17" t="s">
        <v>75</v>
      </c>
      <c r="L16" s="17" t="s">
        <v>103</v>
      </c>
      <c r="M16" s="17" t="s">
        <v>289</v>
      </c>
      <c r="N16" s="17" t="s">
        <v>102</v>
      </c>
      <c r="O16" s="17" t="s">
        <v>291</v>
      </c>
      <c r="P16" s="17" t="s">
        <v>56</v>
      </c>
      <c r="Q16" s="17" t="s">
        <v>104</v>
      </c>
      <c r="R16" s="17" t="s">
        <v>20</v>
      </c>
      <c r="S16" s="17" t="s">
        <v>109</v>
      </c>
      <c r="T16" s="17">
        <v>0</v>
      </c>
      <c r="U16" s="18">
        <v>4499783716</v>
      </c>
      <c r="X16" s="17" t="s">
        <v>65</v>
      </c>
      <c r="Y16" s="17" t="s">
        <v>108</v>
      </c>
      <c r="Z16" s="17" t="s">
        <v>100</v>
      </c>
      <c r="AA16" s="29">
        <v>779227.09877299995</v>
      </c>
      <c r="AB16" s="29">
        <v>2418535.1201999998</v>
      </c>
    </row>
    <row r="17" spans="1:28">
      <c r="A17" s="30">
        <v>16</v>
      </c>
      <c r="B17" s="17">
        <v>611132</v>
      </c>
      <c r="C17" s="17" t="s">
        <v>194</v>
      </c>
      <c r="D17" s="17" t="s">
        <v>324</v>
      </c>
      <c r="E17" s="17" t="s">
        <v>360</v>
      </c>
      <c r="F17" s="17" t="s">
        <v>479</v>
      </c>
      <c r="G17" s="17" t="s">
        <v>360</v>
      </c>
      <c r="H17" s="17" t="s">
        <v>67</v>
      </c>
      <c r="I17" s="17">
        <v>20050</v>
      </c>
      <c r="J17" s="17" t="s">
        <v>54</v>
      </c>
      <c r="K17" s="17" t="s">
        <v>95</v>
      </c>
      <c r="L17" s="17" t="s">
        <v>20</v>
      </c>
      <c r="M17" s="17" t="s">
        <v>128</v>
      </c>
      <c r="N17" s="17" t="s">
        <v>20</v>
      </c>
      <c r="O17" s="17" t="s">
        <v>127</v>
      </c>
      <c r="P17" s="17" t="s">
        <v>20</v>
      </c>
      <c r="Q17" s="17" t="s">
        <v>172</v>
      </c>
      <c r="R17" s="17" t="s">
        <v>20</v>
      </c>
      <c r="S17" s="17" t="s">
        <v>130</v>
      </c>
      <c r="T17" s="17">
        <v>0</v>
      </c>
      <c r="U17" s="18">
        <v>0</v>
      </c>
      <c r="V17" s="17" t="s">
        <v>361</v>
      </c>
      <c r="X17" s="17" t="s">
        <v>65</v>
      </c>
      <c r="Y17" s="17" t="s">
        <v>125</v>
      </c>
      <c r="Z17" s="17" t="s">
        <v>126</v>
      </c>
      <c r="AA17" s="29">
        <v>779303.62023</v>
      </c>
      <c r="AB17" s="29">
        <v>2423474.8773599998</v>
      </c>
    </row>
    <row r="18" spans="1:28">
      <c r="A18" s="30">
        <v>17</v>
      </c>
      <c r="B18" s="17">
        <v>611132</v>
      </c>
      <c r="C18" s="17" t="s">
        <v>194</v>
      </c>
      <c r="D18" s="17" t="s">
        <v>324</v>
      </c>
      <c r="E18" s="17" t="s">
        <v>363</v>
      </c>
      <c r="F18" s="17" t="s">
        <v>479</v>
      </c>
      <c r="G18" s="17" t="s">
        <v>150</v>
      </c>
      <c r="H18" s="17" t="s">
        <v>84</v>
      </c>
      <c r="I18" s="17">
        <v>20010</v>
      </c>
      <c r="J18" s="17" t="s">
        <v>54</v>
      </c>
      <c r="K18" s="17" t="s">
        <v>93</v>
      </c>
      <c r="L18" s="17" t="s">
        <v>20</v>
      </c>
      <c r="M18" s="17" t="s">
        <v>148</v>
      </c>
      <c r="N18" s="17" t="s">
        <v>20</v>
      </c>
      <c r="O18" s="17" t="s">
        <v>140</v>
      </c>
      <c r="P18" s="17" t="s">
        <v>20</v>
      </c>
      <c r="Q18" s="17" t="s">
        <v>147</v>
      </c>
      <c r="R18" s="17" t="s">
        <v>20</v>
      </c>
      <c r="S18" s="17" t="s">
        <v>146</v>
      </c>
      <c r="T18" s="17">
        <v>201</v>
      </c>
      <c r="U18" s="18">
        <v>0</v>
      </c>
      <c r="V18" s="17" t="s">
        <v>364</v>
      </c>
      <c r="X18" s="17" t="s">
        <v>65</v>
      </c>
      <c r="Y18" s="17" t="s">
        <v>116</v>
      </c>
      <c r="Z18" s="17" t="s">
        <v>126</v>
      </c>
      <c r="AA18" s="29">
        <v>777932.41573899996</v>
      </c>
      <c r="AB18" s="29">
        <v>2424218.1667900002</v>
      </c>
    </row>
    <row r="19" spans="1:28">
      <c r="A19" s="30">
        <v>18</v>
      </c>
      <c r="B19" s="17">
        <v>611142</v>
      </c>
      <c r="C19" s="17" t="s">
        <v>194</v>
      </c>
      <c r="D19" s="17" t="s">
        <v>324</v>
      </c>
      <c r="E19" s="17" t="s">
        <v>365</v>
      </c>
      <c r="F19" s="17" t="s">
        <v>480</v>
      </c>
      <c r="G19" s="17" t="s">
        <v>343</v>
      </c>
      <c r="H19" s="17" t="s">
        <v>84</v>
      </c>
      <c r="I19" s="17">
        <v>20010</v>
      </c>
      <c r="J19" s="17" t="s">
        <v>54</v>
      </c>
      <c r="K19" s="17" t="s">
        <v>95</v>
      </c>
      <c r="L19" s="17" t="s">
        <v>20</v>
      </c>
      <c r="M19" s="17" t="s">
        <v>142</v>
      </c>
      <c r="N19" s="17" t="s">
        <v>20</v>
      </c>
      <c r="O19" s="17" t="s">
        <v>143</v>
      </c>
      <c r="P19" s="17" t="s">
        <v>20</v>
      </c>
      <c r="Q19" s="17" t="s">
        <v>141</v>
      </c>
      <c r="R19" s="17" t="s">
        <v>20</v>
      </c>
      <c r="S19" s="17" t="s">
        <v>144</v>
      </c>
      <c r="T19" s="17">
        <v>0</v>
      </c>
      <c r="U19" s="18">
        <v>4499145665</v>
      </c>
      <c r="X19" s="17" t="s">
        <v>65</v>
      </c>
      <c r="Y19" s="17" t="s">
        <v>116</v>
      </c>
      <c r="Z19" s="17" t="s">
        <v>126</v>
      </c>
      <c r="AA19" s="29">
        <v>776709.26640099997</v>
      </c>
      <c r="AB19" s="29">
        <v>2423610.4462799998</v>
      </c>
    </row>
    <row r="20" spans="1:28">
      <c r="A20" s="30">
        <v>19</v>
      </c>
      <c r="B20" s="17">
        <v>611142</v>
      </c>
      <c r="C20" s="17" t="s">
        <v>194</v>
      </c>
      <c r="D20" s="17" t="s">
        <v>324</v>
      </c>
      <c r="E20" s="17" t="s">
        <v>366</v>
      </c>
      <c r="F20" s="17" t="s">
        <v>480</v>
      </c>
      <c r="G20" s="17" t="s">
        <v>150</v>
      </c>
      <c r="H20" s="17" t="s">
        <v>84</v>
      </c>
      <c r="I20" s="17">
        <v>20010</v>
      </c>
      <c r="J20" s="17" t="s">
        <v>54</v>
      </c>
      <c r="K20" s="17" t="s">
        <v>93</v>
      </c>
      <c r="L20" s="17" t="s">
        <v>56</v>
      </c>
      <c r="M20" s="17" t="s">
        <v>131</v>
      </c>
      <c r="N20" s="17" t="s">
        <v>20</v>
      </c>
      <c r="O20" s="17" t="s">
        <v>140</v>
      </c>
      <c r="P20" s="17" t="s">
        <v>20</v>
      </c>
      <c r="Q20" s="17" t="s">
        <v>147</v>
      </c>
      <c r="R20" s="17" t="s">
        <v>20</v>
      </c>
      <c r="S20" s="17" t="s">
        <v>66</v>
      </c>
      <c r="T20" s="17">
        <v>0</v>
      </c>
      <c r="U20" s="18">
        <v>0</v>
      </c>
      <c r="V20" s="17" t="s">
        <v>367</v>
      </c>
      <c r="X20" s="17" t="s">
        <v>65</v>
      </c>
      <c r="Y20" s="17" t="s">
        <v>116</v>
      </c>
      <c r="Z20" s="17" t="s">
        <v>126</v>
      </c>
      <c r="AA20" s="29">
        <v>778137.24850300001</v>
      </c>
      <c r="AB20" s="29">
        <v>2423810.7439299999</v>
      </c>
    </row>
    <row r="21" spans="1:28">
      <c r="A21" s="30">
        <v>20</v>
      </c>
      <c r="B21" s="17">
        <v>611141</v>
      </c>
      <c r="C21" s="17" t="s">
        <v>194</v>
      </c>
      <c r="D21" s="17" t="s">
        <v>52</v>
      </c>
      <c r="E21" s="17" t="s">
        <v>368</v>
      </c>
      <c r="F21" s="17" t="s">
        <v>477</v>
      </c>
      <c r="G21" s="17" t="s">
        <v>368</v>
      </c>
      <c r="H21" s="17" t="s">
        <v>67</v>
      </c>
      <c r="I21" s="17">
        <v>0</v>
      </c>
      <c r="J21" s="17" t="s">
        <v>54</v>
      </c>
      <c r="K21" s="17" t="s">
        <v>55</v>
      </c>
      <c r="L21" s="17" t="s">
        <v>20</v>
      </c>
      <c r="M21" s="17" t="s">
        <v>142</v>
      </c>
      <c r="N21" s="17" t="s">
        <v>20</v>
      </c>
      <c r="O21" s="17" t="s">
        <v>143</v>
      </c>
      <c r="P21" s="17" t="s">
        <v>20</v>
      </c>
      <c r="Q21" s="17" t="s">
        <v>141</v>
      </c>
      <c r="R21" s="17" t="s">
        <v>20</v>
      </c>
      <c r="S21" s="17" t="s">
        <v>144</v>
      </c>
      <c r="T21" s="17">
        <v>0</v>
      </c>
      <c r="U21" s="18">
        <v>0</v>
      </c>
      <c r="X21" s="17" t="s">
        <v>94</v>
      </c>
      <c r="Y21" s="17" t="s">
        <v>116</v>
      </c>
      <c r="Z21" s="17" t="s">
        <v>126</v>
      </c>
      <c r="AA21" s="29">
        <v>776615.27616200002</v>
      </c>
      <c r="AB21" s="29">
        <v>2423607.7012399998</v>
      </c>
    </row>
    <row r="22" spans="1:28">
      <c r="A22" s="30">
        <v>21</v>
      </c>
      <c r="B22" s="17">
        <v>611142</v>
      </c>
      <c r="C22" s="17" t="s">
        <v>194</v>
      </c>
      <c r="D22" s="17" t="s">
        <v>324</v>
      </c>
      <c r="E22" s="17" t="s">
        <v>369</v>
      </c>
      <c r="F22" s="17" t="s">
        <v>480</v>
      </c>
      <c r="G22" s="17" t="s">
        <v>150</v>
      </c>
      <c r="H22" s="17" t="s">
        <v>67</v>
      </c>
      <c r="I22" s="17">
        <v>20070</v>
      </c>
      <c r="J22" s="17" t="s">
        <v>54</v>
      </c>
      <c r="K22" s="17" t="s">
        <v>95</v>
      </c>
      <c r="L22" s="17" t="s">
        <v>20</v>
      </c>
      <c r="M22" s="17" t="s">
        <v>138</v>
      </c>
      <c r="N22" s="17" t="s">
        <v>56</v>
      </c>
      <c r="O22" s="17" t="s">
        <v>124</v>
      </c>
      <c r="P22" s="17" t="s">
        <v>20</v>
      </c>
      <c r="Q22" s="17" t="s">
        <v>133</v>
      </c>
      <c r="R22" s="17" t="s">
        <v>20</v>
      </c>
      <c r="S22" s="17" t="s">
        <v>134</v>
      </c>
      <c r="T22" s="17">
        <v>902</v>
      </c>
      <c r="U22" s="18">
        <v>0</v>
      </c>
      <c r="V22" s="17" t="s">
        <v>370</v>
      </c>
      <c r="X22" s="17" t="s">
        <v>65</v>
      </c>
      <c r="Y22" s="17" t="s">
        <v>123</v>
      </c>
      <c r="Z22" s="17" t="s">
        <v>126</v>
      </c>
      <c r="AA22" s="29">
        <v>777278.153437</v>
      </c>
      <c r="AB22" s="29">
        <v>2422031.7799300002</v>
      </c>
    </row>
    <row r="23" spans="1:28">
      <c r="A23" s="30">
        <v>22</v>
      </c>
      <c r="B23" s="17">
        <v>611132</v>
      </c>
      <c r="C23" s="17" t="s">
        <v>194</v>
      </c>
      <c r="D23" s="17" t="s">
        <v>324</v>
      </c>
      <c r="E23" s="17" t="s">
        <v>371</v>
      </c>
      <c r="F23" s="17" t="s">
        <v>479</v>
      </c>
      <c r="G23" s="17" t="s">
        <v>150</v>
      </c>
      <c r="H23" s="17" t="s">
        <v>84</v>
      </c>
      <c r="I23" s="17">
        <v>20270</v>
      </c>
      <c r="J23" s="17" t="s">
        <v>54</v>
      </c>
      <c r="K23" s="17" t="s">
        <v>95</v>
      </c>
      <c r="L23" s="17" t="s">
        <v>20</v>
      </c>
      <c r="M23" s="17" t="s">
        <v>153</v>
      </c>
      <c r="N23" s="17" t="s">
        <v>20</v>
      </c>
      <c r="O23" s="17" t="s">
        <v>152</v>
      </c>
      <c r="P23" s="17" t="s">
        <v>20</v>
      </c>
      <c r="Q23" s="17" t="s">
        <v>154</v>
      </c>
      <c r="R23" s="17" t="s">
        <v>20</v>
      </c>
      <c r="S23" s="17" t="s">
        <v>155</v>
      </c>
      <c r="T23" s="17">
        <v>0</v>
      </c>
      <c r="U23" s="18">
        <v>4491231063</v>
      </c>
      <c r="V23" s="17" t="s">
        <v>372</v>
      </c>
      <c r="X23" s="17" t="s">
        <v>65</v>
      </c>
      <c r="Y23" s="17" t="s">
        <v>125</v>
      </c>
      <c r="Z23" s="17" t="s">
        <v>151</v>
      </c>
      <c r="AA23" s="29">
        <v>779933.84860100003</v>
      </c>
      <c r="AB23" s="29">
        <v>2420759.9937399998</v>
      </c>
    </row>
    <row r="24" spans="1:28">
      <c r="A24" s="30">
        <v>23</v>
      </c>
      <c r="B24" s="17">
        <v>611132</v>
      </c>
      <c r="C24" s="17" t="s">
        <v>194</v>
      </c>
      <c r="D24" s="17" t="s">
        <v>324</v>
      </c>
      <c r="E24" s="17" t="s">
        <v>371</v>
      </c>
      <c r="F24" s="17" t="s">
        <v>479</v>
      </c>
      <c r="G24" s="17" t="s">
        <v>373</v>
      </c>
      <c r="H24" s="17" t="s">
        <v>84</v>
      </c>
      <c r="I24" s="17">
        <v>20270</v>
      </c>
      <c r="J24" s="17" t="s">
        <v>54</v>
      </c>
      <c r="K24" s="17" t="s">
        <v>95</v>
      </c>
      <c r="L24" s="17" t="s">
        <v>20</v>
      </c>
      <c r="M24" s="17" t="s">
        <v>153</v>
      </c>
      <c r="N24" s="17" t="s">
        <v>20</v>
      </c>
      <c r="O24" s="17" t="s">
        <v>152</v>
      </c>
      <c r="P24" s="17" t="s">
        <v>20</v>
      </c>
      <c r="Q24" s="17" t="s">
        <v>154</v>
      </c>
      <c r="R24" s="17" t="s">
        <v>20</v>
      </c>
      <c r="S24" s="17" t="s">
        <v>155</v>
      </c>
      <c r="T24" s="17">
        <v>0</v>
      </c>
      <c r="U24" s="18">
        <v>0</v>
      </c>
      <c r="V24" s="17" t="s">
        <v>374</v>
      </c>
      <c r="X24" s="17" t="s">
        <v>65</v>
      </c>
      <c r="Y24" s="17" t="s">
        <v>125</v>
      </c>
      <c r="Z24" s="17" t="s">
        <v>151</v>
      </c>
      <c r="AA24" s="29">
        <v>779934.53037099994</v>
      </c>
      <c r="AB24" s="29">
        <v>2420760.33708</v>
      </c>
    </row>
    <row r="25" spans="1:28">
      <c r="A25" s="30">
        <v>24</v>
      </c>
      <c r="B25" s="17">
        <v>611132</v>
      </c>
      <c r="C25" s="17" t="s">
        <v>194</v>
      </c>
      <c r="D25" s="17" t="s">
        <v>324</v>
      </c>
      <c r="E25" s="17" t="s">
        <v>375</v>
      </c>
      <c r="F25" s="17" t="s">
        <v>479</v>
      </c>
      <c r="G25" s="17" t="s">
        <v>150</v>
      </c>
      <c r="H25" s="17" t="s">
        <v>84</v>
      </c>
      <c r="I25" s="17">
        <v>20288</v>
      </c>
      <c r="J25" s="17" t="s">
        <v>54</v>
      </c>
      <c r="K25" s="17" t="s">
        <v>95</v>
      </c>
      <c r="L25" s="17" t="s">
        <v>97</v>
      </c>
      <c r="M25" s="17" t="s">
        <v>157</v>
      </c>
      <c r="N25" s="17" t="s">
        <v>97</v>
      </c>
      <c r="O25" s="17" t="s">
        <v>98</v>
      </c>
      <c r="P25" s="17" t="s">
        <v>20</v>
      </c>
      <c r="Q25" s="17" t="s">
        <v>101</v>
      </c>
      <c r="R25" s="17" t="s">
        <v>20</v>
      </c>
      <c r="S25" s="17" t="s">
        <v>101</v>
      </c>
      <c r="T25" s="17">
        <v>102</v>
      </c>
      <c r="U25" s="18">
        <v>4499257175</v>
      </c>
      <c r="V25" s="17" t="s">
        <v>376</v>
      </c>
      <c r="X25" s="17" t="s">
        <v>65</v>
      </c>
      <c r="Y25" s="17" t="s">
        <v>99</v>
      </c>
      <c r="Z25" s="17" t="s">
        <v>151</v>
      </c>
      <c r="AA25" s="29">
        <v>778871.33568899997</v>
      </c>
      <c r="AB25" s="29">
        <v>2419306.6308800001</v>
      </c>
    </row>
    <row r="26" spans="1:28">
      <c r="A26" s="30">
        <v>25</v>
      </c>
      <c r="B26" s="17">
        <v>611132</v>
      </c>
      <c r="C26" s="17" t="s">
        <v>194</v>
      </c>
      <c r="D26" s="17" t="s">
        <v>324</v>
      </c>
      <c r="E26" s="17" t="s">
        <v>377</v>
      </c>
      <c r="F26" s="17" t="s">
        <v>479</v>
      </c>
      <c r="G26" s="17" t="s">
        <v>150</v>
      </c>
      <c r="H26" s="17" t="s">
        <v>84</v>
      </c>
      <c r="I26" s="17">
        <v>20288</v>
      </c>
      <c r="J26" s="17" t="s">
        <v>54</v>
      </c>
      <c r="K26" s="17" t="s">
        <v>70</v>
      </c>
      <c r="L26" s="17" t="s">
        <v>97</v>
      </c>
      <c r="M26" s="17" t="s">
        <v>157</v>
      </c>
      <c r="N26" s="17" t="s">
        <v>97</v>
      </c>
      <c r="O26" s="17" t="s">
        <v>98</v>
      </c>
      <c r="P26" s="17" t="s">
        <v>20</v>
      </c>
      <c r="Q26" s="17" t="s">
        <v>101</v>
      </c>
      <c r="R26" s="17" t="s">
        <v>20</v>
      </c>
      <c r="S26" s="17" t="s">
        <v>101</v>
      </c>
      <c r="T26" s="17">
        <v>102</v>
      </c>
      <c r="U26" s="18">
        <v>4499257175</v>
      </c>
      <c r="V26" s="17" t="s">
        <v>376</v>
      </c>
      <c r="X26" s="17" t="s">
        <v>65</v>
      </c>
      <c r="Y26" s="17" t="s">
        <v>99</v>
      </c>
      <c r="Z26" s="17" t="s">
        <v>151</v>
      </c>
      <c r="AA26" s="29">
        <v>778871.33568899997</v>
      </c>
      <c r="AB26" s="29">
        <v>2419306.6308800001</v>
      </c>
    </row>
    <row r="27" spans="1:28">
      <c r="A27" s="30">
        <v>26</v>
      </c>
      <c r="B27" s="17">
        <v>611132</v>
      </c>
      <c r="C27" s="17" t="s">
        <v>194</v>
      </c>
      <c r="D27" s="17" t="s">
        <v>324</v>
      </c>
      <c r="E27" s="17" t="s">
        <v>371</v>
      </c>
      <c r="F27" s="17" t="s">
        <v>479</v>
      </c>
      <c r="G27" s="17" t="s">
        <v>362</v>
      </c>
      <c r="H27" s="17" t="s">
        <v>84</v>
      </c>
      <c r="I27" s="17">
        <v>20230</v>
      </c>
      <c r="J27" s="17" t="s">
        <v>54</v>
      </c>
      <c r="K27" s="17" t="s">
        <v>70</v>
      </c>
      <c r="L27" s="17" t="s">
        <v>20</v>
      </c>
      <c r="M27" s="17" t="s">
        <v>161</v>
      </c>
      <c r="N27" s="17" t="s">
        <v>20</v>
      </c>
      <c r="O27" s="17" t="s">
        <v>160</v>
      </c>
      <c r="P27" s="17" t="s">
        <v>56</v>
      </c>
      <c r="Q27" s="17" t="s">
        <v>159</v>
      </c>
      <c r="R27" s="17" t="s">
        <v>56</v>
      </c>
      <c r="S27" s="17" t="s">
        <v>378</v>
      </c>
      <c r="T27" s="17">
        <v>0</v>
      </c>
      <c r="U27" s="18">
        <v>0</v>
      </c>
      <c r="V27" s="17" t="s">
        <v>379</v>
      </c>
      <c r="X27" s="17" t="s">
        <v>65</v>
      </c>
      <c r="Y27" s="17" t="s">
        <v>99</v>
      </c>
      <c r="Z27" s="17" t="s">
        <v>151</v>
      </c>
      <c r="AA27" s="29">
        <v>778328.58961499995</v>
      </c>
      <c r="AB27" s="29">
        <v>2420868.6488800002</v>
      </c>
    </row>
    <row r="28" spans="1:28">
      <c r="A28" s="30">
        <v>27</v>
      </c>
      <c r="B28" s="17">
        <v>611142</v>
      </c>
      <c r="C28" s="17" t="s">
        <v>194</v>
      </c>
      <c r="D28" s="17" t="s">
        <v>324</v>
      </c>
      <c r="E28" s="17" t="s">
        <v>380</v>
      </c>
      <c r="F28" s="17" t="s">
        <v>480</v>
      </c>
      <c r="G28" s="17" t="s">
        <v>150</v>
      </c>
      <c r="H28" s="17" t="s">
        <v>84</v>
      </c>
      <c r="I28" s="17">
        <v>20285</v>
      </c>
      <c r="J28" s="17" t="s">
        <v>54</v>
      </c>
      <c r="K28" s="17" t="s">
        <v>75</v>
      </c>
      <c r="L28" s="17" t="s">
        <v>20</v>
      </c>
      <c r="M28" s="17" t="s">
        <v>295</v>
      </c>
      <c r="N28" s="17" t="s">
        <v>20</v>
      </c>
      <c r="O28" s="17" t="s">
        <v>158</v>
      </c>
      <c r="P28" s="17" t="s">
        <v>20</v>
      </c>
      <c r="Q28" s="17" t="s">
        <v>137</v>
      </c>
      <c r="R28" s="17" t="s">
        <v>20</v>
      </c>
      <c r="S28" s="17" t="s">
        <v>296</v>
      </c>
      <c r="T28" s="17">
        <v>0</v>
      </c>
      <c r="U28" s="18">
        <v>4499789303</v>
      </c>
      <c r="V28" s="17" t="s">
        <v>381</v>
      </c>
      <c r="X28" s="17" t="s">
        <v>64</v>
      </c>
      <c r="Y28" s="17" t="s">
        <v>99</v>
      </c>
      <c r="Z28" s="17" t="s">
        <v>151</v>
      </c>
      <c r="AA28" s="29">
        <v>778034.64238500001</v>
      </c>
      <c r="AB28" s="29">
        <v>2419761.9183499999</v>
      </c>
    </row>
    <row r="29" spans="1:28">
      <c r="A29" s="30">
        <v>28</v>
      </c>
      <c r="B29" s="17">
        <v>611142</v>
      </c>
      <c r="C29" s="17" t="s">
        <v>194</v>
      </c>
      <c r="D29" s="17" t="s">
        <v>324</v>
      </c>
      <c r="E29" s="17" t="s">
        <v>382</v>
      </c>
      <c r="F29" s="17" t="s">
        <v>480</v>
      </c>
      <c r="G29" s="17" t="s">
        <v>150</v>
      </c>
      <c r="H29" s="17" t="s">
        <v>84</v>
      </c>
      <c r="I29" s="17">
        <v>20285</v>
      </c>
      <c r="J29" s="17" t="s">
        <v>54</v>
      </c>
      <c r="K29" s="17" t="s">
        <v>75</v>
      </c>
      <c r="L29" s="17" t="s">
        <v>20</v>
      </c>
      <c r="M29" s="17" t="s">
        <v>295</v>
      </c>
      <c r="N29" s="17" t="s">
        <v>20</v>
      </c>
      <c r="O29" s="17" t="s">
        <v>158</v>
      </c>
      <c r="P29" s="17" t="s">
        <v>20</v>
      </c>
      <c r="Q29" s="17" t="s">
        <v>137</v>
      </c>
      <c r="R29" s="17" t="s">
        <v>20</v>
      </c>
      <c r="S29" s="17" t="s">
        <v>158</v>
      </c>
      <c r="T29" s="17">
        <v>0</v>
      </c>
      <c r="U29" s="18">
        <v>4499789303</v>
      </c>
      <c r="V29" s="17" t="s">
        <v>381</v>
      </c>
      <c r="X29" s="17" t="s">
        <v>65</v>
      </c>
      <c r="Y29" s="17" t="s">
        <v>99</v>
      </c>
      <c r="Z29" s="17" t="s">
        <v>151</v>
      </c>
      <c r="AA29" s="29">
        <v>778031.29349399998</v>
      </c>
      <c r="AB29" s="29">
        <v>2419762.1921799998</v>
      </c>
    </row>
    <row r="30" spans="1:28">
      <c r="A30" s="30">
        <v>29</v>
      </c>
      <c r="B30" s="17">
        <v>611142</v>
      </c>
      <c r="C30" s="17" t="s">
        <v>194</v>
      </c>
      <c r="D30" s="17" t="s">
        <v>324</v>
      </c>
      <c r="E30" s="17" t="s">
        <v>383</v>
      </c>
      <c r="F30" s="17" t="s">
        <v>480</v>
      </c>
      <c r="G30" s="17" t="s">
        <v>150</v>
      </c>
      <c r="H30" s="17" t="s">
        <v>84</v>
      </c>
      <c r="I30" s="17">
        <v>20285</v>
      </c>
      <c r="J30" s="17" t="s">
        <v>54</v>
      </c>
      <c r="K30" s="17" t="s">
        <v>95</v>
      </c>
      <c r="L30" s="17" t="s">
        <v>20</v>
      </c>
      <c r="M30" s="17" t="s">
        <v>162</v>
      </c>
      <c r="N30" s="17" t="s">
        <v>20</v>
      </c>
      <c r="O30" s="17" t="s">
        <v>107</v>
      </c>
      <c r="P30" s="17" t="s">
        <v>20</v>
      </c>
      <c r="Q30" s="17" t="s">
        <v>106</v>
      </c>
      <c r="R30" s="17" t="s">
        <v>20</v>
      </c>
      <c r="S30" s="17" t="s">
        <v>298</v>
      </c>
      <c r="T30" s="17">
        <v>0</v>
      </c>
      <c r="U30" s="18">
        <v>4491758025</v>
      </c>
      <c r="V30" s="17" t="s">
        <v>384</v>
      </c>
      <c r="X30" s="17" t="s">
        <v>65</v>
      </c>
      <c r="Y30" s="17" t="s">
        <v>99</v>
      </c>
      <c r="Z30" s="17" t="s">
        <v>151</v>
      </c>
      <c r="AA30" s="29">
        <v>777888.35302699998</v>
      </c>
      <c r="AB30" s="29">
        <v>2419317.4780999999</v>
      </c>
    </row>
    <row r="31" spans="1:28">
      <c r="A31" s="30">
        <v>30</v>
      </c>
      <c r="B31" s="17">
        <v>611132</v>
      </c>
      <c r="C31" s="17" t="s">
        <v>194</v>
      </c>
      <c r="D31" s="17" t="s">
        <v>324</v>
      </c>
      <c r="E31" s="17" t="s">
        <v>385</v>
      </c>
      <c r="F31" s="17" t="s">
        <v>479</v>
      </c>
      <c r="G31" s="17" t="s">
        <v>150</v>
      </c>
      <c r="H31" s="17" t="s">
        <v>67</v>
      </c>
      <c r="I31" s="17">
        <v>20180</v>
      </c>
      <c r="J31" s="17" t="s">
        <v>54</v>
      </c>
      <c r="K31" s="17" t="s">
        <v>70</v>
      </c>
      <c r="L31" s="17" t="s">
        <v>20</v>
      </c>
      <c r="M31" s="17" t="s">
        <v>230</v>
      </c>
      <c r="N31" s="17" t="s">
        <v>20</v>
      </c>
      <c r="O31" s="17" t="s">
        <v>302</v>
      </c>
      <c r="P31" s="17" t="s">
        <v>56</v>
      </c>
      <c r="Q31" s="17" t="s">
        <v>168</v>
      </c>
      <c r="R31" s="17" t="s">
        <v>20</v>
      </c>
      <c r="S31" s="17" t="s">
        <v>300</v>
      </c>
      <c r="T31" s="17">
        <v>102</v>
      </c>
      <c r="U31" s="18">
        <v>0</v>
      </c>
      <c r="V31" s="17" t="s">
        <v>386</v>
      </c>
      <c r="X31" s="17" t="s">
        <v>64</v>
      </c>
      <c r="Y31" s="17" t="s">
        <v>125</v>
      </c>
      <c r="Z31" s="17" t="s">
        <v>164</v>
      </c>
      <c r="AA31" s="29">
        <v>781280.71312199999</v>
      </c>
      <c r="AB31" s="29">
        <v>2422617.4402800002</v>
      </c>
    </row>
    <row r="32" spans="1:28">
      <c r="A32" s="30">
        <v>31</v>
      </c>
      <c r="B32" s="17">
        <v>611142</v>
      </c>
      <c r="C32" s="17" t="s">
        <v>194</v>
      </c>
      <c r="D32" s="17" t="s">
        <v>324</v>
      </c>
      <c r="E32" s="17" t="s">
        <v>387</v>
      </c>
      <c r="F32" s="17" t="s">
        <v>480</v>
      </c>
      <c r="G32" s="17" t="s">
        <v>150</v>
      </c>
      <c r="H32" s="17" t="s">
        <v>67</v>
      </c>
      <c r="I32" s="17">
        <v>20180</v>
      </c>
      <c r="J32" s="17" t="s">
        <v>54</v>
      </c>
      <c r="K32" s="17" t="s">
        <v>93</v>
      </c>
      <c r="L32" s="17" t="s">
        <v>56</v>
      </c>
      <c r="M32" s="17" t="s">
        <v>169</v>
      </c>
      <c r="N32" s="17" t="s">
        <v>20</v>
      </c>
      <c r="O32" s="17" t="s">
        <v>300</v>
      </c>
      <c r="P32" s="17" t="s">
        <v>20</v>
      </c>
      <c r="Q32" s="17" t="s">
        <v>301</v>
      </c>
      <c r="R32" s="17" t="s">
        <v>20</v>
      </c>
      <c r="S32" s="17" t="s">
        <v>300</v>
      </c>
      <c r="T32" s="17">
        <v>0</v>
      </c>
      <c r="U32" s="18">
        <v>0</v>
      </c>
      <c r="V32" s="17" t="s">
        <v>388</v>
      </c>
      <c r="X32" s="17" t="s">
        <v>65</v>
      </c>
      <c r="Y32" s="17" t="s">
        <v>125</v>
      </c>
      <c r="Z32" s="17" t="s">
        <v>164</v>
      </c>
      <c r="AA32" s="29">
        <v>781434.15643199999</v>
      </c>
      <c r="AB32" s="29">
        <v>2423030.0564899999</v>
      </c>
    </row>
    <row r="33" spans="1:28">
      <c r="A33" s="30">
        <v>32</v>
      </c>
      <c r="B33" s="17">
        <v>611131</v>
      </c>
      <c r="C33" s="17" t="s">
        <v>194</v>
      </c>
      <c r="D33" s="17" t="s">
        <v>52</v>
      </c>
      <c r="E33" s="17" t="s">
        <v>389</v>
      </c>
      <c r="F33" s="17" t="s">
        <v>478</v>
      </c>
      <c r="H33" s="17" t="s">
        <v>67</v>
      </c>
      <c r="I33" s="17">
        <v>20000</v>
      </c>
      <c r="J33" s="17" t="s">
        <v>54</v>
      </c>
      <c r="K33" s="17" t="s">
        <v>70</v>
      </c>
      <c r="L33" s="17" t="s">
        <v>20</v>
      </c>
      <c r="M33" s="17" t="s">
        <v>129</v>
      </c>
      <c r="N33" s="17" t="s">
        <v>20</v>
      </c>
      <c r="O33" s="17" t="s">
        <v>165</v>
      </c>
      <c r="P33" s="17" t="s">
        <v>20</v>
      </c>
      <c r="Q33" s="17" t="s">
        <v>174</v>
      </c>
      <c r="R33" s="17" t="s">
        <v>20</v>
      </c>
      <c r="S33" s="17" t="s">
        <v>175</v>
      </c>
      <c r="T33" s="17">
        <v>414</v>
      </c>
      <c r="U33" s="18">
        <v>0</v>
      </c>
      <c r="V33" s="17" t="s">
        <v>390</v>
      </c>
      <c r="W33" s="17" t="s">
        <v>391</v>
      </c>
      <c r="X33" s="17" t="s">
        <v>65</v>
      </c>
      <c r="Y33" s="17" t="s">
        <v>125</v>
      </c>
      <c r="Z33" s="17" t="s">
        <v>164</v>
      </c>
      <c r="AA33" s="29">
        <v>780171.81897599995</v>
      </c>
      <c r="AB33" s="29">
        <v>2422886.3002499999</v>
      </c>
    </row>
    <row r="34" spans="1:28">
      <c r="A34" s="30">
        <v>33</v>
      </c>
      <c r="B34" s="17">
        <v>611132</v>
      </c>
      <c r="C34" s="17" t="s">
        <v>194</v>
      </c>
      <c r="D34" s="17" t="s">
        <v>324</v>
      </c>
      <c r="E34" s="17" t="s">
        <v>392</v>
      </c>
      <c r="F34" s="17" t="s">
        <v>479</v>
      </c>
      <c r="G34" s="17" t="s">
        <v>150</v>
      </c>
      <c r="H34" s="17" t="s">
        <v>53</v>
      </c>
      <c r="I34" s="17">
        <v>20070</v>
      </c>
      <c r="J34" s="17" t="s">
        <v>54</v>
      </c>
      <c r="K34" s="17" t="s">
        <v>95</v>
      </c>
      <c r="L34" s="17" t="s">
        <v>20</v>
      </c>
      <c r="M34" s="17" t="s">
        <v>132</v>
      </c>
      <c r="N34" s="17" t="s">
        <v>20</v>
      </c>
      <c r="O34" s="17" t="s">
        <v>136</v>
      </c>
      <c r="P34" s="17" t="s">
        <v>20</v>
      </c>
      <c r="Q34" s="17" t="s">
        <v>135</v>
      </c>
      <c r="R34" s="17" t="s">
        <v>20</v>
      </c>
      <c r="S34" s="17" t="s">
        <v>181</v>
      </c>
      <c r="T34" s="17">
        <v>0</v>
      </c>
      <c r="U34" s="18">
        <v>0</v>
      </c>
      <c r="V34" s="17" t="s">
        <v>393</v>
      </c>
      <c r="X34" s="17" t="s">
        <v>65</v>
      </c>
      <c r="Y34" s="17" t="s">
        <v>99</v>
      </c>
      <c r="Z34" s="17" t="s">
        <v>164</v>
      </c>
      <c r="AA34" s="29">
        <v>778128.49303400004</v>
      </c>
      <c r="AB34" s="29">
        <v>2422093.2527000001</v>
      </c>
    </row>
    <row r="35" spans="1:28">
      <c r="A35" s="30">
        <v>34</v>
      </c>
      <c r="B35" s="17">
        <v>611132</v>
      </c>
      <c r="C35" s="17" t="s">
        <v>194</v>
      </c>
      <c r="D35" s="17" t="s">
        <v>324</v>
      </c>
      <c r="E35" s="17" t="s">
        <v>394</v>
      </c>
      <c r="F35" s="17" t="s">
        <v>479</v>
      </c>
      <c r="G35" s="17" t="s">
        <v>394</v>
      </c>
      <c r="H35" s="17" t="s">
        <v>53</v>
      </c>
      <c r="I35" s="17">
        <v>20059</v>
      </c>
      <c r="J35" s="17" t="s">
        <v>54</v>
      </c>
      <c r="K35" s="17" t="s">
        <v>70</v>
      </c>
      <c r="L35" s="17" t="s">
        <v>20</v>
      </c>
      <c r="M35" s="17" t="s">
        <v>177</v>
      </c>
      <c r="N35" s="17" t="s">
        <v>20</v>
      </c>
      <c r="O35" s="17" t="s">
        <v>183</v>
      </c>
      <c r="P35" s="17" t="s">
        <v>20</v>
      </c>
      <c r="Q35" s="17" t="s">
        <v>184</v>
      </c>
      <c r="R35" s="17" t="s">
        <v>56</v>
      </c>
      <c r="S35" s="17" t="s">
        <v>96</v>
      </c>
      <c r="T35" s="17">
        <v>0</v>
      </c>
      <c r="U35" s="18">
        <v>4499164505</v>
      </c>
      <c r="X35" s="17" t="s">
        <v>65</v>
      </c>
      <c r="Y35" s="17" t="s">
        <v>99</v>
      </c>
      <c r="Z35" s="17" t="s">
        <v>164</v>
      </c>
      <c r="AA35" s="29">
        <v>778458.09545300005</v>
      </c>
      <c r="AB35" s="29">
        <v>2422660.7187800002</v>
      </c>
    </row>
    <row r="36" spans="1:28">
      <c r="A36" s="30">
        <v>35</v>
      </c>
      <c r="B36" s="17">
        <v>611142</v>
      </c>
      <c r="C36" s="17" t="s">
        <v>194</v>
      </c>
      <c r="D36" s="17" t="s">
        <v>324</v>
      </c>
      <c r="E36" s="17" t="s">
        <v>395</v>
      </c>
      <c r="F36" s="17" t="s">
        <v>480</v>
      </c>
      <c r="G36" s="17" t="s">
        <v>150</v>
      </c>
      <c r="H36" s="17" t="s">
        <v>67</v>
      </c>
      <c r="I36" s="17">
        <v>20230</v>
      </c>
      <c r="J36" s="17" t="s">
        <v>54</v>
      </c>
      <c r="K36" s="17" t="s">
        <v>95</v>
      </c>
      <c r="L36" s="17" t="s">
        <v>20</v>
      </c>
      <c r="M36" s="17" t="s">
        <v>179</v>
      </c>
      <c r="N36" s="17" t="s">
        <v>56</v>
      </c>
      <c r="O36" s="17" t="s">
        <v>297</v>
      </c>
      <c r="P36" s="17" t="s">
        <v>56</v>
      </c>
      <c r="Q36" s="17" t="s">
        <v>139</v>
      </c>
      <c r="R36" s="17" t="s">
        <v>20</v>
      </c>
      <c r="S36" s="17" t="s">
        <v>182</v>
      </c>
      <c r="T36" s="17">
        <v>0</v>
      </c>
      <c r="U36" s="18">
        <v>4499157357</v>
      </c>
      <c r="X36" s="17" t="s">
        <v>65</v>
      </c>
      <c r="Y36" s="17" t="s">
        <v>99</v>
      </c>
      <c r="Z36" s="17" t="s">
        <v>164</v>
      </c>
      <c r="AA36" s="29">
        <v>778915.07098099997</v>
      </c>
      <c r="AB36" s="29">
        <v>2421596.2809100002</v>
      </c>
    </row>
    <row r="37" spans="1:28">
      <c r="A37" s="30">
        <v>36</v>
      </c>
      <c r="B37" s="17">
        <v>611131</v>
      </c>
      <c r="C37" s="17" t="s">
        <v>194</v>
      </c>
      <c r="D37" s="17" t="s">
        <v>52</v>
      </c>
      <c r="E37" s="17" t="s">
        <v>396</v>
      </c>
      <c r="F37" s="17" t="s">
        <v>478</v>
      </c>
      <c r="G37" s="17" t="s">
        <v>397</v>
      </c>
      <c r="H37" s="17" t="s">
        <v>67</v>
      </c>
      <c r="I37" s="17">
        <v>20000</v>
      </c>
      <c r="J37" s="17" t="s">
        <v>54</v>
      </c>
      <c r="K37" s="17" t="s">
        <v>70</v>
      </c>
      <c r="L37" s="17" t="s">
        <v>20</v>
      </c>
      <c r="M37" s="17" t="s">
        <v>178</v>
      </c>
      <c r="N37" s="17" t="s">
        <v>20</v>
      </c>
      <c r="O37" s="17" t="s">
        <v>180</v>
      </c>
      <c r="P37" s="17" t="s">
        <v>20</v>
      </c>
      <c r="Q37" s="17" t="s">
        <v>176</v>
      </c>
      <c r="R37" s="17" t="s">
        <v>20</v>
      </c>
      <c r="S37" s="17" t="s">
        <v>303</v>
      </c>
      <c r="T37" s="17">
        <v>211</v>
      </c>
      <c r="U37" s="18">
        <v>0</v>
      </c>
      <c r="V37" s="17" t="s">
        <v>398</v>
      </c>
      <c r="W37" s="17" t="s">
        <v>399</v>
      </c>
      <c r="X37" s="17" t="s">
        <v>65</v>
      </c>
      <c r="Y37" s="17" t="s">
        <v>99</v>
      </c>
      <c r="Z37" s="17" t="s">
        <v>164</v>
      </c>
      <c r="AA37" s="29">
        <v>779192.62482000003</v>
      </c>
      <c r="AB37" s="29">
        <v>2422191.5046600001</v>
      </c>
    </row>
    <row r="38" spans="1:28">
      <c r="A38" s="30">
        <v>37</v>
      </c>
      <c r="B38" s="17">
        <v>611132</v>
      </c>
      <c r="C38" s="17" t="s">
        <v>194</v>
      </c>
      <c r="D38" s="17" t="s">
        <v>324</v>
      </c>
      <c r="E38" s="17" t="s">
        <v>400</v>
      </c>
      <c r="F38" s="17" t="s">
        <v>479</v>
      </c>
      <c r="G38" s="17" t="s">
        <v>362</v>
      </c>
      <c r="H38" s="17" t="s">
        <v>79</v>
      </c>
      <c r="I38" s="17">
        <v>20250</v>
      </c>
      <c r="J38" s="17" t="s">
        <v>54</v>
      </c>
      <c r="K38" s="17" t="s">
        <v>75</v>
      </c>
      <c r="L38" s="17" t="s">
        <v>58</v>
      </c>
      <c r="M38" s="17" t="s">
        <v>225</v>
      </c>
      <c r="N38" s="17" t="s">
        <v>56</v>
      </c>
      <c r="O38" s="17" t="s">
        <v>220</v>
      </c>
      <c r="P38" s="17" t="s">
        <v>20</v>
      </c>
      <c r="Q38" s="17" t="s">
        <v>401</v>
      </c>
      <c r="R38" s="17" t="s">
        <v>20</v>
      </c>
      <c r="S38" s="17" t="s">
        <v>226</v>
      </c>
      <c r="T38" s="17">
        <v>0</v>
      </c>
      <c r="U38" s="18">
        <v>4491714597</v>
      </c>
      <c r="V38" s="17" t="s">
        <v>402</v>
      </c>
      <c r="X38" s="17" t="s">
        <v>65</v>
      </c>
      <c r="Y38" s="17" t="s">
        <v>117</v>
      </c>
      <c r="Z38" s="17" t="s">
        <v>164</v>
      </c>
      <c r="AA38" s="29">
        <v>782237.92222499999</v>
      </c>
      <c r="AB38" s="29">
        <v>2420741.3802100001</v>
      </c>
    </row>
    <row r="39" spans="1:28">
      <c r="A39" s="30">
        <v>38</v>
      </c>
      <c r="B39" s="17">
        <v>611142</v>
      </c>
      <c r="C39" s="17" t="s">
        <v>194</v>
      </c>
      <c r="D39" s="17" t="s">
        <v>324</v>
      </c>
      <c r="E39" s="17" t="s">
        <v>404</v>
      </c>
      <c r="F39" s="17" t="s">
        <v>480</v>
      </c>
      <c r="G39" s="17" t="s">
        <v>326</v>
      </c>
      <c r="H39" s="17" t="s">
        <v>84</v>
      </c>
      <c r="I39" s="17">
        <v>20196</v>
      </c>
      <c r="J39" s="17" t="s">
        <v>54</v>
      </c>
      <c r="K39" s="17" t="s">
        <v>95</v>
      </c>
      <c r="L39" s="17" t="s">
        <v>20</v>
      </c>
      <c r="M39" s="17" t="s">
        <v>191</v>
      </c>
      <c r="N39" s="17" t="s">
        <v>20</v>
      </c>
      <c r="O39" s="17" t="s">
        <v>190</v>
      </c>
      <c r="P39" s="17" t="s">
        <v>20</v>
      </c>
      <c r="Q39" s="17" t="s">
        <v>78</v>
      </c>
      <c r="R39" s="17" t="s">
        <v>20</v>
      </c>
      <c r="S39" s="17" t="s">
        <v>192</v>
      </c>
      <c r="T39" s="17">
        <v>0</v>
      </c>
      <c r="U39" s="18">
        <v>0</v>
      </c>
      <c r="X39" s="17" t="s">
        <v>64</v>
      </c>
      <c r="Y39" s="17" t="s">
        <v>186</v>
      </c>
      <c r="Z39" s="17" t="s">
        <v>187</v>
      </c>
      <c r="AA39" s="29">
        <v>786058.23865700001</v>
      </c>
      <c r="AB39" s="29">
        <v>2421381.5364600001</v>
      </c>
    </row>
    <row r="40" spans="1:28">
      <c r="A40" s="30">
        <v>39</v>
      </c>
      <c r="B40" s="17">
        <v>611142</v>
      </c>
      <c r="C40" s="17" t="s">
        <v>194</v>
      </c>
      <c r="D40" s="17" t="s">
        <v>324</v>
      </c>
      <c r="E40" s="17" t="s">
        <v>405</v>
      </c>
      <c r="F40" s="17" t="s">
        <v>480</v>
      </c>
      <c r="G40" s="17" t="s">
        <v>326</v>
      </c>
      <c r="H40" s="17" t="s">
        <v>84</v>
      </c>
      <c r="I40" s="17">
        <v>20196</v>
      </c>
      <c r="J40" s="17" t="s">
        <v>54</v>
      </c>
      <c r="K40" s="17" t="s">
        <v>75</v>
      </c>
      <c r="L40" s="17" t="s">
        <v>56</v>
      </c>
      <c r="M40" s="17" t="s">
        <v>189</v>
      </c>
      <c r="N40" s="17" t="s">
        <v>20</v>
      </c>
      <c r="O40" s="17" t="s">
        <v>188</v>
      </c>
      <c r="P40" s="17" t="s">
        <v>56</v>
      </c>
      <c r="Q40" s="17" t="s">
        <v>406</v>
      </c>
      <c r="R40" s="17" t="s">
        <v>20</v>
      </c>
      <c r="S40" s="17" t="s">
        <v>403</v>
      </c>
      <c r="T40" s="17">
        <v>0</v>
      </c>
      <c r="U40" s="18">
        <v>0</v>
      </c>
      <c r="V40" s="17" t="s">
        <v>407</v>
      </c>
      <c r="X40" s="17" t="s">
        <v>65</v>
      </c>
      <c r="Y40" s="17" t="s">
        <v>186</v>
      </c>
      <c r="Z40" s="17" t="s">
        <v>187</v>
      </c>
      <c r="AA40" s="29">
        <v>785462.12453699997</v>
      </c>
      <c r="AB40" s="29">
        <v>2420769.5703699999</v>
      </c>
    </row>
    <row r="41" spans="1:28">
      <c r="A41" s="30">
        <v>40</v>
      </c>
      <c r="B41" s="17">
        <v>611142</v>
      </c>
      <c r="C41" s="17" t="s">
        <v>194</v>
      </c>
      <c r="D41" s="17" t="s">
        <v>324</v>
      </c>
      <c r="E41" s="17" t="s">
        <v>408</v>
      </c>
      <c r="F41" s="17" t="s">
        <v>480</v>
      </c>
      <c r="G41" s="17" t="s">
        <v>343</v>
      </c>
      <c r="H41" s="17" t="s">
        <v>84</v>
      </c>
      <c r="I41" s="17">
        <v>20196</v>
      </c>
      <c r="J41" s="17" t="s">
        <v>54</v>
      </c>
      <c r="K41" s="17" t="s">
        <v>95</v>
      </c>
      <c r="L41" s="17" t="s">
        <v>56</v>
      </c>
      <c r="M41" s="17" t="s">
        <v>189</v>
      </c>
      <c r="N41" s="17" t="s">
        <v>20</v>
      </c>
      <c r="O41" s="17" t="s">
        <v>188</v>
      </c>
      <c r="P41" s="17" t="s">
        <v>56</v>
      </c>
      <c r="Q41" s="17" t="s">
        <v>406</v>
      </c>
      <c r="R41" s="17" t="s">
        <v>20</v>
      </c>
      <c r="S41" s="17" t="s">
        <v>403</v>
      </c>
      <c r="T41" s="17">
        <v>0</v>
      </c>
      <c r="U41" s="18">
        <v>0</v>
      </c>
      <c r="V41" s="17" t="s">
        <v>407</v>
      </c>
      <c r="X41" s="17" t="s">
        <v>65</v>
      </c>
      <c r="Y41" s="17" t="s">
        <v>186</v>
      </c>
      <c r="Z41" s="17" t="s">
        <v>187</v>
      </c>
      <c r="AA41" s="29">
        <v>785538.94405499997</v>
      </c>
      <c r="AB41" s="29">
        <v>2420742.7567400001</v>
      </c>
    </row>
    <row r="42" spans="1:28">
      <c r="A42" s="30">
        <v>41</v>
      </c>
      <c r="B42" s="17">
        <v>611142</v>
      </c>
      <c r="C42" s="17" t="s">
        <v>194</v>
      </c>
      <c r="D42" s="17" t="s">
        <v>324</v>
      </c>
      <c r="E42" s="17" t="s">
        <v>409</v>
      </c>
      <c r="F42" s="17" t="s">
        <v>480</v>
      </c>
      <c r="G42" s="17" t="s">
        <v>150</v>
      </c>
      <c r="H42" s="17" t="s">
        <v>84</v>
      </c>
      <c r="I42" s="17">
        <v>20196</v>
      </c>
      <c r="J42" s="17" t="s">
        <v>54</v>
      </c>
      <c r="K42" s="17" t="s">
        <v>70</v>
      </c>
      <c r="L42" s="17" t="s">
        <v>20</v>
      </c>
      <c r="M42" s="17" t="s">
        <v>59</v>
      </c>
      <c r="N42" s="17" t="s">
        <v>20</v>
      </c>
      <c r="O42" s="17" t="s">
        <v>305</v>
      </c>
      <c r="P42" s="17" t="s">
        <v>20</v>
      </c>
      <c r="Q42" s="17" t="s">
        <v>304</v>
      </c>
      <c r="R42" s="17" t="s">
        <v>20</v>
      </c>
      <c r="S42" s="17" t="s">
        <v>304</v>
      </c>
      <c r="T42" s="17">
        <v>601</v>
      </c>
      <c r="U42" s="18">
        <v>4493594816</v>
      </c>
      <c r="V42" s="17" t="s">
        <v>410</v>
      </c>
      <c r="X42" s="17" t="s">
        <v>60</v>
      </c>
      <c r="Y42" s="17" t="s">
        <v>186</v>
      </c>
      <c r="Z42" s="17" t="s">
        <v>187</v>
      </c>
      <c r="AA42" s="29">
        <v>785071.93378099997</v>
      </c>
      <c r="AB42" s="29">
        <v>2423770.26406</v>
      </c>
    </row>
    <row r="43" spans="1:28">
      <c r="A43" s="30">
        <v>42</v>
      </c>
      <c r="B43" s="17">
        <v>611142</v>
      </c>
      <c r="C43" s="17" t="s">
        <v>194</v>
      </c>
      <c r="D43" s="17" t="s">
        <v>324</v>
      </c>
      <c r="E43" s="17" t="s">
        <v>411</v>
      </c>
      <c r="F43" s="17" t="s">
        <v>480</v>
      </c>
      <c r="G43" s="17" t="s">
        <v>343</v>
      </c>
      <c r="H43" s="17" t="s">
        <v>84</v>
      </c>
      <c r="I43" s="17">
        <v>20196</v>
      </c>
      <c r="J43" s="17" t="s">
        <v>54</v>
      </c>
      <c r="K43" s="17" t="s">
        <v>75</v>
      </c>
      <c r="L43" s="17" t="s">
        <v>20</v>
      </c>
      <c r="M43" s="17" t="s">
        <v>191</v>
      </c>
      <c r="N43" s="17" t="s">
        <v>20</v>
      </c>
      <c r="O43" s="17" t="s">
        <v>190</v>
      </c>
      <c r="P43" s="17" t="s">
        <v>20</v>
      </c>
      <c r="Q43" s="17" t="s">
        <v>78</v>
      </c>
      <c r="R43" s="17" t="s">
        <v>20</v>
      </c>
      <c r="S43" s="17" t="s">
        <v>192</v>
      </c>
      <c r="T43" s="17">
        <v>0</v>
      </c>
      <c r="U43" s="18">
        <v>4495412459</v>
      </c>
      <c r="X43" s="17" t="s">
        <v>64</v>
      </c>
      <c r="Y43" s="17" t="s">
        <v>186</v>
      </c>
      <c r="Z43" s="17" t="s">
        <v>187</v>
      </c>
      <c r="AA43" s="29">
        <v>786060.67105500004</v>
      </c>
      <c r="AB43" s="29">
        <v>2421377.9389200001</v>
      </c>
    </row>
    <row r="44" spans="1:28">
      <c r="A44" s="30">
        <v>43</v>
      </c>
      <c r="B44" s="17">
        <v>611142</v>
      </c>
      <c r="C44" s="17" t="s">
        <v>194</v>
      </c>
      <c r="D44" s="17" t="s">
        <v>324</v>
      </c>
      <c r="E44" s="17" t="s">
        <v>412</v>
      </c>
      <c r="F44" s="17" t="s">
        <v>480</v>
      </c>
      <c r="G44" s="17" t="s">
        <v>150</v>
      </c>
      <c r="H44" s="17" t="s">
        <v>67</v>
      </c>
      <c r="I44" s="17">
        <v>20299</v>
      </c>
      <c r="J44" s="17" t="s">
        <v>54</v>
      </c>
      <c r="K44" s="17" t="s">
        <v>95</v>
      </c>
      <c r="L44" s="17" t="s">
        <v>20</v>
      </c>
      <c r="M44" s="17" t="s">
        <v>198</v>
      </c>
      <c r="N44" s="17" t="s">
        <v>20</v>
      </c>
      <c r="O44" s="17" t="s">
        <v>197</v>
      </c>
      <c r="P44" s="17" t="s">
        <v>58</v>
      </c>
      <c r="Q44" s="17" t="s">
        <v>306</v>
      </c>
      <c r="R44" s="17" t="s">
        <v>56</v>
      </c>
      <c r="S44" s="17" t="s">
        <v>196</v>
      </c>
      <c r="T44" s="17">
        <v>0</v>
      </c>
      <c r="U44" s="18">
        <v>4492217101</v>
      </c>
      <c r="X44" s="17" t="s">
        <v>64</v>
      </c>
      <c r="Y44" s="17" t="s">
        <v>195</v>
      </c>
      <c r="Z44" s="17" t="s">
        <v>187</v>
      </c>
      <c r="AA44" s="29">
        <v>785084.25345600001</v>
      </c>
      <c r="AB44" s="29">
        <v>2425438.48777</v>
      </c>
    </row>
    <row r="45" spans="1:28">
      <c r="A45" s="30">
        <v>44</v>
      </c>
      <c r="B45" s="17">
        <v>611142</v>
      </c>
      <c r="C45" s="17" t="s">
        <v>194</v>
      </c>
      <c r="D45" s="17" t="s">
        <v>324</v>
      </c>
      <c r="E45" s="17" t="s">
        <v>413</v>
      </c>
      <c r="F45" s="17" t="s">
        <v>480</v>
      </c>
      <c r="G45" s="17" t="s">
        <v>150</v>
      </c>
      <c r="H45" s="17" t="s">
        <v>67</v>
      </c>
      <c r="I45" s="17">
        <v>20299</v>
      </c>
      <c r="J45" s="17" t="s">
        <v>54</v>
      </c>
      <c r="K45" s="17" t="s">
        <v>95</v>
      </c>
      <c r="L45" s="17" t="s">
        <v>20</v>
      </c>
      <c r="M45" s="17" t="s">
        <v>198</v>
      </c>
      <c r="N45" s="17" t="s">
        <v>20</v>
      </c>
      <c r="O45" s="17" t="s">
        <v>197</v>
      </c>
      <c r="P45" s="17" t="s">
        <v>58</v>
      </c>
      <c r="Q45" s="17" t="s">
        <v>306</v>
      </c>
      <c r="R45" s="17" t="s">
        <v>56</v>
      </c>
      <c r="S45" s="17" t="s">
        <v>196</v>
      </c>
      <c r="T45" s="17">
        <v>0</v>
      </c>
      <c r="U45" s="18">
        <v>0</v>
      </c>
      <c r="X45" s="17" t="s">
        <v>64</v>
      </c>
      <c r="Y45" s="17" t="s">
        <v>195</v>
      </c>
      <c r="Z45" s="17" t="s">
        <v>187</v>
      </c>
      <c r="AA45" s="29">
        <v>785085.61014600005</v>
      </c>
      <c r="AB45" s="29">
        <v>2425436.99291</v>
      </c>
    </row>
    <row r="46" spans="1:28">
      <c r="A46" s="30">
        <v>45</v>
      </c>
      <c r="B46" s="17">
        <v>611142</v>
      </c>
      <c r="C46" s="17" t="s">
        <v>194</v>
      </c>
      <c r="D46" s="17" t="s">
        <v>324</v>
      </c>
      <c r="E46" s="17" t="s">
        <v>414</v>
      </c>
      <c r="F46" s="17" t="s">
        <v>480</v>
      </c>
      <c r="G46" s="17" t="s">
        <v>150</v>
      </c>
      <c r="H46" s="17" t="s">
        <v>84</v>
      </c>
      <c r="I46" s="17">
        <v>20179</v>
      </c>
      <c r="J46" s="17" t="s">
        <v>54</v>
      </c>
      <c r="K46" s="17" t="s">
        <v>95</v>
      </c>
      <c r="L46" s="17" t="s">
        <v>20</v>
      </c>
      <c r="M46" s="17" t="s">
        <v>203</v>
      </c>
      <c r="N46" s="17" t="s">
        <v>20</v>
      </c>
      <c r="O46" s="17" t="s">
        <v>201</v>
      </c>
      <c r="P46" s="17" t="s">
        <v>20</v>
      </c>
      <c r="Q46" s="17" t="s">
        <v>205</v>
      </c>
      <c r="R46" s="17" t="s">
        <v>20</v>
      </c>
      <c r="S46" s="17" t="s">
        <v>204</v>
      </c>
      <c r="T46" s="17">
        <v>101</v>
      </c>
      <c r="U46" s="18">
        <v>0</v>
      </c>
      <c r="X46" s="17" t="s">
        <v>65</v>
      </c>
      <c r="Y46" s="17" t="s">
        <v>200</v>
      </c>
      <c r="Z46" s="17" t="s">
        <v>199</v>
      </c>
      <c r="AA46" s="29">
        <v>782658.40462299995</v>
      </c>
      <c r="AB46" s="29">
        <v>2426280.9124099999</v>
      </c>
    </row>
    <row r="47" spans="1:28">
      <c r="A47" s="30">
        <v>46</v>
      </c>
      <c r="B47" s="17">
        <v>611142</v>
      </c>
      <c r="C47" s="17" t="s">
        <v>194</v>
      </c>
      <c r="D47" s="17" t="s">
        <v>324</v>
      </c>
      <c r="E47" s="17" t="s">
        <v>415</v>
      </c>
      <c r="F47" s="17" t="s">
        <v>480</v>
      </c>
      <c r="G47" s="17" t="s">
        <v>150</v>
      </c>
      <c r="H47" s="17" t="s">
        <v>84</v>
      </c>
      <c r="I47" s="17">
        <v>20179</v>
      </c>
      <c r="J47" s="17" t="s">
        <v>54</v>
      </c>
      <c r="K47" s="17" t="s">
        <v>75</v>
      </c>
      <c r="L47" s="17" t="s">
        <v>20</v>
      </c>
      <c r="M47" s="17" t="s">
        <v>203</v>
      </c>
      <c r="N47" s="17" t="s">
        <v>20</v>
      </c>
      <c r="O47" s="17" t="s">
        <v>201</v>
      </c>
      <c r="P47" s="17" t="s">
        <v>20</v>
      </c>
      <c r="Q47" s="17" t="s">
        <v>205</v>
      </c>
      <c r="R47" s="17" t="s">
        <v>20</v>
      </c>
      <c r="S47" s="17" t="s">
        <v>204</v>
      </c>
      <c r="T47" s="17">
        <v>101</v>
      </c>
      <c r="U47" s="18">
        <v>0</v>
      </c>
      <c r="X47" s="17" t="s">
        <v>60</v>
      </c>
      <c r="Y47" s="17" t="s">
        <v>200</v>
      </c>
      <c r="Z47" s="17" t="s">
        <v>199</v>
      </c>
      <c r="AA47" s="29">
        <v>782658.40462299995</v>
      </c>
      <c r="AB47" s="29">
        <v>2426280.9124099999</v>
      </c>
    </row>
    <row r="48" spans="1:28">
      <c r="A48" s="30">
        <v>47</v>
      </c>
      <c r="B48" s="17">
        <v>611132</v>
      </c>
      <c r="C48" s="17" t="s">
        <v>194</v>
      </c>
      <c r="D48" s="17" t="s">
        <v>324</v>
      </c>
      <c r="E48" s="17" t="s">
        <v>416</v>
      </c>
      <c r="F48" s="17" t="s">
        <v>479</v>
      </c>
      <c r="G48" s="17" t="s">
        <v>362</v>
      </c>
      <c r="H48" s="17" t="s">
        <v>67</v>
      </c>
      <c r="I48" s="17">
        <v>20179</v>
      </c>
      <c r="J48" s="17" t="s">
        <v>54</v>
      </c>
      <c r="K48" s="17" t="s">
        <v>75</v>
      </c>
      <c r="L48" s="17" t="s">
        <v>20</v>
      </c>
      <c r="M48" s="17" t="s">
        <v>207</v>
      </c>
      <c r="N48" s="17" t="s">
        <v>20</v>
      </c>
      <c r="O48" s="17" t="s">
        <v>212</v>
      </c>
      <c r="P48" s="17" t="s">
        <v>20</v>
      </c>
      <c r="Q48" s="17" t="s">
        <v>206</v>
      </c>
      <c r="R48" s="17" t="s">
        <v>20</v>
      </c>
      <c r="S48" s="17" t="s">
        <v>170</v>
      </c>
      <c r="T48" s="17">
        <v>0</v>
      </c>
      <c r="U48" s="18">
        <v>0</v>
      </c>
      <c r="V48" s="17" t="s">
        <v>417</v>
      </c>
      <c r="X48" s="17" t="s">
        <v>65</v>
      </c>
      <c r="Y48" s="17" t="s">
        <v>185</v>
      </c>
      <c r="Z48" s="17" t="s">
        <v>199</v>
      </c>
      <c r="AA48" s="29">
        <v>782155.32844900002</v>
      </c>
      <c r="AB48" s="29">
        <v>2424774.7881</v>
      </c>
    </row>
    <row r="49" spans="1:28">
      <c r="A49" s="30">
        <v>48</v>
      </c>
      <c r="B49" s="17">
        <v>611132</v>
      </c>
      <c r="C49" s="17" t="s">
        <v>194</v>
      </c>
      <c r="D49" s="17" t="s">
        <v>324</v>
      </c>
      <c r="E49" s="17" t="s">
        <v>418</v>
      </c>
      <c r="F49" s="17" t="s">
        <v>479</v>
      </c>
      <c r="G49" s="17" t="s">
        <v>150</v>
      </c>
      <c r="H49" s="17" t="s">
        <v>84</v>
      </c>
      <c r="I49" s="17">
        <v>20199</v>
      </c>
      <c r="J49" s="17" t="s">
        <v>54</v>
      </c>
      <c r="K49" s="17" t="s">
        <v>95</v>
      </c>
      <c r="L49" s="17" t="s">
        <v>20</v>
      </c>
      <c r="M49" s="17" t="s">
        <v>209</v>
      </c>
      <c r="N49" s="17" t="s">
        <v>20</v>
      </c>
      <c r="O49" s="17" t="s">
        <v>211</v>
      </c>
      <c r="P49" s="17" t="s">
        <v>20</v>
      </c>
      <c r="Q49" s="17" t="s">
        <v>307</v>
      </c>
      <c r="R49" s="17" t="s">
        <v>20</v>
      </c>
      <c r="S49" s="17" t="s">
        <v>208</v>
      </c>
      <c r="T49" s="17">
        <v>136</v>
      </c>
      <c r="U49" s="18">
        <v>0</v>
      </c>
      <c r="V49" s="17" t="s">
        <v>419</v>
      </c>
      <c r="X49" s="17" t="s">
        <v>65</v>
      </c>
      <c r="Y49" s="17" t="s">
        <v>185</v>
      </c>
      <c r="Z49" s="17" t="s">
        <v>199</v>
      </c>
      <c r="AA49" s="29">
        <v>783612.79978</v>
      </c>
      <c r="AB49" s="29">
        <v>2423741.10763</v>
      </c>
    </row>
    <row r="50" spans="1:28">
      <c r="A50" s="30">
        <v>49</v>
      </c>
      <c r="B50" s="17">
        <v>611132</v>
      </c>
      <c r="C50" s="17" t="s">
        <v>194</v>
      </c>
      <c r="D50" s="17" t="s">
        <v>324</v>
      </c>
      <c r="E50" s="17" t="s">
        <v>420</v>
      </c>
      <c r="F50" s="17" t="s">
        <v>479</v>
      </c>
      <c r="G50" s="17" t="s">
        <v>150</v>
      </c>
      <c r="H50" s="17" t="s">
        <v>84</v>
      </c>
      <c r="I50" s="17">
        <v>20175</v>
      </c>
      <c r="J50" s="17" t="s">
        <v>54</v>
      </c>
      <c r="K50" s="17" t="s">
        <v>93</v>
      </c>
      <c r="L50" s="17" t="s">
        <v>20</v>
      </c>
      <c r="M50" s="17" t="s">
        <v>202</v>
      </c>
      <c r="N50" s="17" t="s">
        <v>20</v>
      </c>
      <c r="O50" s="17" t="s">
        <v>213</v>
      </c>
      <c r="P50" s="17" t="s">
        <v>20</v>
      </c>
      <c r="Q50" s="17" t="s">
        <v>59</v>
      </c>
      <c r="R50" s="17" t="s">
        <v>20</v>
      </c>
      <c r="S50" s="17" t="s">
        <v>309</v>
      </c>
      <c r="T50" s="17">
        <v>0</v>
      </c>
      <c r="U50" s="18">
        <v>0</v>
      </c>
      <c r="X50" s="17" t="s">
        <v>64</v>
      </c>
      <c r="Y50" s="17" t="s">
        <v>195</v>
      </c>
      <c r="Z50" s="17" t="s">
        <v>199</v>
      </c>
      <c r="AA50" s="29">
        <v>783734.28030500002</v>
      </c>
      <c r="AB50" s="29">
        <v>2425797.6689399998</v>
      </c>
    </row>
    <row r="51" spans="1:28">
      <c r="A51" s="30">
        <v>50</v>
      </c>
      <c r="B51" s="17">
        <v>611132</v>
      </c>
      <c r="C51" s="17" t="s">
        <v>194</v>
      </c>
      <c r="D51" s="17" t="s">
        <v>324</v>
      </c>
      <c r="E51" s="17" t="s">
        <v>421</v>
      </c>
      <c r="F51" s="17" t="s">
        <v>479</v>
      </c>
      <c r="G51" s="17" t="s">
        <v>150</v>
      </c>
      <c r="H51" s="17" t="s">
        <v>84</v>
      </c>
      <c r="I51" s="17">
        <v>20265</v>
      </c>
      <c r="J51" s="17" t="s">
        <v>54</v>
      </c>
      <c r="K51" s="17" t="s">
        <v>95</v>
      </c>
      <c r="L51" s="17" t="s">
        <v>20</v>
      </c>
      <c r="M51" s="17" t="s">
        <v>163</v>
      </c>
      <c r="N51" s="17" t="s">
        <v>20</v>
      </c>
      <c r="O51" s="17" t="s">
        <v>215</v>
      </c>
      <c r="P51" s="17" t="s">
        <v>20</v>
      </c>
      <c r="Q51" s="17" t="s">
        <v>216</v>
      </c>
      <c r="R51" s="17" t="s">
        <v>56</v>
      </c>
      <c r="S51" s="17" t="s">
        <v>173</v>
      </c>
      <c r="T51" s="17">
        <v>0</v>
      </c>
      <c r="U51" s="18">
        <v>4499784515</v>
      </c>
      <c r="X51" s="17" t="s">
        <v>65</v>
      </c>
      <c r="Y51" s="17" t="s">
        <v>125</v>
      </c>
      <c r="Z51" s="17" t="s">
        <v>214</v>
      </c>
      <c r="AA51" s="29">
        <v>780953.59832899994</v>
      </c>
      <c r="AB51" s="29">
        <v>2420218.10708</v>
      </c>
    </row>
    <row r="52" spans="1:28">
      <c r="A52" s="30">
        <v>51</v>
      </c>
      <c r="B52" s="17">
        <v>611132</v>
      </c>
      <c r="C52" s="17" t="s">
        <v>194</v>
      </c>
      <c r="D52" s="17" t="s">
        <v>324</v>
      </c>
      <c r="E52" s="17" t="s">
        <v>422</v>
      </c>
      <c r="F52" s="17" t="s">
        <v>479</v>
      </c>
      <c r="G52" s="17" t="s">
        <v>349</v>
      </c>
      <c r="H52" s="17" t="s">
        <v>84</v>
      </c>
      <c r="I52" s="17">
        <v>20255</v>
      </c>
      <c r="J52" s="17" t="s">
        <v>54</v>
      </c>
      <c r="K52" s="17" t="s">
        <v>95</v>
      </c>
      <c r="L52" s="17" t="s">
        <v>56</v>
      </c>
      <c r="M52" s="17" t="s">
        <v>166</v>
      </c>
      <c r="N52" s="17" t="s">
        <v>20</v>
      </c>
      <c r="O52" s="17" t="s">
        <v>223</v>
      </c>
      <c r="P52" s="17" t="s">
        <v>20</v>
      </c>
      <c r="Q52" s="17" t="s">
        <v>310</v>
      </c>
      <c r="R52" s="17" t="s">
        <v>20</v>
      </c>
      <c r="S52" s="17" t="s">
        <v>227</v>
      </c>
      <c r="T52" s="17">
        <v>0</v>
      </c>
      <c r="U52" s="18">
        <v>0</v>
      </c>
      <c r="V52" s="17" t="s">
        <v>423</v>
      </c>
      <c r="X52" s="17" t="s">
        <v>65</v>
      </c>
      <c r="Y52" s="17" t="s">
        <v>117</v>
      </c>
      <c r="Z52" s="17" t="s">
        <v>214</v>
      </c>
      <c r="AA52" s="29">
        <v>782431.56940399995</v>
      </c>
      <c r="AB52" s="29">
        <v>2421801.7944499999</v>
      </c>
    </row>
    <row r="53" spans="1:28">
      <c r="A53" s="30">
        <v>52</v>
      </c>
      <c r="B53" s="17">
        <v>611132</v>
      </c>
      <c r="C53" s="17" t="s">
        <v>194</v>
      </c>
      <c r="D53" s="17" t="s">
        <v>324</v>
      </c>
      <c r="E53" s="17" t="s">
        <v>424</v>
      </c>
      <c r="F53" s="17" t="s">
        <v>479</v>
      </c>
      <c r="G53" s="17" t="s">
        <v>425</v>
      </c>
      <c r="H53" s="17" t="s">
        <v>84</v>
      </c>
      <c r="I53" s="17">
        <v>20298</v>
      </c>
      <c r="J53" s="17" t="s">
        <v>54</v>
      </c>
      <c r="K53" s="17" t="s">
        <v>75</v>
      </c>
      <c r="L53" s="17" t="s">
        <v>20</v>
      </c>
      <c r="M53" s="17" t="s">
        <v>222</v>
      </c>
      <c r="N53" s="17" t="s">
        <v>20</v>
      </c>
      <c r="O53" s="17" t="s">
        <v>224</v>
      </c>
      <c r="P53" s="17" t="s">
        <v>20</v>
      </c>
      <c r="Q53" s="17" t="s">
        <v>221</v>
      </c>
      <c r="R53" s="17" t="s">
        <v>20</v>
      </c>
      <c r="S53" s="17" t="s">
        <v>218</v>
      </c>
      <c r="T53" s="17">
        <v>701</v>
      </c>
      <c r="U53" s="18">
        <v>0</v>
      </c>
      <c r="V53" s="17" t="s">
        <v>426</v>
      </c>
      <c r="X53" s="17" t="s">
        <v>65</v>
      </c>
      <c r="Y53" s="17" t="s">
        <v>117</v>
      </c>
      <c r="Z53" s="17" t="s">
        <v>214</v>
      </c>
      <c r="AA53" s="29">
        <v>782546.69606500003</v>
      </c>
      <c r="AB53" s="29">
        <v>2419735.1049700002</v>
      </c>
    </row>
    <row r="54" spans="1:28">
      <c r="A54" s="30">
        <v>53</v>
      </c>
      <c r="B54" s="17">
        <v>611132</v>
      </c>
      <c r="C54" s="17" t="s">
        <v>194</v>
      </c>
      <c r="D54" s="17" t="s">
        <v>324</v>
      </c>
      <c r="E54" s="17" t="s">
        <v>424</v>
      </c>
      <c r="F54" s="17" t="s">
        <v>479</v>
      </c>
      <c r="G54" s="17" t="s">
        <v>427</v>
      </c>
      <c r="H54" s="17" t="s">
        <v>84</v>
      </c>
      <c r="I54" s="17">
        <v>20298</v>
      </c>
      <c r="J54" s="17" t="s">
        <v>54</v>
      </c>
      <c r="K54" s="17" t="s">
        <v>95</v>
      </c>
      <c r="L54" s="17" t="s">
        <v>20</v>
      </c>
      <c r="M54" s="17" t="s">
        <v>222</v>
      </c>
      <c r="N54" s="17" t="s">
        <v>20</v>
      </c>
      <c r="O54" s="17" t="s">
        <v>224</v>
      </c>
      <c r="P54" s="17" t="s">
        <v>20</v>
      </c>
      <c r="Q54" s="17" t="s">
        <v>221</v>
      </c>
      <c r="R54" s="17" t="s">
        <v>20</v>
      </c>
      <c r="S54" s="17" t="s">
        <v>218</v>
      </c>
      <c r="T54" s="17">
        <v>701</v>
      </c>
      <c r="U54" s="18">
        <v>0</v>
      </c>
      <c r="X54" s="17" t="s">
        <v>65</v>
      </c>
      <c r="Y54" s="17" t="s">
        <v>117</v>
      </c>
      <c r="Z54" s="17" t="s">
        <v>214</v>
      </c>
      <c r="AA54" s="29">
        <v>782546.69606500003</v>
      </c>
      <c r="AB54" s="29">
        <v>2419735.1049700002</v>
      </c>
    </row>
    <row r="55" spans="1:28">
      <c r="A55" s="30">
        <v>54</v>
      </c>
      <c r="B55" s="17">
        <v>611132</v>
      </c>
      <c r="C55" s="17" t="s">
        <v>194</v>
      </c>
      <c r="D55" s="17" t="s">
        <v>324</v>
      </c>
      <c r="E55" s="17" t="s">
        <v>428</v>
      </c>
      <c r="F55" s="17" t="s">
        <v>479</v>
      </c>
      <c r="G55" s="17" t="s">
        <v>293</v>
      </c>
      <c r="H55" s="17" t="s">
        <v>84</v>
      </c>
      <c r="I55" s="17">
        <v>20198</v>
      </c>
      <c r="J55" s="17" t="s">
        <v>54</v>
      </c>
      <c r="K55" s="17" t="s">
        <v>70</v>
      </c>
      <c r="L55" s="17" t="s">
        <v>20</v>
      </c>
      <c r="M55" s="17" t="s">
        <v>87</v>
      </c>
      <c r="N55" s="17" t="s">
        <v>20</v>
      </c>
      <c r="O55" s="17" t="s">
        <v>311</v>
      </c>
      <c r="P55" s="17" t="s">
        <v>97</v>
      </c>
      <c r="Q55" s="17" t="s">
        <v>168</v>
      </c>
      <c r="R55" s="17" t="s">
        <v>20</v>
      </c>
      <c r="S55" s="17" t="s">
        <v>210</v>
      </c>
      <c r="T55" s="17">
        <v>0</v>
      </c>
      <c r="U55" s="18">
        <v>0</v>
      </c>
      <c r="V55" s="17" t="s">
        <v>429</v>
      </c>
      <c r="X55" s="17" t="s">
        <v>65</v>
      </c>
      <c r="Y55" s="17" t="s">
        <v>193</v>
      </c>
      <c r="Z55" s="17" t="s">
        <v>214</v>
      </c>
      <c r="AA55" s="29">
        <v>782685.90301300003</v>
      </c>
      <c r="AB55" s="29">
        <v>2422696.5720700002</v>
      </c>
    </row>
    <row r="56" spans="1:28">
      <c r="A56" s="30">
        <v>55</v>
      </c>
      <c r="B56" s="17">
        <v>611142</v>
      </c>
      <c r="C56" s="17" t="s">
        <v>194</v>
      </c>
      <c r="D56" s="17" t="s">
        <v>324</v>
      </c>
      <c r="E56" s="17" t="s">
        <v>430</v>
      </c>
      <c r="F56" s="17" t="s">
        <v>480</v>
      </c>
      <c r="G56" s="17" t="s">
        <v>343</v>
      </c>
      <c r="H56" s="17" t="s">
        <v>84</v>
      </c>
      <c r="I56" s="17">
        <v>20298</v>
      </c>
      <c r="J56" s="17" t="s">
        <v>54</v>
      </c>
      <c r="K56" s="17" t="s">
        <v>93</v>
      </c>
      <c r="L56" s="17" t="s">
        <v>20</v>
      </c>
      <c r="M56" s="17" t="s">
        <v>219</v>
      </c>
      <c r="N56" s="17" t="s">
        <v>56</v>
      </c>
      <c r="O56" s="17" t="s">
        <v>217</v>
      </c>
      <c r="P56" s="17" t="s">
        <v>20</v>
      </c>
      <c r="Q56" s="17" t="s">
        <v>299</v>
      </c>
      <c r="R56" s="17" t="s">
        <v>56</v>
      </c>
      <c r="S56" s="17" t="s">
        <v>113</v>
      </c>
      <c r="T56" s="17">
        <v>0</v>
      </c>
      <c r="U56" s="18">
        <v>4499775774</v>
      </c>
      <c r="W56" s="17" t="s">
        <v>431</v>
      </c>
      <c r="X56" s="17" t="s">
        <v>65</v>
      </c>
      <c r="Y56" s="17" t="s">
        <v>193</v>
      </c>
      <c r="Z56" s="17" t="s">
        <v>214</v>
      </c>
      <c r="AA56" s="29">
        <v>783786.039445</v>
      </c>
      <c r="AB56" s="29">
        <v>2419612.93603</v>
      </c>
    </row>
    <row r="57" spans="1:28">
      <c r="A57" s="30">
        <v>56</v>
      </c>
      <c r="B57" s="17">
        <v>611142</v>
      </c>
      <c r="C57" s="17" t="s">
        <v>194</v>
      </c>
      <c r="D57" s="17" t="s">
        <v>324</v>
      </c>
      <c r="E57" s="17" t="s">
        <v>430</v>
      </c>
      <c r="F57" s="17" t="s">
        <v>480</v>
      </c>
      <c r="G57" s="17" t="s">
        <v>343</v>
      </c>
      <c r="H57" s="17" t="s">
        <v>84</v>
      </c>
      <c r="I57" s="17">
        <v>20298</v>
      </c>
      <c r="J57" s="17" t="s">
        <v>54</v>
      </c>
      <c r="K57" s="17" t="s">
        <v>95</v>
      </c>
      <c r="L57" s="17" t="s">
        <v>20</v>
      </c>
      <c r="M57" s="17" t="s">
        <v>219</v>
      </c>
      <c r="N57" s="17" t="s">
        <v>56</v>
      </c>
      <c r="O57" s="17" t="s">
        <v>217</v>
      </c>
      <c r="P57" s="17" t="s">
        <v>20</v>
      </c>
      <c r="Q57" s="17" t="s">
        <v>299</v>
      </c>
      <c r="R57" s="17" t="s">
        <v>56</v>
      </c>
      <c r="S57" s="17" t="s">
        <v>113</v>
      </c>
      <c r="T57" s="17">
        <v>0</v>
      </c>
      <c r="U57" s="18">
        <v>4499775774</v>
      </c>
      <c r="W57" s="17" t="s">
        <v>337</v>
      </c>
      <c r="X57" s="17" t="s">
        <v>64</v>
      </c>
      <c r="Y57" s="17" t="s">
        <v>193</v>
      </c>
      <c r="Z57" s="17" t="s">
        <v>214</v>
      </c>
      <c r="AA57" s="29">
        <v>783785.27590200002</v>
      </c>
      <c r="AB57" s="29">
        <v>2419612.7118600002</v>
      </c>
    </row>
    <row r="58" spans="1:28">
      <c r="A58" s="30">
        <v>57</v>
      </c>
      <c r="B58" s="17">
        <v>611131</v>
      </c>
      <c r="C58" s="17" t="s">
        <v>194</v>
      </c>
      <c r="D58" s="17" t="s">
        <v>52</v>
      </c>
      <c r="E58" s="17" t="s">
        <v>432</v>
      </c>
      <c r="F58" s="17" t="s">
        <v>478</v>
      </c>
      <c r="G58" s="17" t="s">
        <v>150</v>
      </c>
      <c r="H58" s="17" t="s">
        <v>84</v>
      </c>
      <c r="I58" s="17">
        <v>20198</v>
      </c>
      <c r="J58" s="17" t="s">
        <v>54</v>
      </c>
      <c r="K58" s="17" t="s">
        <v>75</v>
      </c>
      <c r="L58" s="17" t="s">
        <v>20</v>
      </c>
      <c r="M58" s="17" t="s">
        <v>87</v>
      </c>
      <c r="N58" s="17" t="s">
        <v>20</v>
      </c>
      <c r="O58" s="17" t="s">
        <v>311</v>
      </c>
      <c r="P58" s="17" t="s">
        <v>97</v>
      </c>
      <c r="Q58" s="17" t="s">
        <v>168</v>
      </c>
      <c r="R58" s="17" t="s">
        <v>20</v>
      </c>
      <c r="S58" s="17" t="s">
        <v>210</v>
      </c>
      <c r="T58" s="17">
        <v>0</v>
      </c>
      <c r="U58" s="18">
        <v>0</v>
      </c>
      <c r="X58" s="17" t="s">
        <v>77</v>
      </c>
      <c r="Y58" s="17" t="s">
        <v>193</v>
      </c>
      <c r="Z58" s="17" t="s">
        <v>214</v>
      </c>
      <c r="AA58" s="29">
        <v>782686.25717700005</v>
      </c>
      <c r="AB58" s="29">
        <v>2422692.4816800002</v>
      </c>
    </row>
    <row r="59" spans="1:28">
      <c r="A59" s="30">
        <v>58</v>
      </c>
      <c r="B59" s="17">
        <v>611132</v>
      </c>
      <c r="C59" s="17" t="s">
        <v>194</v>
      </c>
      <c r="D59" s="17" t="s">
        <v>324</v>
      </c>
      <c r="E59" s="17" t="s">
        <v>433</v>
      </c>
      <c r="F59" s="17" t="s">
        <v>479</v>
      </c>
      <c r="G59" s="17" t="s">
        <v>150</v>
      </c>
      <c r="H59" s="17" t="s">
        <v>84</v>
      </c>
      <c r="I59" s="17">
        <v>20126</v>
      </c>
      <c r="J59" s="17" t="s">
        <v>54</v>
      </c>
      <c r="K59" s="17" t="s">
        <v>75</v>
      </c>
      <c r="L59" s="17" t="s">
        <v>20</v>
      </c>
      <c r="M59" s="17" t="s">
        <v>232</v>
      </c>
      <c r="N59" s="17" t="s">
        <v>20</v>
      </c>
      <c r="O59" s="17" t="s">
        <v>231</v>
      </c>
      <c r="P59" s="17" t="s">
        <v>20</v>
      </c>
      <c r="Q59" s="17" t="s">
        <v>229</v>
      </c>
      <c r="S59" s="17" t="s">
        <v>59</v>
      </c>
      <c r="T59" s="17">
        <v>0</v>
      </c>
      <c r="U59" s="18">
        <v>0</v>
      </c>
      <c r="X59" s="17" t="s">
        <v>60</v>
      </c>
      <c r="Y59" s="17" t="s">
        <v>200</v>
      </c>
      <c r="Z59" s="17" t="s">
        <v>228</v>
      </c>
      <c r="AA59" s="29">
        <v>780748.60337100003</v>
      </c>
      <c r="AB59" s="29">
        <v>2428316.3821700001</v>
      </c>
    </row>
    <row r="60" spans="1:28">
      <c r="A60" s="30">
        <v>59</v>
      </c>
      <c r="B60" s="17">
        <v>611132</v>
      </c>
      <c r="C60" s="17" t="s">
        <v>194</v>
      </c>
      <c r="D60" s="17" t="s">
        <v>324</v>
      </c>
      <c r="E60" s="17" t="s">
        <v>434</v>
      </c>
      <c r="F60" s="17" t="s">
        <v>479</v>
      </c>
      <c r="G60" s="17" t="s">
        <v>150</v>
      </c>
      <c r="H60" s="17" t="s">
        <v>84</v>
      </c>
      <c r="I60" s="17">
        <v>20126</v>
      </c>
      <c r="J60" s="17" t="s">
        <v>54</v>
      </c>
      <c r="K60" s="17" t="s">
        <v>75</v>
      </c>
      <c r="L60" s="17" t="s">
        <v>20</v>
      </c>
      <c r="M60" s="17" t="s">
        <v>232</v>
      </c>
      <c r="N60" s="17" t="s">
        <v>20</v>
      </c>
      <c r="O60" s="17" t="s">
        <v>231</v>
      </c>
      <c r="P60" s="17" t="s">
        <v>20</v>
      </c>
      <c r="Q60" s="17" t="s">
        <v>229</v>
      </c>
      <c r="S60" s="17" t="s">
        <v>59</v>
      </c>
      <c r="T60" s="17">
        <v>0</v>
      </c>
      <c r="U60" s="18">
        <v>4499722247</v>
      </c>
      <c r="V60" s="17" t="s">
        <v>435</v>
      </c>
      <c r="X60" s="17" t="s">
        <v>65</v>
      </c>
      <c r="Y60" s="17" t="s">
        <v>200</v>
      </c>
      <c r="Z60" s="17" t="s">
        <v>228</v>
      </c>
      <c r="AA60" s="29">
        <v>780748.99485100002</v>
      </c>
      <c r="AB60" s="29">
        <v>2428322.3473899998</v>
      </c>
    </row>
    <row r="61" spans="1:28">
      <c r="A61" s="30">
        <v>60</v>
      </c>
      <c r="B61" s="17">
        <v>611132</v>
      </c>
      <c r="C61" s="17" t="s">
        <v>194</v>
      </c>
      <c r="D61" s="17" t="s">
        <v>324</v>
      </c>
      <c r="E61" s="17" t="s">
        <v>436</v>
      </c>
      <c r="F61" s="17" t="s">
        <v>479</v>
      </c>
      <c r="G61" s="17" t="s">
        <v>362</v>
      </c>
      <c r="H61" s="17" t="s">
        <v>67</v>
      </c>
      <c r="I61" s="17">
        <v>20150</v>
      </c>
      <c r="J61" s="17" t="s">
        <v>54</v>
      </c>
      <c r="K61" s="17" t="s">
        <v>95</v>
      </c>
      <c r="L61" s="17" t="s">
        <v>56</v>
      </c>
      <c r="M61" s="17" t="s">
        <v>131</v>
      </c>
      <c r="N61" s="17" t="s">
        <v>56</v>
      </c>
      <c r="O61" s="17" t="s">
        <v>78</v>
      </c>
      <c r="P61" s="17" t="s">
        <v>56</v>
      </c>
      <c r="Q61" s="17" t="s">
        <v>167</v>
      </c>
      <c r="R61" s="17" t="s">
        <v>56</v>
      </c>
      <c r="S61" s="17" t="s">
        <v>131</v>
      </c>
      <c r="T61" s="17">
        <v>0</v>
      </c>
      <c r="U61" s="18">
        <v>0</v>
      </c>
      <c r="V61" s="17" t="s">
        <v>437</v>
      </c>
      <c r="X61" s="17" t="s">
        <v>65</v>
      </c>
      <c r="Y61" s="17" t="s">
        <v>185</v>
      </c>
      <c r="Z61" s="17" t="s">
        <v>228</v>
      </c>
      <c r="AA61" s="29">
        <v>780472.54025600001</v>
      </c>
      <c r="AB61" s="29">
        <v>2424550.6382300002</v>
      </c>
    </row>
    <row r="62" spans="1:28">
      <c r="A62" s="30">
        <v>61</v>
      </c>
      <c r="B62" s="17">
        <v>611132</v>
      </c>
      <c r="C62" s="17" t="s">
        <v>194</v>
      </c>
      <c r="D62" s="17" t="s">
        <v>324</v>
      </c>
      <c r="E62" s="17" t="s">
        <v>438</v>
      </c>
      <c r="F62" s="17" t="s">
        <v>479</v>
      </c>
      <c r="G62" s="17" t="s">
        <v>343</v>
      </c>
      <c r="H62" s="17" t="s">
        <v>84</v>
      </c>
      <c r="I62" s="17">
        <v>20170</v>
      </c>
      <c r="J62" s="17" t="s">
        <v>54</v>
      </c>
      <c r="K62" s="17" t="s">
        <v>93</v>
      </c>
      <c r="L62" s="17" t="s">
        <v>56</v>
      </c>
      <c r="M62" s="17" t="s">
        <v>233</v>
      </c>
      <c r="N62" s="17" t="s">
        <v>56</v>
      </c>
      <c r="O62" s="17" t="s">
        <v>234</v>
      </c>
      <c r="P62" s="17" t="s">
        <v>56</v>
      </c>
      <c r="Q62" s="17" t="s">
        <v>235</v>
      </c>
      <c r="R62" s="17" t="s">
        <v>56</v>
      </c>
      <c r="S62" s="17" t="s">
        <v>234</v>
      </c>
      <c r="T62" s="17">
        <v>0</v>
      </c>
      <c r="U62" s="18">
        <v>0</v>
      </c>
      <c r="V62" s="17" t="s">
        <v>439</v>
      </c>
      <c r="X62" s="17" t="s">
        <v>65</v>
      </c>
      <c r="Y62" s="17" t="s">
        <v>185</v>
      </c>
      <c r="Z62" s="17" t="s">
        <v>228</v>
      </c>
      <c r="AA62" s="29">
        <v>781646.29467600002</v>
      </c>
      <c r="AB62" s="29">
        <v>2424025.9359800001</v>
      </c>
    </row>
    <row r="63" spans="1:28">
      <c r="A63" s="30">
        <v>62</v>
      </c>
      <c r="B63" s="17">
        <v>611132</v>
      </c>
      <c r="C63" s="17" t="s">
        <v>194</v>
      </c>
      <c r="D63" s="17" t="s">
        <v>324</v>
      </c>
      <c r="E63" s="17" t="s">
        <v>440</v>
      </c>
      <c r="F63" s="17" t="s">
        <v>479</v>
      </c>
      <c r="G63" s="17" t="s">
        <v>150</v>
      </c>
      <c r="H63" s="17" t="s">
        <v>67</v>
      </c>
      <c r="I63" s="17">
        <v>20342</v>
      </c>
      <c r="J63" s="17" t="s">
        <v>54</v>
      </c>
      <c r="K63" s="17" t="s">
        <v>70</v>
      </c>
      <c r="L63" s="17" t="s">
        <v>56</v>
      </c>
      <c r="M63" s="17" t="s">
        <v>105</v>
      </c>
      <c r="O63" s="17" t="s">
        <v>59</v>
      </c>
      <c r="P63" s="17" t="s">
        <v>56</v>
      </c>
      <c r="Q63" s="17" t="s">
        <v>59</v>
      </c>
      <c r="R63" s="17" t="s">
        <v>58</v>
      </c>
      <c r="S63" s="17" t="s">
        <v>59</v>
      </c>
      <c r="T63" s="17">
        <v>0</v>
      </c>
      <c r="U63" s="18">
        <v>4499711955</v>
      </c>
      <c r="X63" s="17" t="s">
        <v>65</v>
      </c>
      <c r="Y63" s="17" t="s">
        <v>108</v>
      </c>
      <c r="Z63" s="17" t="s">
        <v>236</v>
      </c>
      <c r="AA63" s="29">
        <v>779746.75574399997</v>
      </c>
      <c r="AB63" s="29">
        <v>2415909.8662299998</v>
      </c>
    </row>
    <row r="64" spans="1:28">
      <c r="A64" s="30">
        <v>63</v>
      </c>
      <c r="B64" s="17">
        <v>611132</v>
      </c>
      <c r="C64" s="17" t="s">
        <v>194</v>
      </c>
      <c r="D64" s="17" t="s">
        <v>324</v>
      </c>
      <c r="E64" s="17" t="s">
        <v>441</v>
      </c>
      <c r="F64" s="17" t="s">
        <v>479</v>
      </c>
      <c r="G64" s="17" t="s">
        <v>442</v>
      </c>
      <c r="H64" s="17" t="s">
        <v>72</v>
      </c>
      <c r="I64" s="17">
        <v>20340</v>
      </c>
      <c r="J64" s="17" t="s">
        <v>54</v>
      </c>
      <c r="K64" s="17" t="s">
        <v>70</v>
      </c>
      <c r="L64" s="17" t="s">
        <v>20</v>
      </c>
      <c r="M64" s="17" t="s">
        <v>81</v>
      </c>
      <c r="N64" s="17" t="s">
        <v>20</v>
      </c>
      <c r="O64" s="17" t="s">
        <v>237</v>
      </c>
      <c r="P64" s="17" t="s">
        <v>20</v>
      </c>
      <c r="Q64" s="17" t="s">
        <v>294</v>
      </c>
      <c r="R64" s="17" t="s">
        <v>20</v>
      </c>
      <c r="S64" s="17" t="s">
        <v>312</v>
      </c>
      <c r="T64" s="17">
        <v>0</v>
      </c>
      <c r="U64" s="18">
        <v>4491243929</v>
      </c>
      <c r="V64" s="17" t="s">
        <v>443</v>
      </c>
      <c r="W64" s="17" t="s">
        <v>337</v>
      </c>
      <c r="X64" s="17" t="s">
        <v>65</v>
      </c>
      <c r="Y64" s="17" t="s">
        <v>122</v>
      </c>
      <c r="Z64" s="17" t="s">
        <v>236</v>
      </c>
      <c r="AA64" s="29">
        <v>781744.88109000004</v>
      </c>
      <c r="AB64" s="29">
        <v>2413178.6437300001</v>
      </c>
    </row>
    <row r="65" spans="1:28">
      <c r="A65" s="30">
        <v>64</v>
      </c>
      <c r="B65" s="17">
        <v>611132</v>
      </c>
      <c r="C65" s="17" t="s">
        <v>194</v>
      </c>
      <c r="D65" s="17" t="s">
        <v>324</v>
      </c>
      <c r="E65" s="17" t="s">
        <v>444</v>
      </c>
      <c r="F65" s="17" t="s">
        <v>479</v>
      </c>
      <c r="G65" s="17" t="s">
        <v>445</v>
      </c>
      <c r="H65" s="17" t="s">
        <v>84</v>
      </c>
      <c r="I65" s="17">
        <v>20126</v>
      </c>
      <c r="J65" s="17" t="s">
        <v>54</v>
      </c>
      <c r="K65" s="17" t="s">
        <v>93</v>
      </c>
      <c r="L65" s="17" t="s">
        <v>56</v>
      </c>
      <c r="M65" s="17" t="s">
        <v>282</v>
      </c>
      <c r="N65" s="17" t="s">
        <v>56</v>
      </c>
      <c r="O65" s="17" t="s">
        <v>241</v>
      </c>
      <c r="P65" s="17" t="s">
        <v>20</v>
      </c>
      <c r="Q65" s="17" t="s">
        <v>238</v>
      </c>
      <c r="R65" s="17" t="s">
        <v>20</v>
      </c>
      <c r="S65" s="17" t="s">
        <v>244</v>
      </c>
      <c r="T65" s="17">
        <v>201</v>
      </c>
      <c r="U65" s="18">
        <v>0</v>
      </c>
      <c r="V65" s="17" t="s">
        <v>446</v>
      </c>
      <c r="X65" s="17" t="s">
        <v>64</v>
      </c>
      <c r="Y65" s="17" t="s">
        <v>200</v>
      </c>
      <c r="Z65" s="17" t="s">
        <v>240</v>
      </c>
      <c r="AA65" s="29">
        <v>783373.109513</v>
      </c>
      <c r="AB65" s="29">
        <v>2428829.2722200002</v>
      </c>
    </row>
    <row r="66" spans="1:28">
      <c r="A66" s="30">
        <v>65</v>
      </c>
      <c r="B66" s="17">
        <v>611142</v>
      </c>
      <c r="C66" s="17" t="s">
        <v>194</v>
      </c>
      <c r="D66" s="17" t="s">
        <v>324</v>
      </c>
      <c r="E66" s="17" t="s">
        <v>447</v>
      </c>
      <c r="F66" s="17" t="s">
        <v>480</v>
      </c>
      <c r="G66" s="17" t="s">
        <v>150</v>
      </c>
      <c r="H66" s="17" t="s">
        <v>84</v>
      </c>
      <c r="I66" s="17">
        <v>20126</v>
      </c>
      <c r="J66" s="17" t="s">
        <v>54</v>
      </c>
      <c r="K66" s="17" t="s">
        <v>70</v>
      </c>
      <c r="L66" s="17" t="s">
        <v>20</v>
      </c>
      <c r="M66" s="17" t="s">
        <v>239</v>
      </c>
      <c r="N66" s="17" t="s">
        <v>20</v>
      </c>
      <c r="O66" s="17" t="s">
        <v>243</v>
      </c>
      <c r="P66" s="17" t="s">
        <v>20</v>
      </c>
      <c r="Q66" s="17" t="s">
        <v>242</v>
      </c>
      <c r="R66" s="17" t="s">
        <v>20</v>
      </c>
      <c r="S66" s="17" t="s">
        <v>238</v>
      </c>
      <c r="T66" s="17">
        <v>901</v>
      </c>
      <c r="U66" s="18">
        <v>0</v>
      </c>
      <c r="V66" s="17" t="s">
        <v>448</v>
      </c>
      <c r="X66" s="17" t="s">
        <v>60</v>
      </c>
      <c r="Y66" s="17" t="s">
        <v>200</v>
      </c>
      <c r="Z66" s="17" t="s">
        <v>240</v>
      </c>
      <c r="AA66" s="29">
        <v>782627.34412300005</v>
      </c>
      <c r="AB66" s="29">
        <v>2428043.99217</v>
      </c>
    </row>
    <row r="67" spans="1:28">
      <c r="A67" s="30">
        <v>66</v>
      </c>
      <c r="B67" s="17">
        <v>611132</v>
      </c>
      <c r="C67" s="17" t="s">
        <v>194</v>
      </c>
      <c r="D67" s="17" t="s">
        <v>324</v>
      </c>
      <c r="E67" s="17" t="s">
        <v>449</v>
      </c>
      <c r="F67" s="17" t="s">
        <v>479</v>
      </c>
      <c r="G67" s="17" t="s">
        <v>150</v>
      </c>
      <c r="H67" s="17" t="s">
        <v>84</v>
      </c>
      <c r="I67" s="17">
        <v>20126</v>
      </c>
      <c r="J67" s="17" t="s">
        <v>54</v>
      </c>
      <c r="K67" s="17" t="s">
        <v>95</v>
      </c>
      <c r="L67" s="17" t="s">
        <v>20</v>
      </c>
      <c r="M67" s="17" t="s">
        <v>246</v>
      </c>
      <c r="N67" s="17" t="s">
        <v>20</v>
      </c>
      <c r="O67" s="17" t="s">
        <v>313</v>
      </c>
      <c r="P67" s="17" t="s">
        <v>56</v>
      </c>
      <c r="Q67" s="17" t="s">
        <v>245</v>
      </c>
      <c r="R67" s="17" t="s">
        <v>20</v>
      </c>
      <c r="S67" s="17" t="s">
        <v>156</v>
      </c>
      <c r="T67" s="17">
        <v>0</v>
      </c>
      <c r="U67" s="18">
        <v>0</v>
      </c>
      <c r="X67" s="17" t="s">
        <v>65</v>
      </c>
      <c r="Y67" s="17" t="s">
        <v>195</v>
      </c>
      <c r="Z67" s="17" t="s">
        <v>240</v>
      </c>
      <c r="AA67" s="29">
        <v>783178.64693000005</v>
      </c>
      <c r="AB67" s="29">
        <v>2427759.1984000001</v>
      </c>
    </row>
    <row r="68" spans="1:28">
      <c r="A68" s="30">
        <v>67</v>
      </c>
      <c r="B68" s="17">
        <v>611132</v>
      </c>
      <c r="C68" s="17" t="s">
        <v>194</v>
      </c>
      <c r="D68" s="17" t="s">
        <v>324</v>
      </c>
      <c r="E68" s="17" t="s">
        <v>450</v>
      </c>
      <c r="F68" s="17" t="s">
        <v>479</v>
      </c>
      <c r="G68" s="17" t="s">
        <v>335</v>
      </c>
      <c r="H68" s="17" t="s">
        <v>82</v>
      </c>
      <c r="I68" s="17">
        <v>20263</v>
      </c>
      <c r="J68" s="17" t="s">
        <v>54</v>
      </c>
      <c r="K68" s="17" t="s">
        <v>70</v>
      </c>
      <c r="L68" s="17" t="s">
        <v>20</v>
      </c>
      <c r="M68" s="17" t="s">
        <v>248</v>
      </c>
      <c r="O68" s="17" t="s">
        <v>59</v>
      </c>
      <c r="Q68" s="17" t="s">
        <v>59</v>
      </c>
      <c r="R68" s="17" t="s">
        <v>56</v>
      </c>
      <c r="S68" s="17" t="s">
        <v>451</v>
      </c>
      <c r="T68" s="17">
        <v>222</v>
      </c>
      <c r="U68" s="18">
        <v>0</v>
      </c>
      <c r="X68" s="17" t="s">
        <v>60</v>
      </c>
      <c r="Y68" s="17" t="s">
        <v>186</v>
      </c>
      <c r="Z68" s="17" t="s">
        <v>247</v>
      </c>
      <c r="AA68" s="29">
        <v>785806.08196099999</v>
      </c>
      <c r="AB68" s="29">
        <v>2419727.7478</v>
      </c>
    </row>
    <row r="69" spans="1:28">
      <c r="A69" s="30">
        <v>68</v>
      </c>
      <c r="B69" s="17">
        <v>611141</v>
      </c>
      <c r="C69" s="17" t="s">
        <v>194</v>
      </c>
      <c r="D69" s="17" t="s">
        <v>52</v>
      </c>
      <c r="E69" s="17" t="s">
        <v>452</v>
      </c>
      <c r="F69" s="17" t="s">
        <v>477</v>
      </c>
      <c r="H69" s="17" t="s">
        <v>84</v>
      </c>
      <c r="I69" s="17">
        <v>20133</v>
      </c>
      <c r="J69" s="17" t="s">
        <v>54</v>
      </c>
      <c r="K69" s="17" t="s">
        <v>70</v>
      </c>
      <c r="L69" s="17" t="s">
        <v>20</v>
      </c>
      <c r="M69" s="17" t="s">
        <v>253</v>
      </c>
      <c r="N69" s="17" t="s">
        <v>20</v>
      </c>
      <c r="O69" s="17" t="s">
        <v>254</v>
      </c>
      <c r="P69" s="17" t="s">
        <v>56</v>
      </c>
      <c r="Q69" s="17" t="s">
        <v>113</v>
      </c>
      <c r="R69" s="17" t="s">
        <v>56</v>
      </c>
      <c r="S69" s="17" t="s">
        <v>251</v>
      </c>
      <c r="T69" s="17">
        <v>155</v>
      </c>
      <c r="U69" s="18">
        <v>0</v>
      </c>
      <c r="V69" s="17" t="s">
        <v>453</v>
      </c>
      <c r="X69" s="17" t="s">
        <v>65</v>
      </c>
      <c r="Y69" s="17" t="s">
        <v>186</v>
      </c>
      <c r="Z69" s="17" t="s">
        <v>252</v>
      </c>
      <c r="AA69" s="29">
        <v>784163.22627500002</v>
      </c>
      <c r="AB69" s="29">
        <v>2423119.91799</v>
      </c>
    </row>
    <row r="70" spans="1:28">
      <c r="A70" s="30">
        <v>69</v>
      </c>
      <c r="B70" s="17">
        <v>611132</v>
      </c>
      <c r="C70" s="17" t="s">
        <v>194</v>
      </c>
      <c r="D70" s="17" t="s">
        <v>324</v>
      </c>
      <c r="E70" s="17" t="s">
        <v>454</v>
      </c>
      <c r="F70" s="17" t="s">
        <v>479</v>
      </c>
      <c r="G70" s="17" t="s">
        <v>150</v>
      </c>
      <c r="H70" s="17" t="s">
        <v>84</v>
      </c>
      <c r="I70" s="17">
        <v>20298</v>
      </c>
      <c r="J70" s="17" t="s">
        <v>54</v>
      </c>
      <c r="K70" s="17" t="s">
        <v>95</v>
      </c>
      <c r="L70" s="17" t="s">
        <v>20</v>
      </c>
      <c r="M70" s="17" t="s">
        <v>315</v>
      </c>
      <c r="N70" s="17" t="s">
        <v>20</v>
      </c>
      <c r="O70" s="17" t="s">
        <v>314</v>
      </c>
      <c r="P70" s="17" t="s">
        <v>20</v>
      </c>
      <c r="Q70" s="17" t="s">
        <v>249</v>
      </c>
      <c r="R70" s="17" t="s">
        <v>20</v>
      </c>
      <c r="S70" s="17" t="s">
        <v>257</v>
      </c>
      <c r="T70" s="17">
        <v>101</v>
      </c>
      <c r="U70" s="18">
        <v>0</v>
      </c>
      <c r="V70" s="17" t="s">
        <v>455</v>
      </c>
      <c r="X70" s="17" t="s">
        <v>65</v>
      </c>
      <c r="Y70" s="17" t="s">
        <v>122</v>
      </c>
      <c r="Z70" s="17" t="s">
        <v>252</v>
      </c>
      <c r="AA70" s="29">
        <v>783217.97939400002</v>
      </c>
      <c r="AB70" s="29">
        <v>2417920.9190000002</v>
      </c>
    </row>
    <row r="71" spans="1:28">
      <c r="A71" s="30">
        <v>70</v>
      </c>
      <c r="B71" s="17">
        <v>611132</v>
      </c>
      <c r="C71" s="17" t="s">
        <v>194</v>
      </c>
      <c r="D71" s="17" t="s">
        <v>324</v>
      </c>
      <c r="E71" s="17" t="s">
        <v>456</v>
      </c>
      <c r="F71" s="17" t="s">
        <v>479</v>
      </c>
      <c r="G71" s="17" t="s">
        <v>323</v>
      </c>
      <c r="H71" s="17" t="s">
        <v>84</v>
      </c>
      <c r="I71" s="17">
        <v>20299</v>
      </c>
      <c r="J71" s="17" t="s">
        <v>54</v>
      </c>
      <c r="K71" s="17" t="s">
        <v>70</v>
      </c>
      <c r="L71" s="17" t="s">
        <v>56</v>
      </c>
      <c r="M71" s="17" t="s">
        <v>256</v>
      </c>
      <c r="N71" s="17" t="s">
        <v>56</v>
      </c>
      <c r="O71" s="17" t="s">
        <v>250</v>
      </c>
      <c r="P71" s="17" t="s">
        <v>20</v>
      </c>
      <c r="Q71" s="17" t="s">
        <v>316</v>
      </c>
      <c r="R71" s="17" t="s">
        <v>20</v>
      </c>
      <c r="S71" s="17" t="s">
        <v>249</v>
      </c>
      <c r="T71" s="17">
        <v>301</v>
      </c>
      <c r="U71" s="18">
        <v>0</v>
      </c>
      <c r="X71" s="17" t="s">
        <v>65</v>
      </c>
      <c r="Y71" s="17" t="s">
        <v>122</v>
      </c>
      <c r="Z71" s="17" t="s">
        <v>252</v>
      </c>
      <c r="AA71" s="29">
        <v>783952.70709200006</v>
      </c>
      <c r="AB71" s="29">
        <v>2418359.8246399998</v>
      </c>
    </row>
    <row r="72" spans="1:28">
      <c r="A72" s="30">
        <v>71</v>
      </c>
      <c r="B72" s="17">
        <v>611132</v>
      </c>
      <c r="C72" s="17" t="s">
        <v>194</v>
      </c>
      <c r="D72" s="17" t="s">
        <v>324</v>
      </c>
      <c r="E72" s="17" t="s">
        <v>457</v>
      </c>
      <c r="F72" s="17" t="s">
        <v>479</v>
      </c>
      <c r="G72" s="17" t="s">
        <v>323</v>
      </c>
      <c r="H72" s="17" t="s">
        <v>84</v>
      </c>
      <c r="I72" s="17">
        <v>20299</v>
      </c>
      <c r="J72" s="17" t="s">
        <v>54</v>
      </c>
      <c r="K72" s="17" t="s">
        <v>95</v>
      </c>
      <c r="L72" s="17" t="s">
        <v>56</v>
      </c>
      <c r="M72" s="17" t="s">
        <v>256</v>
      </c>
      <c r="N72" s="17" t="s">
        <v>56</v>
      </c>
      <c r="O72" s="17" t="s">
        <v>250</v>
      </c>
      <c r="P72" s="17" t="s">
        <v>20</v>
      </c>
      <c r="Q72" s="17" t="s">
        <v>316</v>
      </c>
      <c r="R72" s="17" t="s">
        <v>20</v>
      </c>
      <c r="S72" s="17" t="s">
        <v>249</v>
      </c>
      <c r="T72" s="17">
        <v>301</v>
      </c>
      <c r="U72" s="18">
        <v>0</v>
      </c>
      <c r="X72" s="17" t="s">
        <v>65</v>
      </c>
      <c r="Y72" s="17" t="s">
        <v>122</v>
      </c>
      <c r="Z72" s="17" t="s">
        <v>252</v>
      </c>
      <c r="AA72" s="29">
        <v>783952.70709200006</v>
      </c>
      <c r="AB72" s="29">
        <v>2418359.8246399998</v>
      </c>
    </row>
    <row r="73" spans="1:28">
      <c r="A73" s="30">
        <v>72</v>
      </c>
      <c r="B73" s="17">
        <v>611132</v>
      </c>
      <c r="C73" s="17" t="s">
        <v>194</v>
      </c>
      <c r="D73" s="17" t="s">
        <v>324</v>
      </c>
      <c r="E73" s="17" t="s">
        <v>458</v>
      </c>
      <c r="F73" s="17" t="s">
        <v>479</v>
      </c>
      <c r="G73" s="17" t="s">
        <v>308</v>
      </c>
      <c r="H73" s="17" t="s">
        <v>84</v>
      </c>
      <c r="I73" s="17">
        <v>20190</v>
      </c>
      <c r="J73" s="17" t="s">
        <v>54</v>
      </c>
      <c r="K73" s="17" t="s">
        <v>95</v>
      </c>
      <c r="L73" s="17" t="s">
        <v>20</v>
      </c>
      <c r="M73" s="17" t="s">
        <v>259</v>
      </c>
      <c r="N73" s="17" t="s">
        <v>20</v>
      </c>
      <c r="O73" s="17" t="s">
        <v>112</v>
      </c>
      <c r="P73" s="17" t="s">
        <v>97</v>
      </c>
      <c r="Q73" s="17" t="s">
        <v>168</v>
      </c>
      <c r="R73" s="17" t="s">
        <v>20</v>
      </c>
      <c r="S73" s="17" t="s">
        <v>261</v>
      </c>
      <c r="T73" s="17">
        <v>105</v>
      </c>
      <c r="U73" s="18">
        <v>4499700595</v>
      </c>
      <c r="X73" s="17" t="s">
        <v>64</v>
      </c>
      <c r="Y73" s="17" t="s">
        <v>193</v>
      </c>
      <c r="Z73" s="17" t="s">
        <v>252</v>
      </c>
      <c r="AA73" s="29">
        <v>783339.55117300001</v>
      </c>
      <c r="AB73" s="29">
        <v>2423041.12066</v>
      </c>
    </row>
    <row r="74" spans="1:28">
      <c r="A74" s="30">
        <v>73</v>
      </c>
      <c r="B74" s="17">
        <v>611142</v>
      </c>
      <c r="C74" s="17" t="s">
        <v>194</v>
      </c>
      <c r="D74" s="17" t="s">
        <v>324</v>
      </c>
      <c r="E74" s="17" t="s">
        <v>459</v>
      </c>
      <c r="F74" s="17" t="s">
        <v>480</v>
      </c>
      <c r="G74" s="17" t="s">
        <v>325</v>
      </c>
      <c r="H74" s="17" t="s">
        <v>84</v>
      </c>
      <c r="I74" s="17">
        <v>20190</v>
      </c>
      <c r="J74" s="17" t="s">
        <v>54</v>
      </c>
      <c r="K74" s="17" t="s">
        <v>93</v>
      </c>
      <c r="L74" s="17" t="s">
        <v>20</v>
      </c>
      <c r="M74" s="17" t="s">
        <v>318</v>
      </c>
      <c r="N74" s="17" t="s">
        <v>20</v>
      </c>
      <c r="O74" s="17" t="s">
        <v>260</v>
      </c>
      <c r="P74" s="17" t="s">
        <v>20</v>
      </c>
      <c r="Q74" s="17" t="s">
        <v>258</v>
      </c>
      <c r="R74" s="17" t="s">
        <v>20</v>
      </c>
      <c r="S74" s="17" t="s">
        <v>317</v>
      </c>
      <c r="T74" s="17">
        <v>202</v>
      </c>
      <c r="U74" s="18">
        <v>4499701485</v>
      </c>
      <c r="X74" s="17" t="s">
        <v>65</v>
      </c>
      <c r="Y74" s="17" t="s">
        <v>193</v>
      </c>
      <c r="Z74" s="17" t="s">
        <v>252</v>
      </c>
      <c r="AA74" s="29">
        <v>783639.49358400004</v>
      </c>
      <c r="AB74" s="29">
        <v>2422022.9002800002</v>
      </c>
    </row>
    <row r="75" spans="1:28">
      <c r="A75" s="30">
        <v>74</v>
      </c>
      <c r="B75" s="17">
        <v>611142</v>
      </c>
      <c r="C75" s="17" t="s">
        <v>194</v>
      </c>
      <c r="D75" s="17" t="s">
        <v>324</v>
      </c>
      <c r="E75" s="17" t="s">
        <v>460</v>
      </c>
      <c r="F75" s="17" t="s">
        <v>480</v>
      </c>
      <c r="G75" s="17" t="s">
        <v>150</v>
      </c>
      <c r="H75" s="17" t="s">
        <v>84</v>
      </c>
      <c r="I75" s="17">
        <v>20133</v>
      </c>
      <c r="J75" s="17" t="s">
        <v>54</v>
      </c>
      <c r="K75" s="17" t="s">
        <v>93</v>
      </c>
      <c r="L75" s="17" t="s">
        <v>20</v>
      </c>
      <c r="M75" s="17" t="s">
        <v>255</v>
      </c>
      <c r="N75" s="17" t="s">
        <v>56</v>
      </c>
      <c r="O75" s="17" t="s">
        <v>113</v>
      </c>
      <c r="P75" s="17" t="s">
        <v>20</v>
      </c>
      <c r="Q75" s="17" t="s">
        <v>461</v>
      </c>
      <c r="R75" s="17" t="s">
        <v>20</v>
      </c>
      <c r="S75" s="17" t="s">
        <v>462</v>
      </c>
      <c r="T75" s="17">
        <v>0</v>
      </c>
      <c r="U75" s="18">
        <v>4492235450</v>
      </c>
      <c r="V75" s="17" t="s">
        <v>463</v>
      </c>
      <c r="X75" s="17" t="s">
        <v>65</v>
      </c>
      <c r="Y75" s="17" t="s">
        <v>193</v>
      </c>
      <c r="Z75" s="17" t="s">
        <v>252</v>
      </c>
      <c r="AA75" s="29">
        <v>784332.31453700003</v>
      </c>
      <c r="AB75" s="29">
        <v>2422363.8722999999</v>
      </c>
    </row>
    <row r="76" spans="1:28">
      <c r="A76" s="30">
        <v>75</v>
      </c>
      <c r="B76" s="17">
        <v>611132</v>
      </c>
      <c r="C76" s="17" t="s">
        <v>194</v>
      </c>
      <c r="D76" s="17" t="s">
        <v>324</v>
      </c>
      <c r="E76" s="17" t="s">
        <v>464</v>
      </c>
      <c r="F76" s="17" t="s">
        <v>479</v>
      </c>
      <c r="H76" s="17" t="s">
        <v>84</v>
      </c>
      <c r="I76" s="17">
        <v>20200</v>
      </c>
      <c r="J76" s="17" t="s">
        <v>54</v>
      </c>
      <c r="K76" s="17" t="s">
        <v>70</v>
      </c>
      <c r="L76" s="17" t="s">
        <v>20</v>
      </c>
      <c r="M76" s="17" t="s">
        <v>319</v>
      </c>
      <c r="N76" s="17" t="s">
        <v>97</v>
      </c>
      <c r="O76" s="17" t="s">
        <v>171</v>
      </c>
      <c r="P76" s="17" t="s">
        <v>20</v>
      </c>
      <c r="Q76" s="17" t="s">
        <v>320</v>
      </c>
      <c r="R76" s="17" t="s">
        <v>20</v>
      </c>
      <c r="S76" s="17" t="s">
        <v>321</v>
      </c>
      <c r="T76" s="17">
        <v>0</v>
      </c>
      <c r="U76" s="18">
        <v>4499760777</v>
      </c>
      <c r="V76" s="17" t="s">
        <v>465</v>
      </c>
      <c r="X76" s="17" t="s">
        <v>65</v>
      </c>
      <c r="Y76" s="17" t="s">
        <v>123</v>
      </c>
      <c r="Z76" s="17" t="s">
        <v>264</v>
      </c>
      <c r="AA76" s="29">
        <v>774641.82023499999</v>
      </c>
      <c r="AB76" s="29">
        <v>2418299.3255400001</v>
      </c>
    </row>
    <row r="77" spans="1:28">
      <c r="A77" s="30">
        <v>76</v>
      </c>
      <c r="B77" s="17">
        <v>611132</v>
      </c>
      <c r="C77" s="17" t="s">
        <v>194</v>
      </c>
      <c r="D77" s="17" t="s">
        <v>324</v>
      </c>
      <c r="E77" s="17" t="s">
        <v>466</v>
      </c>
      <c r="F77" s="17" t="s">
        <v>479</v>
      </c>
      <c r="G77" s="17" t="s">
        <v>467</v>
      </c>
      <c r="H77" s="17" t="s">
        <v>67</v>
      </c>
      <c r="I77" s="17">
        <v>20130</v>
      </c>
      <c r="J77" s="17" t="s">
        <v>54</v>
      </c>
      <c r="K77" s="17" t="s">
        <v>75</v>
      </c>
      <c r="L77" s="17" t="s">
        <v>20</v>
      </c>
      <c r="M77" s="17" t="s">
        <v>268</v>
      </c>
      <c r="N77" s="17" t="s">
        <v>20</v>
      </c>
      <c r="O77" s="17" t="s">
        <v>265</v>
      </c>
      <c r="P77" s="17" t="s">
        <v>58</v>
      </c>
      <c r="Q77" s="17" t="s">
        <v>268</v>
      </c>
      <c r="R77" s="17" t="s">
        <v>20</v>
      </c>
      <c r="S77" s="17" t="s">
        <v>266</v>
      </c>
      <c r="T77" s="17">
        <v>0</v>
      </c>
      <c r="U77" s="18">
        <v>4499128458</v>
      </c>
      <c r="V77" s="17" t="s">
        <v>468</v>
      </c>
      <c r="X77" s="17" t="s">
        <v>65</v>
      </c>
      <c r="Y77" s="17" t="s">
        <v>116</v>
      </c>
      <c r="Z77" s="17" t="s">
        <v>267</v>
      </c>
      <c r="AA77" s="29">
        <v>777962.52000699996</v>
      </c>
      <c r="AB77" s="29">
        <v>2425412.2347499998</v>
      </c>
    </row>
    <row r="78" spans="1:28">
      <c r="A78" s="30">
        <v>77</v>
      </c>
      <c r="B78" s="17">
        <v>611132</v>
      </c>
      <c r="C78" s="17" t="s">
        <v>194</v>
      </c>
      <c r="D78" s="17" t="s">
        <v>324</v>
      </c>
      <c r="E78" s="17" t="s">
        <v>469</v>
      </c>
      <c r="F78" s="17" t="s">
        <v>479</v>
      </c>
      <c r="G78" s="17" t="s">
        <v>343</v>
      </c>
      <c r="H78" s="17" t="s">
        <v>84</v>
      </c>
      <c r="I78" s="17">
        <v>20328</v>
      </c>
      <c r="J78" s="17" t="s">
        <v>54</v>
      </c>
      <c r="K78" s="17" t="s">
        <v>70</v>
      </c>
      <c r="L78" s="17" t="s">
        <v>56</v>
      </c>
      <c r="M78" s="17" t="s">
        <v>262</v>
      </c>
      <c r="N78" s="17" t="s">
        <v>20</v>
      </c>
      <c r="O78" s="17" t="s">
        <v>66</v>
      </c>
      <c r="P78" s="17" t="s">
        <v>20</v>
      </c>
      <c r="Q78" s="17" t="s">
        <v>116</v>
      </c>
      <c r="R78" s="17" t="s">
        <v>20</v>
      </c>
      <c r="S78" s="17" t="s">
        <v>269</v>
      </c>
      <c r="T78" s="17">
        <v>605</v>
      </c>
      <c r="U78" s="18">
        <v>0</v>
      </c>
      <c r="V78" s="17" t="s">
        <v>470</v>
      </c>
      <c r="X78" s="17" t="s">
        <v>65</v>
      </c>
      <c r="Y78" s="17" t="s">
        <v>116</v>
      </c>
      <c r="Z78" s="17" t="s">
        <v>267</v>
      </c>
      <c r="AA78" s="29">
        <v>774985.67297299998</v>
      </c>
      <c r="AB78" s="29">
        <v>2426964.1759600001</v>
      </c>
    </row>
    <row r="79" spans="1:28">
      <c r="A79" s="30">
        <v>78</v>
      </c>
      <c r="B79" s="17">
        <v>611131</v>
      </c>
      <c r="C79" s="17" t="s">
        <v>194</v>
      </c>
      <c r="D79" s="17" t="s">
        <v>52</v>
      </c>
      <c r="E79" s="17" t="s">
        <v>471</v>
      </c>
      <c r="F79" s="17" t="s">
        <v>478</v>
      </c>
      <c r="G79" s="17" t="s">
        <v>472</v>
      </c>
      <c r="H79" s="17" t="s">
        <v>84</v>
      </c>
      <c r="I79" s="17">
        <v>20115</v>
      </c>
      <c r="J79" s="17" t="s">
        <v>54</v>
      </c>
      <c r="K79" s="17" t="s">
        <v>95</v>
      </c>
      <c r="L79" s="17" t="s">
        <v>56</v>
      </c>
      <c r="M79" s="17" t="s">
        <v>474</v>
      </c>
      <c r="N79" s="17" t="s">
        <v>56</v>
      </c>
      <c r="O79" s="17" t="s">
        <v>322</v>
      </c>
      <c r="P79" s="17" t="s">
        <v>56</v>
      </c>
      <c r="Q79" s="17" t="s">
        <v>78</v>
      </c>
      <c r="R79" s="17" t="s">
        <v>76</v>
      </c>
      <c r="S79" s="17" t="s">
        <v>263</v>
      </c>
      <c r="T79" s="17">
        <v>169</v>
      </c>
      <c r="U79" s="18">
        <v>0</v>
      </c>
      <c r="V79" s="17" t="s">
        <v>473</v>
      </c>
      <c r="W79" s="17" t="s">
        <v>475</v>
      </c>
      <c r="X79" s="17" t="s">
        <v>64</v>
      </c>
      <c r="Y79" s="17" t="s">
        <v>116</v>
      </c>
      <c r="Z79" s="17" t="s">
        <v>267</v>
      </c>
      <c r="AA79" s="29">
        <v>778722.40497100004</v>
      </c>
      <c r="AB79" s="29">
        <v>2427612.8635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24EU_EDU_SECUNDARIA</vt:lpstr>
      <vt:lpstr>BASE DE DATOS_EDU_SECUNDARIA</vt:lpstr>
      <vt:lpstr>'24EU_EDU_SECUNDARIA'!Área_de_impresión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2025-08-13T15:19:21Z</dcterms:modified>
</cp:coreProperties>
</file>