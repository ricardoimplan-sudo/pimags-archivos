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Z:\EQUIPAMIENTO URBANO_CLASIFICADO POR DELEGACION, ZUFO,REFOM\24MEDIA SUPERIOR\"/>
    </mc:Choice>
  </mc:AlternateContent>
  <bookViews>
    <workbookView xWindow="0" yWindow="0" windowWidth="28800" windowHeight="11535"/>
  </bookViews>
  <sheets>
    <sheet name="24EU_EDU_MEDIA SUPERIOR" sheetId="1" r:id="rId1"/>
    <sheet name="BASE DE DATOS_EDU_MEDIA SUPERIO" sheetId="2" r:id="rId2"/>
  </sheets>
  <definedNames>
    <definedName name="_xlnm.Print_Area" localSheetId="0">'24EU_EDU_MEDIA SUPERIOR'!$A$1:$C$35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<sst xmlns="http://schemas.openxmlformats.org/spreadsheetml/2006/main" count="1435" uniqueCount="497">
  <si>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</si>
  <si>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</si>
  <si>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</si>
  <si>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</si>
  <si>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</si>
  <si>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</si>
  <si>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</si>
  <si>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</si>
  <si>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</si>
  <si>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</si>
  <si>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</si>
  <si>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</si>
  <si>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</si>
  <si>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</si>
  <si>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</si>
  <si>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</si>
  <si>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</si>
  <si>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</si>
  <si>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</si>
  <si>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</si>
  <si>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</si>
  <si>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</si>
  <si>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</si>
  <si>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</si>
  <si>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</si>
  <si>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</si>
  <si>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</si>
  <si>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</si>
  <si>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</si>
  <si>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</si>
  <si>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</si>
  <si>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</si>
  <si>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</si>
  <si>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</si>
  <si>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</si>
  <si>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</si>
  <si>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</si>
  <si>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</si>
  <si>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</si>
  <si>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</si>
  <si>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</si>
  <si>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</si>
  <si>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</si>
  <si>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</si>
  <si>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</si>
  <si>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</si>
  <si>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</si>
  <si>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</si>
  <si>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</si>
  <si>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</si>
  <si>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</si>
  <si>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</si>
  <si>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</si>
  <si>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</si>
  <si>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</si>
  <si>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</si>
  <si>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</si>
  <si>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</si>
  <si>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</si>
  <si>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</si>
  <si>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CALVILLITO</t>
  </si>
  <si>
    <t>(REFOM)-CALVILLITO</t>
  </si>
  <si>
    <t>6 a 10 personas</t>
  </si>
  <si>
    <t>2014-12</t>
  </si>
  <si>
    <t>2010-07</t>
  </si>
  <si>
    <t>SAN ANTONIO</t>
  </si>
  <si>
    <t>COLONIA</t>
  </si>
  <si>
    <t>FRANCISCO I. MADERO</t>
  </si>
  <si>
    <t>EMILIANO ZAPATA</t>
  </si>
  <si>
    <t>VENUSTIANO CARRANZA</t>
  </si>
  <si>
    <t>11 a 30 personas</t>
  </si>
  <si>
    <t>ABASOLO</t>
  </si>
  <si>
    <t>5 DE MAYO</t>
  </si>
  <si>
    <t>FRANCISCO VILLA</t>
  </si>
  <si>
    <t>EJIDO</t>
  </si>
  <si>
    <t>31 a 50 personas</t>
  </si>
  <si>
    <t>OTRO(ESPECIFIQUE)</t>
  </si>
  <si>
    <t>2023-11</t>
  </si>
  <si>
    <t>SIN REFERENCIA</t>
  </si>
  <si>
    <t>CIRCUITO</t>
  </si>
  <si>
    <t>BENITO JUAREZ</t>
  </si>
  <si>
    <t>S/D</t>
  </si>
  <si>
    <t>FRACCIONAMIENTO</t>
  </si>
  <si>
    <t>INDEPENDENCIA</t>
  </si>
  <si>
    <t>CARRETERA</t>
  </si>
  <si>
    <t>LOCALIDAD</t>
  </si>
  <si>
    <t>PILA</t>
  </si>
  <si>
    <t>RIELEROS</t>
  </si>
  <si>
    <t>LIGA DEL PACIFICO</t>
  </si>
  <si>
    <t>101 a 250 personas</t>
  </si>
  <si>
    <t>LIBERTAD</t>
  </si>
  <si>
    <t>2017-11</t>
  </si>
  <si>
    <t>D</t>
  </si>
  <si>
    <t>2021-05</t>
  </si>
  <si>
    <t>51 a 100 personas</t>
  </si>
  <si>
    <t>OTRO (ESPECIFIQUE)</t>
  </si>
  <si>
    <t>GUADALUPE</t>
  </si>
  <si>
    <t>LOS LAURELES</t>
  </si>
  <si>
    <t>PROLONGACION</t>
  </si>
  <si>
    <t>CENTRO PONIENTE</t>
  </si>
  <si>
    <t>(ZUFO)- SAN FRANCISCO</t>
  </si>
  <si>
    <t>SARGENTO LUCIANO PONCE</t>
  </si>
  <si>
    <t>DOCTOR MARIANO AZUELA</t>
  </si>
  <si>
    <t>ANDADOR</t>
  </si>
  <si>
    <t>BOULEVARD</t>
  </si>
  <si>
    <t>MAHATMA GANDHI</t>
  </si>
  <si>
    <t>AGUASCALIENTES SUR</t>
  </si>
  <si>
    <t>GENERAL FRANCISCO CARRERA TORRES</t>
  </si>
  <si>
    <t>INSURGENTES</t>
  </si>
  <si>
    <t>SIGLO XXI</t>
  </si>
  <si>
    <t>AVENIDA DE LOS MAESTROS</t>
  </si>
  <si>
    <t>GENERAL LUIS MOYA</t>
  </si>
  <si>
    <t>POCITOS</t>
  </si>
  <si>
    <t>MORELOS</t>
  </si>
  <si>
    <t>SAN FRANCISCO</t>
  </si>
  <si>
    <t>SOBERANA CONVENCION MILITAR REVOLUCIONARIA SUR</t>
  </si>
  <si>
    <t>MUJERES ILUSTRES</t>
  </si>
  <si>
    <t>SAN MARCOS</t>
  </si>
  <si>
    <t>AGUASCALIENTES PONIENTE</t>
  </si>
  <si>
    <t>SOBERANA CONVENCION MILITAR REVOLUCIONARIA NORTE</t>
  </si>
  <si>
    <t>SOBERANA CONVENCION MILITAR REVOLUCIONARIA PONIENTE</t>
  </si>
  <si>
    <t>HEROE DE NACOZARI NORTE</t>
  </si>
  <si>
    <t>CENTRO ORIENTE</t>
  </si>
  <si>
    <t>(ZUFO)-ARELLANO</t>
  </si>
  <si>
    <t>ALFREDO LEWIS</t>
  </si>
  <si>
    <t>GENERAL MIGUEL BARRAGAN</t>
  </si>
  <si>
    <t>ROBLE</t>
  </si>
  <si>
    <t>CONVENCION DE 1914 NORTE</t>
  </si>
  <si>
    <t>GENERAL EMILIANO ZAPATA</t>
  </si>
  <si>
    <t>AQUILES ELORDUY</t>
  </si>
  <si>
    <t>NIETO</t>
  </si>
  <si>
    <t>LICENCIADO ADOLFO LOPEZ MATEOS PONIENTE</t>
  </si>
  <si>
    <t>CARLOS SAGREDO</t>
  </si>
  <si>
    <t>FUNDICION</t>
  </si>
  <si>
    <t>CANAL INTERCEPTOR</t>
  </si>
  <si>
    <t>MAR CASPIO</t>
  </si>
  <si>
    <t>PEATONAL</t>
  </si>
  <si>
    <t>RIO COLORADO</t>
  </si>
  <si>
    <t>RIO RHIN</t>
  </si>
  <si>
    <t>ESTAEO</t>
  </si>
  <si>
    <t>RIO LERMA</t>
  </si>
  <si>
    <t>RAO T</t>
  </si>
  <si>
    <t>MAR BALTICO</t>
  </si>
  <si>
    <t>ANTIGUO CAMINO A SAN IGNACIO</t>
  </si>
  <si>
    <t>SAN BARTOLO</t>
  </si>
  <si>
    <t>VICTOR M. DIAZ MACIAS</t>
  </si>
  <si>
    <t>18 DE MARZO</t>
  </si>
  <si>
    <t>SAN CLEMENTE</t>
  </si>
  <si>
    <t>AFRODITA</t>
  </si>
  <si>
    <t>INDUSTRIA</t>
  </si>
  <si>
    <t>INSTITUTO DE EDUCACION DE AGUASCALIENTES</t>
  </si>
  <si>
    <t>VIENA</t>
  </si>
  <si>
    <t>NIZA</t>
  </si>
  <si>
    <t>MIGUEL  NGEL</t>
  </si>
  <si>
    <t>(ZUFO)-AYUNTAMIENTO</t>
  </si>
  <si>
    <t>CONVENCION DE 1914 SUR</t>
  </si>
  <si>
    <t>CRIST</t>
  </si>
  <si>
    <t>REPLBLICA DE ARGENTINA</t>
  </si>
  <si>
    <t>REPUBLICA DEL PERU</t>
  </si>
  <si>
    <t>REPUBLICA DE HONDURAS</t>
  </si>
  <si>
    <t>ENRIQUE C. REBSAMEN</t>
  </si>
  <si>
    <t>REPUBLICA DE GUATEMALA</t>
  </si>
  <si>
    <t>REPUBLICA DE ARGENTINA</t>
  </si>
  <si>
    <t>QUINTA AVENIDA</t>
  </si>
  <si>
    <t>LICENCIADO JES S REYES HEROLES</t>
  </si>
  <si>
    <t>REPUBLICA DE URUGUAY</t>
  </si>
  <si>
    <t>QUINTA</t>
  </si>
  <si>
    <t>HEROE DE NACOZARI SUR</t>
  </si>
  <si>
    <t>AVENIDA DEL LAGO</t>
  </si>
  <si>
    <t>PASEO DE LOS CISNES</t>
  </si>
  <si>
    <t>(ZUFO)-CENTRO</t>
  </si>
  <si>
    <t>VAZQUEZ DEL MERCADO</t>
  </si>
  <si>
    <t>PEDRO PARGA</t>
  </si>
  <si>
    <t>ALAMEDA</t>
  </si>
  <si>
    <t>ARQUITECTO J. REFUGIO REYES</t>
  </si>
  <si>
    <t>HEROICO COLEGIO MILITAR</t>
  </si>
  <si>
    <t>RIO SAN PEDRO</t>
  </si>
  <si>
    <t>VALLADOLID</t>
  </si>
  <si>
    <t>COSIO NORTE</t>
  </si>
  <si>
    <t>EZEQUIEL A. CHAVEZ</t>
  </si>
  <si>
    <t>PIMENTEL</t>
  </si>
  <si>
    <t>JESUS BERNAL</t>
  </si>
  <si>
    <t>JESUS MARIA</t>
  </si>
  <si>
    <t>2012-06</t>
  </si>
  <si>
    <t>PEDRO PARGA NO. 325</t>
  </si>
  <si>
    <t>LICENCIADO FRANCISCO PRIMO VERDAD</t>
  </si>
  <si>
    <t>GENERAL MIGUEL BARRAGPN</t>
  </si>
  <si>
    <t>CONSTITUCION</t>
  </si>
  <si>
    <t>GENERAL GUADALUPE VICTORIA</t>
  </si>
  <si>
    <t>MARIANO MATAMOROS NORTE</t>
  </si>
  <si>
    <t>RIVERO Y GUTIERREZ</t>
  </si>
  <si>
    <t>GOROSTIZA</t>
  </si>
  <si>
    <t>JOSE F. ELIZONDO</t>
  </si>
  <si>
    <t>SANTA ANITA</t>
  </si>
  <si>
    <t>GUADALUPE PERALTA</t>
  </si>
  <si>
    <t>(ZUFO)-DON PASCUAL ORIENTE</t>
  </si>
  <si>
    <t>SALUD</t>
  </si>
  <si>
    <t>JUVENTINO DE LA TORRE TORRES</t>
  </si>
  <si>
    <t>ISABEL JIMENEZ DIAZ</t>
  </si>
  <si>
    <t>JOSE TRINIDAD VELA SALAS</t>
  </si>
  <si>
    <t>CARMEN DE LUNA DE SEVILLA</t>
  </si>
  <si>
    <t>SAN FRANCISCO DE LOS VIVEROS</t>
  </si>
  <si>
    <t>DATILERA</t>
  </si>
  <si>
    <t>RECINTO CACTUS 104</t>
  </si>
  <si>
    <t>CABUYA</t>
  </si>
  <si>
    <t>OJOCALIENTE</t>
  </si>
  <si>
    <t>EDUCACION</t>
  </si>
  <si>
    <t>VILLAS</t>
  </si>
  <si>
    <t>CULTURA MAYA</t>
  </si>
  <si>
    <t>LOMA DEL CARDENAL</t>
  </si>
  <si>
    <t>CULTURA TOTONACA</t>
  </si>
  <si>
    <t>POZO BRAVO</t>
  </si>
  <si>
    <t>AGUASCALIENTES ORIENTE</t>
  </si>
  <si>
    <t>RODOLFO LANDEROS</t>
  </si>
  <si>
    <t>MARIANO ESCOBEDO</t>
  </si>
  <si>
    <t>(ZUFO)-EL CEDAZO</t>
  </si>
  <si>
    <t>MARIANO HIDALGO</t>
  </si>
  <si>
    <t>ARTILLERO MIER</t>
  </si>
  <si>
    <t>TRES</t>
  </si>
  <si>
    <t>LIBRA</t>
  </si>
  <si>
    <t>PASEO OJOCALIENTE</t>
  </si>
  <si>
    <t>PERSEO</t>
  </si>
  <si>
    <t>(ZUFO)-FERROCARRIL</t>
  </si>
  <si>
    <t>FELIPE PESCADOR</t>
  </si>
  <si>
    <t>TOKAY</t>
  </si>
  <si>
    <t>NAZARIO ORTIZ GARZA</t>
  </si>
  <si>
    <t>AGUASCALIENTES</t>
  </si>
  <si>
    <t>GABRIELA MISTRAL</t>
  </si>
  <si>
    <t>MIGUEL DE CERVANTES SAAVEDRA</t>
  </si>
  <si>
    <t>(ZUFO)-INDUSTRIAL</t>
  </si>
  <si>
    <t>CIUDAD INDUSTRIAL</t>
  </si>
  <si>
    <t>GREGORIO RUIZ VELAZCO</t>
  </si>
  <si>
    <t>LUIS DONALDO COLOSIO</t>
  </si>
  <si>
    <t>AVENIDA ADOLFO LOPEZ MATEOS</t>
  </si>
  <si>
    <t>CAROLINA VILLANUEVA DE GARCIA</t>
  </si>
  <si>
    <t>ANTONIO GUTIERREZ SOLA</t>
  </si>
  <si>
    <t>JOSL MARDA CHRVEZ</t>
  </si>
  <si>
    <t>(ZUFO)-LA HACIENDA</t>
  </si>
  <si>
    <t>GERONIMO DE LA CUEVA</t>
  </si>
  <si>
    <t>JOSE E. FEMAT GUTIERREZ</t>
  </si>
  <si>
    <t>CELIA MARDA MARTUNEZ</t>
  </si>
  <si>
    <t>TECNOLAGICO</t>
  </si>
  <si>
    <t>(ZUFO)-OJOCALIENTE</t>
  </si>
  <si>
    <t>HACIENDA SAN NICOLAS</t>
  </si>
  <si>
    <t>HACIENDA MESILLAS</t>
  </si>
  <si>
    <t>LOMA DE LA PLATA</t>
  </si>
  <si>
    <t>MISION DE SAN MATEO CORREA MAGALLANES</t>
  </si>
  <si>
    <t>MISIEN DE SAN MATEO CORREA MAGALLANES</t>
  </si>
  <si>
    <t>LA GUAYANA</t>
  </si>
  <si>
    <t>HUACHICHIL</t>
  </si>
  <si>
    <t>MARIANO SALAS</t>
  </si>
  <si>
    <t>AVENIDA AGUASCALIENTES</t>
  </si>
  <si>
    <t>CERRO DEL MIXTON</t>
  </si>
  <si>
    <t>CHICHIMECA</t>
  </si>
  <si>
    <t>EL SALITRE</t>
  </si>
  <si>
    <t>ZACATECO</t>
  </si>
  <si>
    <t>LOS ARQUITOS</t>
  </si>
  <si>
    <t>LOS CONOS</t>
  </si>
  <si>
    <t>SAN FRANCISCO DE LOS ROMO</t>
  </si>
  <si>
    <t>EUGENIO GARZA SADA</t>
  </si>
  <si>
    <t>GUADALUPE GONZALEZ</t>
  </si>
  <si>
    <t>ADOLFO RUIZ CORTINES</t>
  </si>
  <si>
    <t>(ZUFO)-UNIVERSIDAD</t>
  </si>
  <si>
    <t>MARCOS CORONADO</t>
  </si>
  <si>
    <t>JUAN RAMIREZ</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</si>
  <si>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</si>
  <si>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</si>
  <si>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</si>
  <si>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</si>
  <si>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</si>
  <si>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</si>
  <si>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</si>
  <si>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</si>
  <si>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</si>
  <si>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</si>
  <si>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</si>
  <si>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</si>
  <si>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Barda</t>
  </si>
  <si>
    <t>JAZMIN</t>
  </si>
  <si>
    <t>JAZMEN</t>
  </si>
  <si>
    <t>MVXICO</t>
  </si>
  <si>
    <t>LAS PALMAS</t>
  </si>
  <si>
    <t>LAZARO C RDENAS</t>
  </si>
  <si>
    <t>FRANCISCO I MADERO</t>
  </si>
  <si>
    <t>GENERAL JULICN MEDINA</t>
  </si>
  <si>
    <t>GOBIERNO FEDERAL</t>
  </si>
  <si>
    <t>MAR EGEO</t>
  </si>
  <si>
    <t>PEDRO GARCMA ROJAS</t>
  </si>
  <si>
    <t>ROMA</t>
  </si>
  <si>
    <t>FRAY JUN PERO SERRA</t>
  </si>
  <si>
    <t>JESUS SOTELO INCLAN</t>
  </si>
  <si>
    <t>RAFAELA SUAREZ</t>
  </si>
  <si>
    <t>CHICHEN ITZA</t>
  </si>
  <si>
    <t>ALBENIZ</t>
  </si>
  <si>
    <t>ELISEO TRUJILLO</t>
  </si>
  <si>
    <t>CATARINO ARREOLA</t>
  </si>
  <si>
    <t>GENERAL JUAN ZLVAREZ</t>
  </si>
  <si>
    <t>SERVANDO CANALES</t>
  </si>
  <si>
    <t>RAFAEL RODRAGUEZ DOMPNGUEZ</t>
  </si>
  <si>
    <t>CALZADA</t>
  </si>
  <si>
    <t>PIE DE LA CUESTA</t>
  </si>
  <si>
    <t>CULTURA TOTONACA 104</t>
  </si>
  <si>
    <t>GOBIERNO DEL ESTADO DE AGUASCALIENTES</t>
  </si>
  <si>
    <t>UNO</t>
  </si>
  <si>
    <t>CERRO DE LA JOYA</t>
  </si>
  <si>
    <t>LAZARO MALDONADO DEL RIO</t>
  </si>
  <si>
    <t>PRINCIPAL</t>
  </si>
  <si>
    <t>MISION</t>
  </si>
  <si>
    <t>SEBASTIAN DE LARA</t>
  </si>
  <si>
    <t>HACIENDA SAN BLAS</t>
  </si>
  <si>
    <t>HACIENDA MEXICO</t>
  </si>
  <si>
    <t>LOMA HUASTECA</t>
  </si>
  <si>
    <t>LOMA DEL ORIENTE</t>
  </si>
  <si>
    <t>MISION DE SAN JESUS MENDEZ MONTOYA</t>
  </si>
  <si>
    <t>LAS NORIAS</t>
  </si>
  <si>
    <t>VALENTIN CANALIZO</t>
  </si>
  <si>
    <t>S MUSICIPIO DE AGUASCALIENTES</t>
  </si>
  <si>
    <t>UNIVERSIDAD AUTONOMA DE AGUASCALIENTES</t>
  </si>
  <si>
    <t>GOBIERNO</t>
  </si>
  <si>
    <t>PUBLICO</t>
  </si>
  <si>
    <t>CAÑADA HONDA</t>
  </si>
  <si>
    <t>(REFOM)-CAÑADA</t>
  </si>
  <si>
    <t>(REFOM)-PEÑUELAS</t>
  </si>
  <si>
    <t>PEÑUELAS</t>
  </si>
  <si>
    <t>GOBIERNO DEL ESTADO</t>
  </si>
  <si>
    <t>TELEBACHILLERATO COMUNITARIO NORIAS DE PASO HONDO</t>
  </si>
  <si>
    <t>INSTITUTO EDUCACION AGUASCALIENTES 01E1K0015Q</t>
  </si>
  <si>
    <t>SECRETARIA DE EDUCACION PLBLICA SEP</t>
  </si>
  <si>
    <t>CECYTEA CA2ADA HONDA TURNO MATUTINO CLAVE 01ETC0014I</t>
  </si>
  <si>
    <t>INSTITUTO DEL ESTADO DE AGUASCALIENTES</t>
  </si>
  <si>
    <t>WWW.IEA.GOB.MX</t>
  </si>
  <si>
    <t>TELEBACHILLERATO COMUNITARIO CAeADA GRANDE DE COTORINA</t>
  </si>
  <si>
    <t>TELEBACHILLERATO COMUNITARIO COTORINA COYOTES</t>
  </si>
  <si>
    <t>01TK0086K@IEA.EDU.MX</t>
  </si>
  <si>
    <t>IEA</t>
  </si>
  <si>
    <t>CENTRO BACHILLERATO TECNOLOGICO INDUSTRIAL DE SERVICIOS 279</t>
  </si>
  <si>
    <t>CEBTIS279@UEMSTIS.GOB.MX</t>
  </si>
  <si>
    <t>PENUELASTBC2017@GMAIL.COM</t>
  </si>
  <si>
    <t>CETIS80 CENTRO DE ESTUDIOS TECNOLOGICO INDUSTRIAL Y DE SERVICIOS 80</t>
  </si>
  <si>
    <t>CETIS80 CENTRO DE ESTUDIOS TECNOLOGICOS INDUSTRIAL Y DE SERVICIOS NUM 80</t>
  </si>
  <si>
    <t>BACHILLERATO GENERAL MILITARIZADO</t>
  </si>
  <si>
    <t>CBTIS 168</t>
  </si>
  <si>
    <t>DGETI</t>
  </si>
  <si>
    <t>TU PREPA CON UN SOLO EXAMEN</t>
  </si>
  <si>
    <t>TUPREPA.AGUASCALIENTES@GMAIL.COM</t>
  </si>
  <si>
    <t>CENTRO DE EDUCACION MEDIA DE LA UNIVERSIDAD AUTONOMA DE AGUASCALIENTES</t>
  </si>
  <si>
    <t>WWW.UAA.MX</t>
  </si>
  <si>
    <t>COLEGIO SANTA FE</t>
  </si>
  <si>
    <t>PATRONATO EDUCATIVO SANTA FE AC</t>
  </si>
  <si>
    <t>C.SANTAFE_AGS@HOTMAIL.COM</t>
  </si>
  <si>
    <t>INSTITUTO RENACIMIENTO DE AGUASCALIENTES</t>
  </si>
  <si>
    <t>INSTITUTO RENACIMIENTO DE AGUASCALIENTES AC</t>
  </si>
  <si>
    <t>RENA.INSTITUTO@GMAIL.COM</t>
  </si>
  <si>
    <t>INSTITUTO VICTOR MANUEL CASTELAZO MURIEL</t>
  </si>
  <si>
    <t>ALFREDODELACERDA@YAHOO.COM.MX</t>
  </si>
  <si>
    <t>WWW.CASTELAZO.EDU.MX</t>
  </si>
  <si>
    <t>PREPARATORIOA TERRANOVA</t>
  </si>
  <si>
    <t>PREPARATORIA TERRANOVA SC</t>
  </si>
  <si>
    <t>ARELI.TOVAR@PREPARATORIATERRANOVA.MX</t>
  </si>
  <si>
    <t>CBETIS 39</t>
  </si>
  <si>
    <t>CENTRO DE BACHILLERATO TECNOLOGICO INDUSTRIAL Y DE SERVICIOS NO39</t>
  </si>
  <si>
    <t>CBTIS039.DIR@DGETI.SEP.GOB.MX</t>
  </si>
  <si>
    <t>WWW.CBETIS39.MX</t>
  </si>
  <si>
    <t>INSTITUTO AGUASCALIENTES AC</t>
  </si>
  <si>
    <t>FEDERICO GARCSA LORCA</t>
  </si>
  <si>
    <t>ADMINISTRACION@PREPAMARISTA.EDU.MX</t>
  </si>
  <si>
    <t>CECYTEA COLEGIO DE ESTUDIOS CIENTIFICOS  SUPERIORES Y TECNOLOGICOS DEL ESTADO DE AGUASCALIENTES</t>
  </si>
  <si>
    <t>COLEGIO DE EDUCACION PROFESIONAL TECNICA DEL ESTADO DE AGUASCALIENTES</t>
  </si>
  <si>
    <t>ORGANOS PUBLICOS DESENTRALIZADOS NACIONAL</t>
  </si>
  <si>
    <t>251 y mss personas</t>
  </si>
  <si>
    <t>WWW.CONALEPAGS.EDU.MX</t>
  </si>
  <si>
    <t>INSTITUTO TECNICO BOULEVARES</t>
  </si>
  <si>
    <t>C MUJECIPIO DE AGUASCALIENTES</t>
  </si>
  <si>
    <t>IN.TE.BO@HOTMAIL.COM</t>
  </si>
  <si>
    <t>INSTITUTO DE CIENCIAS DE LA SALUD DE AGUASCALIENTES</t>
  </si>
  <si>
    <t>INSTITUTO DE CIENCIAS DE SALUD DE AGUASCALIENTES</t>
  </si>
  <si>
    <t>ICSAA-MARYFISHER@OULOOK.COM</t>
  </si>
  <si>
    <t>BACHILLERATO TECNOLOGICO DE AGUASCALIENTES</t>
  </si>
  <si>
    <t>BACHILLERATO TECNOLOGICO DE AGUASCALIENTES AC</t>
  </si>
  <si>
    <t>WWW.BTA.EDU.MX</t>
  </si>
  <si>
    <t>ESCUELA PREPARATORIA BACHILLERES DE AGUASCALIENTES</t>
  </si>
  <si>
    <t>ESCUELA PREPARATORIA BACHILLERATO DE AGUASCALIENTES SC</t>
  </si>
  <si>
    <t>EPBA_SI@YAHOO.COM.MX</t>
  </si>
  <si>
    <t>RED UNIVERCOM SC</t>
  </si>
  <si>
    <t>MARGARITA.SOLIS@REDALIAT.MX</t>
  </si>
  <si>
    <t>PREPARATORIA POLITECNICA DE AGUASCALIENTES</t>
  </si>
  <si>
    <t>SOCIEDAD MULTIDISCIPLINARIA DE ESTUDIOS ESPECIALIZADOS SC</t>
  </si>
  <si>
    <t>CECYTEA FERROCARRILES</t>
  </si>
  <si>
    <t>COLEGIO DE ESTUDIOS CIENT0FICOS Y TEGN</t>
  </si>
  <si>
    <t>CECYT.FERROCARRILES@CECYTEA.EDU.MX</t>
  </si>
  <si>
    <t>WWW.AGUASCALENTES.GOB.MX/CECYTEA</t>
  </si>
  <si>
    <t>BACHILLERATO DEL DEPORTE</t>
  </si>
  <si>
    <t>WALTER.SCHADTLER@IEA.EDU.MX</t>
  </si>
  <si>
    <t>CONALEP PLANTEL J REFUGIO ESPARZA REYES</t>
  </si>
  <si>
    <t>COLEGIO NACIONALE DE EDUCACION PROFESIONAL TECNICA PLANTEL J REFUGIO ESPARZA REYES</t>
  </si>
  <si>
    <t>ULOZANOD.ADM@AGS.CONALEP.EDU.MX</t>
  </si>
  <si>
    <t>SECRETARIA DE EDUCACION PUBLICA</t>
  </si>
  <si>
    <t>COLEGIO LATINOAMERICANO JUVENTUD</t>
  </si>
  <si>
    <t>CENTRO EDUCATIVO JUVENTUD SC</t>
  </si>
  <si>
    <t>JM_ESPITIA@HOTMAIL.COM</t>
  </si>
  <si>
    <t>CONAMAT</t>
  </si>
  <si>
    <t>INSTITUTO EDUCATIVO AGUASCALIENTES SC</t>
  </si>
  <si>
    <t>ESCUELA PREPARATORIA JOSE MARIA MORELOS Y PAVlN</t>
  </si>
  <si>
    <t>CENTRO EDUCATIVO JOSE MARIA MORELOS Y PAVON SC</t>
  </si>
  <si>
    <t>PREPAMORELOS2012@HOTMAIL.COM</t>
  </si>
  <si>
    <t>COLEGIO TECNOLOGICO ALEXANDER HAMILTON</t>
  </si>
  <si>
    <t>COLEGIO TECNOLOGICO ALEXANDER HAMILTON AC</t>
  </si>
  <si>
    <t>CENTRO DE BACHILLERATO TECNICO EN COMPUTACIcN CBTC</t>
  </si>
  <si>
    <t>WWW.BCTC.MX</t>
  </si>
  <si>
    <t>INSTITUTO SUPERIOR DE MATEMATICAS DE AGUASCALIENTES</t>
  </si>
  <si>
    <t>INSTITUTO SUPERIOR DE MATEMATICAS DE AGUASCALIENTES SC</t>
  </si>
  <si>
    <t>INSUMA01@HOTMAIL.COM</t>
  </si>
  <si>
    <t>COLEGIO DEL ARTE Y LAS CIENCIAS</t>
  </si>
  <si>
    <t>COLEGIO DEL ARTE Y LA CIENCIAS AC</t>
  </si>
  <si>
    <t>CENTRO DE ENSE0ANZA FRANCISCO I MADERO</t>
  </si>
  <si>
    <t>CENTRO DE ENSE0ANZA FRANCISCO I MADERO AC</t>
  </si>
  <si>
    <t>INSTITUTO TECNOLOGICO ROOSEVELT</t>
  </si>
  <si>
    <t>PRO EXCELSIS ACTUALIZACION PROFESIONAL SC</t>
  </si>
  <si>
    <t>TECNOLOGICO.ROOSEVELT.AGS@GMAIL.COM</t>
  </si>
  <si>
    <t>PREPARATORIA LAS AMERICAS</t>
  </si>
  <si>
    <t>ASOCIACION LAS AMERICAS PARA LA CULTURA LA CAPACITACION Y LA EDUCACION MEDIA SC</t>
  </si>
  <si>
    <t>COBRANZAAMERICAS@GMAIL.COM</t>
  </si>
  <si>
    <t>WWW.PREPARATORIALASAMERICAS.EDU.MX</t>
  </si>
  <si>
    <t>CENTRO DE BACHILLERATO TECNOLOGICO INDUSTRIAL Y DE SERVICIOS 283</t>
  </si>
  <si>
    <t>DIRECCION GENERAL DE EDUCACION TECNOLIGICA INDUSTRIAL</t>
  </si>
  <si>
    <t>CBTIS283.DIR@UESMSTINS.CEMS.GOB.MX</t>
  </si>
  <si>
    <t>CENTRO DE ESTUDIOS DE BACHILLERATO 8 4 FRIDA KAHLO</t>
  </si>
  <si>
    <t>CBTIS 284</t>
  </si>
  <si>
    <t>01DCT0284C BACHILLERATO TECNOLOGICO INDUSTRIAL Y DE SERVICIOS</t>
  </si>
  <si>
    <t>CBTIS 283</t>
  </si>
  <si>
    <t>CECYT NO12 MIRADOR DE LAS CULTURAS</t>
  </si>
  <si>
    <t>COLEGIO DE ESTUDIOS CIENTIFICOS Y TECNOLOGICOS DEL ESTADO DE AGUASCALIENTES</t>
  </si>
  <si>
    <t>CENTRO DE EDUCACION MEDIA SUPERIOR A DISTANCIO EL CEDAZO</t>
  </si>
  <si>
    <t>LABORATORIO ESPACIO COMUN DE EDUCACION MEDIA SUPERIOR DEL ESTADO  ECEMS</t>
  </si>
  <si>
    <t>LABORATORIO ESPACIO COMUN DE EDUCACION MEDIA SUPERIOR DEL ESTADO  ECEMS - IEA</t>
  </si>
  <si>
    <t>WWW.EDUCACIONMEDIA.IEA.EDU.MX</t>
  </si>
  <si>
    <t>PREPARATORIA ABIERTA</t>
  </si>
  <si>
    <t>INSTITUTO DE EDUCACCION DE AGUASCALIENTE</t>
  </si>
  <si>
    <t>CENTRO DE ESTUDIOS DE BACHILLERATO 8-5 EZEQUIEL A CHAVEZ</t>
  </si>
  <si>
    <t>DIRECCION85@DGB.EMA.IL</t>
  </si>
  <si>
    <t>CENTRO DE ESTUDIOS TECNOLOGICOS INDUSTRAL Y DE SERVICIOS NO 155</t>
  </si>
  <si>
    <t>CETISNO155@HOTMAIL.COM</t>
  </si>
  <si>
    <t>TULLM</t>
  </si>
  <si>
    <t>CENTRO DE BACHILLERATO TECNOLOGICO INDUSTRIAL Y DE SERVICIOS 195 UEMSTIS</t>
  </si>
  <si>
    <t>UEMSTIS.SEMS INSTITUTO .D EDUCACION .D AGUASCALIENTES</t>
  </si>
  <si>
    <t>CBETIS195.DIR@UEMSTIS.SEMS.GOB.MX</t>
  </si>
  <si>
    <t>WWW.CBTIS195.EDU.MX</t>
  </si>
  <si>
    <t>RED UNIVERCOM ALIAT UNIVERSIDADES</t>
  </si>
  <si>
    <t>Balnearios</t>
  </si>
  <si>
    <t>Paseo de la Alameda</t>
  </si>
  <si>
    <t>CBTIS 195 TV</t>
  </si>
  <si>
    <t>CBTIS 195 DOLORES JIMENEZ Y MURO</t>
  </si>
  <si>
    <t>CENTRO DE EDUCACION MEDIA PLANTEL ORIENTE DE LA UNIVERSIDAD AUTONOMA DE AGUASCALIENTES</t>
  </si>
  <si>
    <t>BACHILLERATO LIC JESUS REYES HEROLES</t>
  </si>
  <si>
    <t>DIRECCION GENERAL DE BACHILLERATOS</t>
  </si>
  <si>
    <t>CEB_51@SEP.GOB.MX</t>
  </si>
  <si>
    <t>PREPARATORIA LIC BENITO JUAREZ</t>
  </si>
  <si>
    <t>PATRONATO DE LA ESC PREPARATORIA FED POR COOPERACION LIC BENITO JUAREZ AC</t>
  </si>
  <si>
    <t>AVENIDA DE LA CONVENCImN ORIENTE</t>
  </si>
  <si>
    <t>CAJA-PREFECO231@HOTMAIL.COM</t>
  </si>
  <si>
    <t>CONALEP PLANTEL AGUASCALIENTES II</t>
  </si>
  <si>
    <t>CEPTEA</t>
  </si>
  <si>
    <t>CFLOTAQ@AGS.CONALEP.EDU.MX</t>
  </si>
  <si>
    <t>TELEBACHILLERATO COMUNITARIO ARELLANO</t>
  </si>
  <si>
    <t>01ETK0085L@IEA.EDU.MX</t>
  </si>
  <si>
    <t>COLEGIO DE EDUCACION PROFECIONAL TECNICA DEL ESTADO DE AGUASCALIENTES PLANTEL AGUASCALIENTES 3</t>
  </si>
  <si>
    <t>COLEGIO DE EDUCACION PROFECIONAL TECNICA DEL ESTADO DE AGUASCALIENTES</t>
  </si>
  <si>
    <t>CENTRO DE ESTUDIOS TECNOLOGICOS EN AGUAS CONTINENTALES GRAL FELIPE DE JESUS ANGELES</t>
  </si>
  <si>
    <t>AGS.CETAC05.DIRECCION@UEMSTAYCM.SEMS.GOB.MX</t>
  </si>
  <si>
    <t>CONALEP 4 AGUASCALIENTES TURNO MATUTINO</t>
  </si>
  <si>
    <t>CBTIS 281 TURNO VESPERTINO</t>
  </si>
  <si>
    <t>CBTIS 281 TURNO MATUTINO</t>
  </si>
  <si>
    <t>CENTRO DE ESTUDIOS DE BACHILLERATO AGUASCALIENTES</t>
  </si>
  <si>
    <t>ceb_61@sep.gob.mx</t>
  </si>
  <si>
    <t>WWW.EDUCACIONMEDIA-AGS.MX</t>
  </si>
  <si>
    <t>INSTITUTO TECNICO EN ELECTRONICA Y MECATRONICA</t>
  </si>
  <si>
    <t>RECEPCION@CIDEN.MX</t>
  </si>
  <si>
    <t>WWW.ICIDEM.MX</t>
  </si>
  <si>
    <t>CENTRO DE ASESORIA EDUCATIVA MONTE AZUL</t>
  </si>
  <si>
    <t>MONTEAZUL.PREPA@GMAIL.COM</t>
  </si>
  <si>
    <t>BACHILLERATO LEONARDO MURIALDO</t>
  </si>
  <si>
    <t>MURIALDO AC</t>
  </si>
  <si>
    <t>BACHILLERATOLM@HOTMAIL.COM</t>
  </si>
  <si>
    <t>TELEBACHILLERATO COMUNITARIO POCITOS</t>
  </si>
  <si>
    <t>BACHILLERATO EN ARTE Y HUMANIDADES JOSE GUADALUPE POSADA</t>
  </si>
  <si>
    <t>GOBIERNO DEL ESTADO DE AGUASCAIENTES</t>
  </si>
  <si>
    <t>PREPARATORIA MARSELLA</t>
  </si>
  <si>
    <t>GRUPO ALCALA PARA LA EDUCACION BASICA MEDIA Y SUPERIOR AC</t>
  </si>
  <si>
    <t>PREPARATORIAMARSELLA@HOTMAIL.COM</t>
  </si>
  <si>
    <t>Escuelas de educacion media superior del sector privado</t>
  </si>
  <si>
    <t>Escuelas de educacion media superior del sector publico</t>
  </si>
  <si>
    <t>Escuelas de educacion media tecnica terminal del sector privado</t>
  </si>
  <si>
    <t>LA CLASIFICACIÓN DE ELEMENTOS ESTÁ BASADA EN EL SISTEMA NORMATIVO DE EQUIPAMIENTO URBANO DE LA SEDESOL FEDERAL, SUBSISTEMA EDUCACIÓN. LA INTEGRACIÓN FUE REALIZADA POR EL IMPLAN CON INFORMACIÓN DEL DIRECTORIO ESTADISTICO NACIONAL DE UNIDADES ECONOMICAS (INEGI)</t>
  </si>
  <si>
    <t>BACHILLERATO COMUNITARIO PEÑUELAS</t>
  </si>
  <si>
    <t>CVE (1-70)</t>
  </si>
  <si>
    <t>UBICACIÓN DE SITIOS DE ESCUELAS MEDIA SUPERIOR</t>
  </si>
  <si>
    <t>EU_ MEDIA SUPERIOR</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</si>
</sst>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
    <numFmt numFmtId="165" formatCode="0.0000"/>
  </numFmts>
  <fonts count="10">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1" fontId="0" fillId="0" borderId="0" xfId="0" applyNumberFormat="1" applyAlignment="1">
      <alignment horizontal="center" vertical="center"/>
    </xf>
    <xf numFmtId="165" fontId="0" fillId="0" borderId="0" xfId="0" applyNumberFormat="1" applyAlignment="1">
      <alignment horizontal="center"/>
    </xf>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alignment horizontal="center" vertical="center" textRotation="0" wrapText="0" indent="0" justifyLastLine="0" shrinkToFit="0" readingOrder="0"/>
    </dxf>
    <dxf>
      <numFmt numFmtId="165" formatCode="0.0000"/>
      <alignment horizontal="center" vertical="center" textRotation="0" wrapText="0" indent="0" justifyLastLine="0" shrinkToFit="0" readingOrder="0"/>
    </dxf>
    <dxf>
      <numFmt numFmtId="1" formatCode="0"/>
    </dxf>
    <dxf>
      <numFmt numFmtId="1" formatCode="0"/>
    </dxf>
    <dxf>
      <numFmt numFmtId="1" formatCode="0"/>
    </dxf>
    <dxf>
      <numFmt numFmtId="1" formatCode="0"/>
    </dxf>
    <dxf>
      <numFmt numFmtId="1" formatCode="0"/>
    </dxf>
    <dxf>
      <numFmt numFmtId="164" formatCode="0.00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alignment horizontal="center" vertical="center" textRotation="0" wrapText="0" indent="0" justifyLastLine="0" shrinkToFit="0" readingOrder="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112059</xdr:colOff>
      <xdr:row>0</xdr:row>
      <xdr:rowOff>134470</xdr:rowOff>
    </xdr:from>
    <xdr:to>
      <xdr:col>2</xdr:col>
      <xdr:colOff>5093859</xdr:colOff>
      <xdr:row>1</xdr:row>
      <xdr:rowOff>537883</xdr:rowOff>
    </xdr:to>
    <xdr:grpSp>
      <xdr:nvGrpSpPr>
        <xdr:cNvPr id="3" name="Grupo 2"/>
        <xdr:cNvGrpSpPr/>
      </xdr:nvGrpSpPr>
      <xdr:grpSpPr>
        <a:xfrm>
          <a:off x="257735" y="134470"/>
          <a:ext cx="7088506" cy="1042148"/>
          <a:chOff x="268941" y="179293"/>
          <a:chExt cx="7088506" cy="1042148"/>
        </a:xfrm>
      </xdr:grpSpPr>
      <xdr:pic>
        <xdr:nvPicPr>
          <xdr:cNvPr id="4" name="Imagen 3" descr="D:\DIRECCION INFORMACION ESTRATEGICA\LOGOS\2025\WhatsApp Image 2025-08-12 at 2.08.50 PM.jpe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8941" y="268942"/>
            <a:ext cx="2066925" cy="547370"/>
          </a:xfrm>
          <a:prstGeom prst="rect">
            <a:avLst/>
          </a:prstGeom>
          <a:noFill/>
          <a:ln>
            <a:noFill/>
          </a:ln>
        </xdr:spPr>
      </xdr:pic>
      <xdr:pic>
        <xdr:nvPicPr>
          <xdr:cNvPr id="5" name="Imagen 4" descr="D:\DIRECCION INFORMACION ESTRATEGICA\LOGOS\2025\WhatsApp Image 2025-08-12 at 2.10.00 PM.jpeg"/>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rightnessContrast contrast="40000"/>
                    </a14:imgEffect>
                  </a14:imgLayer>
                </a14:imgProps>
              </a:ext>
              <a:ext uri="{28A0092B-C50C-407E-A947-70E740481C1C}">
                <a14:useLocalDpi xmlns:a14="http://schemas.microsoft.com/office/drawing/2010/main" val="0"/>
              </a:ext>
            </a:extLst>
          </a:blip>
          <a:srcRect/>
          <a:stretch>
            <a:fillRect/>
          </a:stretch>
        </xdr:blipFill>
        <xdr:spPr bwMode="auto">
          <a:xfrm>
            <a:off x="4022913" y="179293"/>
            <a:ext cx="3334534" cy="1042148"/>
          </a:xfrm>
          <a:prstGeom prst="rect">
            <a:avLst/>
          </a:prstGeom>
          <a:noFill/>
          <a:ln>
            <a:noFill/>
          </a:ln>
        </xdr:spPr>
      </xdr:pic>
    </xdr:grpSp>
    <xdr:clientData/>
  </xdr:twoCellAnchor>
</xdr:wsDr>
</file>

<file path=xl/tables/table1.xml><?xml version="1.0" encoding="utf-8"?>
<table xmlns="http://schemas.openxmlformats.org/spreadsheetml/2006/main" id="1" name="ABASTO" displayName="ABASTO" ref="A1:AB71" totalsRowShown="0" headerRowDxfId="28">
  <autoFilter ref="A1:AB71"/>
  <tableColumns count="28">
    <tableColumn id="1" name="CVE" dataDxfId="27"/>
    <tableColumn id="2" name="CVE_ACT" dataDxfId="26"/>
    <tableColumn id="3" name="TIPO_ACTIV" dataDxfId="25"/>
    <tableColumn id="4" name="PUB_O_PRIV" dataDxfId="24"/>
    <tableColumn id="5" name="NOMBRE_EST" dataDxfId="23"/>
    <tableColumn id="6" name="NOMBRE_ACT" dataDxfId="22"/>
    <tableColumn id="7" name="RAZ_SOC" dataDxfId="21"/>
    <tableColumn id="8" name="TIP_ASEN" dataDxfId="20"/>
    <tableColumn id="9" name="COD_POST" dataDxfId="19"/>
    <tableColumn id="10" name="TIP_U_EC" dataDxfId="18"/>
    <tableColumn id="11" name="per_ocu" dataDxfId="17"/>
    <tableColumn id="12" name="tipo_vial" dataDxfId="16"/>
    <tableColumn id="13" name="nom_vial" dataDxfId="15"/>
    <tableColumn id="14" name="tipo_v_e_1" dataDxfId="14"/>
    <tableColumn id="15" name="nom_v_e_1" dataDxfId="13"/>
    <tableColumn id="16" name="tipo_v_e_2" dataDxfId="12"/>
    <tableColumn id="17" name="nom_v_e_2" dataDxfId="11"/>
    <tableColumn id="18" name="tipo_v_e_3" dataDxfId="10"/>
    <tableColumn id="19" name="nom_v_e_3" dataDxfId="9"/>
    <tableColumn id="20" name="numero_ext" dataDxfId="8"/>
    <tableColumn id="21" name="telefono" dataDxfId="7"/>
    <tableColumn id="22" name="correoelec" dataDxfId="6"/>
    <tableColumn id="23" name="www" dataDxfId="5"/>
    <tableColumn id="24" name="fecha_alta" dataDxfId="4"/>
    <tableColumn id="25" name="DELEGACION" dataDxfId="3"/>
    <tableColumn id="26" name="ZUFO_REFOM" dataDxfId="2"/>
    <tableColumn id="27" name="X" dataDxfId="1"/>
    <tableColumn id="28"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abSelected="1" view="pageBreakPreview" zoomScale="85" zoomScaleNormal="85" zoomScaleSheetLayoutView="85" workbookViewId="0">
      <selection activeCell="F2" sqref="F2"/>
    </sheetView>
  </sheetViews>
  <sheetFormatPr baseColWidth="10" defaultRowHeight="1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c r="B1" s="32"/>
      <c r="C1" s="32"/>
    </row>
    <row r="2" spans="2:4" ht="50.25" customHeight="1" thickBot="1">
      <c r="B2" s="32"/>
      <c r="C2" s="32"/>
    </row>
    <row r="3" spans="2:4" ht="18.75" thickBot="1">
      <c r="B3" s="33" t="s">
        <v>495</v>
      </c>
      <c r="C3" s="34"/>
    </row>
    <row r="4" spans="2:4">
      <c r="B4" s="8"/>
      <c r="C4" s="8"/>
    </row>
    <row r="5" spans="2:4" ht="15.75">
      <c r="B5" s="35" t="s">
        <v>0</v>
      </c>
      <c r="C5" s="35"/>
      <c r="D5" s="9"/>
    </row>
    <row r="6" spans="2:4">
      <c r="B6" s="10" t="s">
        <v>2</v>
      </c>
      <c r="C6" s="11" t="s">
        <v>496</v>
      </c>
    </row>
    <row r="7" spans="2:4" ht="24.75" customHeight="1">
      <c r="B7" s="10" t="s">
        <v>3</v>
      </c>
      <c r="C7" s="12" t="s">
        <v>1</v>
      </c>
    </row>
    <row r="8" spans="2:4">
      <c r="B8" s="10" t="s">
        <v>4</v>
      </c>
      <c r="C8" s="11" t="s">
        <v>5</v>
      </c>
    </row>
    <row r="9" spans="2:4">
      <c r="B9" s="10" t="s">
        <v>6</v>
      </c>
      <c r="C9" s="11" t="s">
        <v>7</v>
      </c>
    </row>
    <row r="10" spans="2:4">
      <c r="B10" s="10" t="s">
        <v>8</v>
      </c>
      <c r="C10" s="11" t="s">
        <v>267</v>
      </c>
    </row>
    <row r="11" spans="2:4">
      <c r="B11" s="10" t="s">
        <v>9</v>
      </c>
      <c r="C11" s="11" t="s">
        <v>266</v>
      </c>
    </row>
    <row r="12" spans="2:4">
      <c r="B12" s="10" t="s">
        <v>10</v>
      </c>
      <c r="C12" s="11" t="s">
        <v>11</v>
      </c>
    </row>
    <row r="13" spans="2:4" ht="39">
      <c r="B13" s="13" t="s">
        <v>12</v>
      </c>
      <c r="C13" s="12" t="s">
        <v>492</v>
      </c>
    </row>
    <row r="14" spans="2:4">
      <c r="B14" s="8"/>
      <c r="C14" s="8"/>
    </row>
    <row r="15" spans="2:4" ht="16.5" thickBot="1">
      <c r="B15" s="35" t="s">
        <v>13</v>
      </c>
      <c r="C15" s="35"/>
    </row>
    <row r="16" spans="2:4" ht="18">
      <c r="B16" s="14" t="s">
        <v>14</v>
      </c>
      <c r="C16" s="15" t="s">
        <v>15</v>
      </c>
    </row>
    <row r="17" spans="2:12">
      <c r="B17" s="1" t="s">
        <v>16</v>
      </c>
      <c r="C17" s="2" t="s">
        <v>226</v>
      </c>
    </row>
    <row r="18" spans="2:12">
      <c r="B18" s="1" t="s">
        <v>17</v>
      </c>
      <c r="C18" s="3" t="s">
        <v>226</v>
      </c>
      <c r="G18"/>
      <c r="H18"/>
      <c r="I18"/>
      <c r="J18"/>
      <c r="K18"/>
    </row>
    <row r="19" spans="2:12">
      <c r="B19" s="1" t="s">
        <v>18</v>
      </c>
      <c r="C19" s="3" t="str">
        <f>VLOOKUP($C$21,ABASTO[#All],25,FALSE)</f>
        <v>POCITOS</v>
      </c>
      <c r="G19" s="23"/>
      <c r="H19" s="23"/>
      <c r="I19" s="24"/>
      <c r="J19" s="24"/>
      <c r="K19" s="25"/>
      <c r="L19" s="16"/>
    </row>
    <row r="20" spans="2:12">
      <c r="B20" s="1" t="s">
        <v>268</v>
      </c>
      <c r="C20" s="3" t="str">
        <f>VLOOKUP($C$21,ABASTO[#All],26,FALSE)</f>
        <v>(ZUFO)-UNIVERSIDAD</v>
      </c>
      <c r="G20" s="25"/>
      <c r="H20" s="16"/>
      <c r="I20" s="25"/>
      <c r="J20" s="25"/>
      <c r="K20" s="25"/>
      <c r="L20" s="16"/>
    </row>
    <row r="21" spans="2:12" ht="19.5">
      <c r="B21" s="26" t="s">
        <v>494</v>
      </c>
      <c r="C21" s="27">
        <v>70</v>
      </c>
      <c r="G21" s="25"/>
      <c r="H21" s="25"/>
      <c r="I21" s="25"/>
      <c r="J21" s="25"/>
      <c r="K21" s="25"/>
      <c r="L21" s="16"/>
    </row>
    <row r="22" spans="2:12">
      <c r="B22" s="1" t="s">
        <v>269</v>
      </c>
      <c r="C22" s="21" t="str">
        <f>VLOOKUP($C$21,ABASTO[#All],5,FALSE)</f>
        <v>PREPARATORIA MARSELLA</v>
      </c>
      <c r="G22"/>
      <c r="H22"/>
      <c r="I22"/>
      <c r="J22"/>
      <c r="K22"/>
    </row>
    <row r="23" spans="2:12">
      <c r="B23" s="4" t="s">
        <v>270</v>
      </c>
      <c r="C23" s="21" t="str">
        <f>VLOOKUP($C$21,ABASTO[#All],6,FALSE)</f>
        <v>Escuelas de educacion media superior del sector privado</v>
      </c>
    </row>
    <row r="24" spans="2:12">
      <c r="B24" s="1" t="s">
        <v>19</v>
      </c>
      <c r="C24" s="21">
        <f>VLOOKUP($C$21,ABASTO[#All],2,FALSE)</f>
        <v>611161</v>
      </c>
    </row>
    <row r="25" spans="2:12">
      <c r="B25" s="5" t="s">
        <v>271</v>
      </c>
      <c r="C25" s="21" t="str">
        <f>VLOOKUP($C$21,ABASTO[#All],4,FALSE)</f>
        <v>PRIVADO</v>
      </c>
    </row>
    <row r="26" spans="2:12">
      <c r="B26" s="1" t="s">
        <v>272</v>
      </c>
      <c r="C26" s="21" t="str">
        <f>VLOOKUP($C$21,ABASTO[#All],11,FALSE)</f>
        <v>11 a 30 personas</v>
      </c>
    </row>
    <row r="27" spans="2:12">
      <c r="B27" s="4" t="s">
        <v>273</v>
      </c>
      <c r="C27" s="21" t="str">
        <f>VLOOKUP($C$21,ABASTO[#All],8,FALSE)</f>
        <v>FRACCIONAMIENTO</v>
      </c>
    </row>
    <row r="28" spans="2:12">
      <c r="B28" s="1" t="s">
        <v>275</v>
      </c>
      <c r="C28" s="21" t="str">
        <f>VLOOKUP($C$21,ABASTO[#All],13,FALSE)</f>
        <v>GUADALUPE GONZALEZ</v>
      </c>
    </row>
    <row r="29" spans="2:12">
      <c r="B29" s="1" t="s">
        <v>274</v>
      </c>
      <c r="C29" s="21" t="str">
        <f>VLOOKUP($C$21,ABASTO[#All],12,FALSE)</f>
        <v>AVENIDA</v>
      </c>
    </row>
    <row r="30" spans="2:12">
      <c r="B30" s="4" t="s">
        <v>276</v>
      </c>
      <c r="C30" s="21" t="str">
        <f>VLOOKUP($C$21,ABASTO[#All],22,FALSE)</f>
        <v>PREPARATORIAMARSELLA@HOTMAIL.COM</v>
      </c>
    </row>
    <row r="31" spans="2:12">
      <c r="B31" s="1" t="s">
        <v>21</v>
      </c>
      <c r="C31" s="21">
        <f>VLOOKUP($C$21,ABASTO[#All],20,FALSE)</f>
        <v>0</v>
      </c>
    </row>
    <row r="32" spans="2:12">
      <c r="B32" s="4" t="s">
        <v>24</v>
      </c>
      <c r="C32" s="21">
        <f>VLOOKUP($C$21,ABASTO[#All],21,FALSE)</f>
        <v>4499968040</v>
      </c>
    </row>
    <row r="33" spans="1:3">
      <c r="B33" s="1" t="s">
        <v>22</v>
      </c>
      <c r="C33" s="21">
        <f>VLOOKUP($C$21,ABASTO[#All],27,FALSE)</f>
        <v>777221.87698299997</v>
      </c>
    </row>
    <row r="34" spans="1:3" ht="15.75" thickBot="1">
      <c r="B34" s="6" t="s">
        <v>23</v>
      </c>
      <c r="C34" s="21">
        <f>VLOOKUP($C$21,ABASTO[#All],28,FALSE)</f>
        <v>2425221.4920899998</v>
      </c>
    </row>
    <row r="37" spans="1:3">
      <c r="A37" s="16"/>
      <c r="B37" s="16"/>
      <c r="C37" s="16"/>
    </row>
    <row r="38" spans="1:3">
      <c r="A38" s="16"/>
      <c r="B38" s="22"/>
      <c r="C38" s="16"/>
    </row>
    <row r="39" spans="1:3">
      <c r="A39" s="16"/>
      <c r="B39" s="16"/>
      <c r="C39" s="16"/>
    </row>
    <row r="40" spans="1:3">
      <c r="A40" s="16"/>
      <c r="B40" s="16"/>
      <c r="C40" s="16"/>
    </row>
  </sheetData>
  <dataConsolidate/>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'BASE DE DATOS_EDU_MEDIA SUPERIO'!$A$2:$A$71</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71"/>
  <sheetViews>
    <sheetView topLeftCell="A36" zoomScale="85" zoomScaleNormal="85" workbookViewId="0">
      <selection activeCell="E78" sqref="E78"/>
    </sheetView>
  </sheetViews>
  <sheetFormatPr baseColWidth="10" defaultRowHeight="15"/>
  <cols>
    <col min="1" max="1" width="6.42578125" style="17" customWidth="1"/>
    <col min="2" max="2" width="10.5703125" style="17" customWidth="1"/>
    <col min="3" max="3" width="17.7109375" style="17" bestFit="1"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c r="A1" s="19" t="s">
        <v>265</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c r="A2" s="30">
        <v>1</v>
      </c>
      <c r="B2" s="17">
        <v>611162</v>
      </c>
      <c r="C2" s="17" t="s">
        <v>206</v>
      </c>
      <c r="D2" s="17" t="s">
        <v>319</v>
      </c>
      <c r="E2" s="17" t="s">
        <v>325</v>
      </c>
      <c r="F2" s="17" t="s">
        <v>490</v>
      </c>
      <c r="G2" s="17" t="s">
        <v>326</v>
      </c>
      <c r="H2" s="17" t="s">
        <v>74</v>
      </c>
      <c r="I2" s="17">
        <v>20384</v>
      </c>
      <c r="J2" s="17" t="s">
        <v>54</v>
      </c>
      <c r="K2" s="17" t="s">
        <v>55</v>
      </c>
      <c r="L2" s="17" t="s">
        <v>20</v>
      </c>
      <c r="M2" s="17" t="s">
        <v>278</v>
      </c>
      <c r="N2" s="17" t="s">
        <v>20</v>
      </c>
      <c r="O2" s="17" t="s">
        <v>78</v>
      </c>
      <c r="P2" s="17" t="s">
        <v>20</v>
      </c>
      <c r="Q2" s="17" t="s">
        <v>78</v>
      </c>
      <c r="R2" s="17" t="s">
        <v>20</v>
      </c>
      <c r="S2" s="17" t="s">
        <v>279</v>
      </c>
      <c r="T2" s="17">
        <v>0</v>
      </c>
      <c r="U2" s="18">
        <v>4492830870</v>
      </c>
      <c r="X2" s="17" t="s">
        <v>59</v>
      </c>
      <c r="Y2" s="17" t="s">
        <v>320</v>
      </c>
      <c r="Z2" s="17" t="s">
        <v>61</v>
      </c>
      <c r="AA2" s="31">
        <v>788869.47988100001</v>
      </c>
      <c r="AB2" s="31">
        <v>2420654.2100999998</v>
      </c>
    </row>
    <row r="3" spans="1:28">
      <c r="A3" s="30">
        <v>2</v>
      </c>
      <c r="B3" s="17">
        <v>611162</v>
      </c>
      <c r="C3" s="17" t="s">
        <v>206</v>
      </c>
      <c r="D3" s="17" t="s">
        <v>319</v>
      </c>
      <c r="E3" s="17" t="s">
        <v>328</v>
      </c>
      <c r="F3" s="17" t="s">
        <v>490</v>
      </c>
      <c r="G3" s="17" t="s">
        <v>324</v>
      </c>
      <c r="H3" s="17" t="s">
        <v>66</v>
      </c>
      <c r="I3" s="17">
        <v>20320</v>
      </c>
      <c r="J3" s="17" t="s">
        <v>54</v>
      </c>
      <c r="K3" s="17" t="s">
        <v>70</v>
      </c>
      <c r="L3" s="17" t="s">
        <v>20</v>
      </c>
      <c r="M3" s="17" t="s">
        <v>58</v>
      </c>
      <c r="N3" s="17" t="s">
        <v>84</v>
      </c>
      <c r="O3" s="17" t="s">
        <v>78</v>
      </c>
      <c r="Q3" s="17" t="s">
        <v>58</v>
      </c>
      <c r="R3" s="17" t="s">
        <v>56</v>
      </c>
      <c r="S3" s="17" t="s">
        <v>280</v>
      </c>
      <c r="T3" s="17">
        <v>701</v>
      </c>
      <c r="U3" s="18">
        <v>0</v>
      </c>
      <c r="X3" s="17" t="s">
        <v>63</v>
      </c>
      <c r="Y3" s="17" t="s">
        <v>320</v>
      </c>
      <c r="Z3" s="17" t="s">
        <v>321</v>
      </c>
      <c r="AA3" s="31">
        <v>788236.14647599997</v>
      </c>
      <c r="AB3" s="31">
        <v>2434858.5464599999</v>
      </c>
    </row>
    <row r="4" spans="1:28">
      <c r="A4" s="30">
        <v>3</v>
      </c>
      <c r="B4" s="17">
        <v>611162</v>
      </c>
      <c r="C4" s="17" t="s">
        <v>206</v>
      </c>
      <c r="D4" s="17" t="s">
        <v>319</v>
      </c>
      <c r="E4" s="17" t="s">
        <v>331</v>
      </c>
      <c r="F4" s="17" t="s">
        <v>490</v>
      </c>
      <c r="G4" s="17" t="s">
        <v>150</v>
      </c>
      <c r="H4" s="17" t="s">
        <v>85</v>
      </c>
      <c r="I4" s="17">
        <v>20394</v>
      </c>
      <c r="J4" s="17" t="s">
        <v>54</v>
      </c>
      <c r="K4" s="17" t="s">
        <v>55</v>
      </c>
      <c r="L4" s="17" t="s">
        <v>20</v>
      </c>
      <c r="M4" s="17" t="s">
        <v>86</v>
      </c>
      <c r="O4" s="17" t="s">
        <v>58</v>
      </c>
      <c r="P4" s="17" t="s">
        <v>20</v>
      </c>
      <c r="Q4" s="17" t="s">
        <v>281</v>
      </c>
      <c r="S4" s="17" t="s">
        <v>58</v>
      </c>
      <c r="T4" s="17">
        <v>101</v>
      </c>
      <c r="U4" s="18">
        <v>4492649904</v>
      </c>
      <c r="X4" s="17" t="s">
        <v>59</v>
      </c>
      <c r="Y4" s="17" t="s">
        <v>60</v>
      </c>
      <c r="Z4" s="17" t="s">
        <v>322</v>
      </c>
      <c r="AA4" s="31">
        <v>785725.01726899995</v>
      </c>
      <c r="AB4" s="31">
        <v>2411458.1461399999</v>
      </c>
    </row>
    <row r="5" spans="1:28">
      <c r="A5" s="30">
        <v>4</v>
      </c>
      <c r="B5" s="17">
        <v>611162</v>
      </c>
      <c r="C5" s="17" t="s">
        <v>206</v>
      </c>
      <c r="D5" s="17" t="s">
        <v>319</v>
      </c>
      <c r="E5" s="17" t="s">
        <v>332</v>
      </c>
      <c r="F5" s="17" t="s">
        <v>490</v>
      </c>
      <c r="G5" s="17" t="s">
        <v>329</v>
      </c>
      <c r="H5" s="17" t="s">
        <v>85</v>
      </c>
      <c r="I5" s="17">
        <v>20340</v>
      </c>
      <c r="J5" s="17" t="s">
        <v>54</v>
      </c>
      <c r="K5" s="17" t="s">
        <v>55</v>
      </c>
      <c r="L5" s="17" t="s">
        <v>20</v>
      </c>
      <c r="M5" s="17" t="s">
        <v>88</v>
      </c>
      <c r="N5" s="17" t="s">
        <v>20</v>
      </c>
      <c r="O5" s="17" t="s">
        <v>87</v>
      </c>
      <c r="P5" s="17" t="s">
        <v>20</v>
      </c>
      <c r="Q5" s="17" t="s">
        <v>58</v>
      </c>
      <c r="S5" s="17" t="s">
        <v>58</v>
      </c>
      <c r="T5" s="17">
        <v>0</v>
      </c>
      <c r="U5" s="18">
        <v>0</v>
      </c>
      <c r="V5" s="17" t="s">
        <v>333</v>
      </c>
      <c r="X5" s="17" t="s">
        <v>59</v>
      </c>
      <c r="Y5" s="17" t="s">
        <v>60</v>
      </c>
      <c r="Z5" s="17" t="s">
        <v>322</v>
      </c>
      <c r="AA5" s="31">
        <v>782611.79628999997</v>
      </c>
      <c r="AB5" s="31">
        <v>2408024.4416299998</v>
      </c>
    </row>
    <row r="6" spans="1:28">
      <c r="A6" s="30">
        <v>5</v>
      </c>
      <c r="B6" s="17">
        <v>611162</v>
      </c>
      <c r="C6" s="17" t="s">
        <v>206</v>
      </c>
      <c r="D6" s="17" t="s">
        <v>319</v>
      </c>
      <c r="E6" s="17" t="s">
        <v>335</v>
      </c>
      <c r="F6" s="17" t="s">
        <v>490</v>
      </c>
      <c r="G6" s="17" t="s">
        <v>327</v>
      </c>
      <c r="H6" s="17" t="s">
        <v>85</v>
      </c>
      <c r="I6" s="17">
        <v>20340</v>
      </c>
      <c r="J6" s="17" t="s">
        <v>54</v>
      </c>
      <c r="K6" s="17" t="s">
        <v>70</v>
      </c>
      <c r="L6" s="17" t="s">
        <v>20</v>
      </c>
      <c r="M6" s="17" t="s">
        <v>58</v>
      </c>
      <c r="N6" s="17" t="s">
        <v>20</v>
      </c>
      <c r="O6" s="17" t="s">
        <v>58</v>
      </c>
      <c r="P6" s="17" t="s">
        <v>20</v>
      </c>
      <c r="Q6" s="17" t="s">
        <v>283</v>
      </c>
      <c r="R6" s="17" t="s">
        <v>20</v>
      </c>
      <c r="S6" s="17" t="s">
        <v>92</v>
      </c>
      <c r="T6" s="17">
        <v>0</v>
      </c>
      <c r="U6" s="18">
        <v>0</v>
      </c>
      <c r="V6" s="17" t="s">
        <v>336</v>
      </c>
      <c r="X6" s="17" t="s">
        <v>59</v>
      </c>
      <c r="Y6" s="17" t="s">
        <v>323</v>
      </c>
      <c r="Z6" s="17" t="s">
        <v>322</v>
      </c>
      <c r="AA6" s="31">
        <v>782100.16620700003</v>
      </c>
      <c r="AB6" s="31">
        <v>2405270.8171999999</v>
      </c>
    </row>
    <row r="7" spans="1:28">
      <c r="A7" s="30">
        <v>6</v>
      </c>
      <c r="B7" s="17">
        <v>611162</v>
      </c>
      <c r="C7" s="17" t="s">
        <v>206</v>
      </c>
      <c r="D7" s="17" t="s">
        <v>319</v>
      </c>
      <c r="E7" s="17" t="s">
        <v>493</v>
      </c>
      <c r="F7" s="17" t="s">
        <v>490</v>
      </c>
      <c r="G7" s="17" t="s">
        <v>493</v>
      </c>
      <c r="H7" s="17" t="s">
        <v>85</v>
      </c>
      <c r="I7" s="17">
        <v>20340</v>
      </c>
      <c r="J7" s="17" t="s">
        <v>54</v>
      </c>
      <c r="K7" s="17" t="s">
        <v>62</v>
      </c>
      <c r="L7" s="17" t="s">
        <v>20</v>
      </c>
      <c r="M7" s="17" t="s">
        <v>80</v>
      </c>
      <c r="N7" s="17" t="s">
        <v>20</v>
      </c>
      <c r="O7" s="17" t="s">
        <v>67</v>
      </c>
      <c r="P7" s="17" t="s">
        <v>20</v>
      </c>
      <c r="Q7" s="17" t="s">
        <v>68</v>
      </c>
      <c r="R7" s="17" t="s">
        <v>20</v>
      </c>
      <c r="S7" s="17" t="s">
        <v>282</v>
      </c>
      <c r="T7" s="17">
        <v>0</v>
      </c>
      <c r="U7" s="18">
        <v>0</v>
      </c>
      <c r="V7" s="17" t="s">
        <v>337</v>
      </c>
      <c r="X7" s="17" t="s">
        <v>59</v>
      </c>
      <c r="Y7" s="17" t="s">
        <v>323</v>
      </c>
      <c r="Z7" s="17" t="s">
        <v>322</v>
      </c>
      <c r="AA7" s="31">
        <v>782113.29357600003</v>
      </c>
      <c r="AB7" s="31">
        <v>2404903.77189</v>
      </c>
    </row>
    <row r="8" spans="1:28">
      <c r="A8" s="30">
        <v>7</v>
      </c>
      <c r="B8" s="17">
        <v>611162</v>
      </c>
      <c r="C8" s="17" t="s">
        <v>206</v>
      </c>
      <c r="D8" s="17" t="s">
        <v>319</v>
      </c>
      <c r="E8" s="17" t="s">
        <v>338</v>
      </c>
      <c r="F8" s="17" t="s">
        <v>490</v>
      </c>
      <c r="G8" s="17" t="s">
        <v>396</v>
      </c>
      <c r="H8" s="17" t="s">
        <v>66</v>
      </c>
      <c r="I8" s="17">
        <v>20287</v>
      </c>
      <c r="J8" s="17" t="s">
        <v>54</v>
      </c>
      <c r="K8" s="17" t="s">
        <v>94</v>
      </c>
      <c r="L8" s="17" t="s">
        <v>20</v>
      </c>
      <c r="M8" s="17" t="s">
        <v>111</v>
      </c>
      <c r="N8" s="17" t="s">
        <v>20</v>
      </c>
      <c r="O8" s="17" t="s">
        <v>107</v>
      </c>
      <c r="P8" s="17" t="s">
        <v>20</v>
      </c>
      <c r="Q8" s="17" t="s">
        <v>112</v>
      </c>
      <c r="R8" s="17" t="s">
        <v>20</v>
      </c>
      <c r="S8" s="17" t="s">
        <v>284</v>
      </c>
      <c r="T8" s="17">
        <v>0</v>
      </c>
      <c r="U8" s="18">
        <v>0</v>
      </c>
      <c r="X8" s="17" t="s">
        <v>64</v>
      </c>
      <c r="Y8" s="17" t="s">
        <v>108</v>
      </c>
      <c r="Z8" s="17" t="s">
        <v>100</v>
      </c>
      <c r="AA8" s="31">
        <v>777858.52072200004</v>
      </c>
      <c r="AB8" s="31">
        <v>2418504.6647199998</v>
      </c>
    </row>
    <row r="9" spans="1:28">
      <c r="A9" s="30">
        <v>8</v>
      </c>
      <c r="B9" s="17">
        <v>611162</v>
      </c>
      <c r="C9" s="17" t="s">
        <v>206</v>
      </c>
      <c r="D9" s="17" t="s">
        <v>319</v>
      </c>
      <c r="E9" s="17" t="s">
        <v>339</v>
      </c>
      <c r="F9" s="17" t="s">
        <v>490</v>
      </c>
      <c r="G9" s="17" t="s">
        <v>396</v>
      </c>
      <c r="H9" s="17" t="s">
        <v>66</v>
      </c>
      <c r="I9" s="17">
        <v>20287</v>
      </c>
      <c r="J9" s="17" t="s">
        <v>54</v>
      </c>
      <c r="K9" s="17" t="s">
        <v>75</v>
      </c>
      <c r="L9" s="17" t="s">
        <v>20</v>
      </c>
      <c r="M9" s="17" t="s">
        <v>111</v>
      </c>
      <c r="N9" s="17" t="s">
        <v>20</v>
      </c>
      <c r="O9" s="17" t="s">
        <v>107</v>
      </c>
      <c r="P9" s="17" t="s">
        <v>20</v>
      </c>
      <c r="Q9" s="17" t="s">
        <v>112</v>
      </c>
      <c r="R9" s="17" t="s">
        <v>20</v>
      </c>
      <c r="S9" s="17" t="s">
        <v>284</v>
      </c>
      <c r="T9" s="17">
        <v>0</v>
      </c>
      <c r="U9" s="18">
        <v>4499136736</v>
      </c>
      <c r="X9" s="17" t="s">
        <v>64</v>
      </c>
      <c r="Y9" s="17" t="s">
        <v>108</v>
      </c>
      <c r="Z9" s="17" t="s">
        <v>100</v>
      </c>
      <c r="AA9" s="31">
        <v>777911.72962999996</v>
      </c>
      <c r="AB9" s="31">
        <v>2418487.3713699998</v>
      </c>
    </row>
    <row r="10" spans="1:28">
      <c r="A10" s="30">
        <v>9</v>
      </c>
      <c r="B10" s="17">
        <v>611161</v>
      </c>
      <c r="C10" s="17" t="s">
        <v>206</v>
      </c>
      <c r="D10" s="17" t="s">
        <v>52</v>
      </c>
      <c r="E10" s="17" t="s">
        <v>340</v>
      </c>
      <c r="F10" s="17" t="s">
        <v>489</v>
      </c>
      <c r="G10" s="17" t="s">
        <v>302</v>
      </c>
      <c r="H10" s="17" t="s">
        <v>82</v>
      </c>
      <c r="I10" s="17">
        <v>20206</v>
      </c>
      <c r="J10" s="17" t="s">
        <v>54</v>
      </c>
      <c r="K10" s="17" t="s">
        <v>70</v>
      </c>
      <c r="L10" s="17" t="s">
        <v>20</v>
      </c>
      <c r="M10" s="17" t="s">
        <v>120</v>
      </c>
      <c r="N10" s="17" t="s">
        <v>20</v>
      </c>
      <c r="O10" s="17" t="s">
        <v>119</v>
      </c>
      <c r="P10" s="17" t="s">
        <v>20</v>
      </c>
      <c r="Q10" s="17" t="s">
        <v>115</v>
      </c>
      <c r="R10" s="17" t="s">
        <v>20</v>
      </c>
      <c r="S10" s="17" t="s">
        <v>120</v>
      </c>
      <c r="T10" s="17">
        <v>301</v>
      </c>
      <c r="U10" s="18">
        <v>0</v>
      </c>
      <c r="X10" s="17" t="s">
        <v>93</v>
      </c>
      <c r="Y10" s="17" t="s">
        <v>108</v>
      </c>
      <c r="Z10" s="17" t="s">
        <v>100</v>
      </c>
      <c r="AA10" s="31">
        <v>776220.28086499998</v>
      </c>
      <c r="AB10" s="31">
        <v>2418985.72749</v>
      </c>
    </row>
    <row r="11" spans="1:28">
      <c r="A11" s="30">
        <v>10</v>
      </c>
      <c r="B11" s="17">
        <v>611162</v>
      </c>
      <c r="C11" s="17" t="s">
        <v>206</v>
      </c>
      <c r="D11" s="17" t="s">
        <v>319</v>
      </c>
      <c r="E11" s="17" t="s">
        <v>341</v>
      </c>
      <c r="F11" s="17" t="s">
        <v>490</v>
      </c>
      <c r="G11" s="17" t="s">
        <v>342</v>
      </c>
      <c r="H11" s="17" t="s">
        <v>82</v>
      </c>
      <c r="I11" s="17">
        <v>20010</v>
      </c>
      <c r="J11" s="17" t="s">
        <v>54</v>
      </c>
      <c r="K11" s="17" t="s">
        <v>89</v>
      </c>
      <c r="L11" s="17" t="s">
        <v>20</v>
      </c>
      <c r="M11" s="17" t="s">
        <v>138</v>
      </c>
      <c r="N11" s="17" t="s">
        <v>20</v>
      </c>
      <c r="O11" s="17" t="s">
        <v>140</v>
      </c>
      <c r="P11" s="17" t="s">
        <v>20</v>
      </c>
      <c r="Q11" s="17" t="s">
        <v>137</v>
      </c>
      <c r="R11" s="17" t="s">
        <v>20</v>
      </c>
      <c r="S11" s="17" t="s">
        <v>141</v>
      </c>
      <c r="T11" s="17">
        <v>0</v>
      </c>
      <c r="U11" s="18">
        <v>4499145379</v>
      </c>
      <c r="X11" s="17" t="s">
        <v>64</v>
      </c>
      <c r="Y11" s="17" t="s">
        <v>112</v>
      </c>
      <c r="Z11" s="17" t="s">
        <v>123</v>
      </c>
      <c r="AA11" s="31">
        <v>776628.544444</v>
      </c>
      <c r="AB11" s="31">
        <v>2423608.1320600002</v>
      </c>
    </row>
    <row r="12" spans="1:28">
      <c r="A12" s="30">
        <v>11</v>
      </c>
      <c r="B12" s="17">
        <v>611162</v>
      </c>
      <c r="C12" s="17" t="s">
        <v>206</v>
      </c>
      <c r="D12" s="17" t="s">
        <v>319</v>
      </c>
      <c r="E12" s="17" t="s">
        <v>343</v>
      </c>
      <c r="F12" s="17" t="s">
        <v>490</v>
      </c>
      <c r="G12" s="17" t="s">
        <v>343</v>
      </c>
      <c r="H12" s="17" t="s">
        <v>82</v>
      </c>
      <c r="I12" s="17">
        <v>20016</v>
      </c>
      <c r="J12" s="17" t="s">
        <v>54</v>
      </c>
      <c r="K12" s="17" t="s">
        <v>62</v>
      </c>
      <c r="L12" s="17" t="s">
        <v>56</v>
      </c>
      <c r="M12" s="17" t="s">
        <v>133</v>
      </c>
      <c r="N12" s="17" t="s">
        <v>20</v>
      </c>
      <c r="O12" s="17" t="s">
        <v>139</v>
      </c>
      <c r="P12" s="17" t="s">
        <v>20</v>
      </c>
      <c r="Q12" s="17" t="s">
        <v>143</v>
      </c>
      <c r="R12" s="17" t="s">
        <v>20</v>
      </c>
      <c r="S12" s="17" t="s">
        <v>287</v>
      </c>
      <c r="T12" s="17">
        <v>2230</v>
      </c>
      <c r="U12" s="18">
        <v>0</v>
      </c>
      <c r="V12" s="17" t="s">
        <v>344</v>
      </c>
      <c r="X12" s="17" t="s">
        <v>59</v>
      </c>
      <c r="Y12" s="17" t="s">
        <v>112</v>
      </c>
      <c r="Z12" s="17" t="s">
        <v>123</v>
      </c>
      <c r="AA12" s="31">
        <v>777420.07396499999</v>
      </c>
      <c r="AB12" s="31">
        <v>2424265.6115000001</v>
      </c>
    </row>
    <row r="13" spans="1:28">
      <c r="A13" s="30">
        <v>12</v>
      </c>
      <c r="B13" s="17">
        <v>611162</v>
      </c>
      <c r="C13" s="17" t="s">
        <v>206</v>
      </c>
      <c r="D13" s="17" t="s">
        <v>319</v>
      </c>
      <c r="E13" s="17" t="s">
        <v>345</v>
      </c>
      <c r="F13" s="17" t="s">
        <v>490</v>
      </c>
      <c r="G13" s="17" t="s">
        <v>317</v>
      </c>
      <c r="H13" s="17" t="s">
        <v>82</v>
      </c>
      <c r="I13" s="17">
        <v>20020</v>
      </c>
      <c r="J13" s="17" t="s">
        <v>54</v>
      </c>
      <c r="K13" s="17" t="s">
        <v>94</v>
      </c>
      <c r="L13" s="17" t="s">
        <v>56</v>
      </c>
      <c r="M13" s="17" t="s">
        <v>127</v>
      </c>
      <c r="N13" s="17" t="s">
        <v>20</v>
      </c>
      <c r="O13" s="17" t="s">
        <v>145</v>
      </c>
      <c r="P13" s="17" t="s">
        <v>56</v>
      </c>
      <c r="Q13" s="17" t="s">
        <v>83</v>
      </c>
      <c r="R13" s="17" t="s">
        <v>20</v>
      </c>
      <c r="S13" s="17" t="s">
        <v>146</v>
      </c>
      <c r="T13" s="17">
        <v>0</v>
      </c>
      <c r="U13" s="18">
        <v>0</v>
      </c>
      <c r="W13" s="17" t="s">
        <v>346</v>
      </c>
      <c r="X13" s="17" t="s">
        <v>64</v>
      </c>
      <c r="Y13" s="17" t="s">
        <v>112</v>
      </c>
      <c r="Z13" s="17" t="s">
        <v>123</v>
      </c>
      <c r="AA13" s="31">
        <v>779416.57793799997</v>
      </c>
      <c r="AB13" s="31">
        <v>2424211.6261</v>
      </c>
    </row>
    <row r="14" spans="1:28">
      <c r="A14" s="30">
        <v>13</v>
      </c>
      <c r="B14" s="17">
        <v>611161</v>
      </c>
      <c r="C14" s="17" t="s">
        <v>206</v>
      </c>
      <c r="D14" s="17" t="s">
        <v>52</v>
      </c>
      <c r="E14" s="17" t="s">
        <v>347</v>
      </c>
      <c r="F14" s="17" t="s">
        <v>489</v>
      </c>
      <c r="G14" s="17" t="s">
        <v>348</v>
      </c>
      <c r="H14" s="17" t="s">
        <v>82</v>
      </c>
      <c r="I14" s="17">
        <v>20020</v>
      </c>
      <c r="J14" s="17" t="s">
        <v>54</v>
      </c>
      <c r="K14" s="17" t="s">
        <v>70</v>
      </c>
      <c r="L14" s="17" t="s">
        <v>20</v>
      </c>
      <c r="M14" s="17" t="s">
        <v>90</v>
      </c>
      <c r="N14" s="17" t="s">
        <v>20</v>
      </c>
      <c r="O14" s="17" t="s">
        <v>124</v>
      </c>
      <c r="P14" s="17" t="s">
        <v>56</v>
      </c>
      <c r="Q14" s="17" t="s">
        <v>127</v>
      </c>
      <c r="R14" s="17" t="s">
        <v>20</v>
      </c>
      <c r="S14" s="17" t="s">
        <v>126</v>
      </c>
      <c r="T14" s="17">
        <v>1509</v>
      </c>
      <c r="U14" s="18">
        <v>0</v>
      </c>
      <c r="V14" s="17" t="s">
        <v>349</v>
      </c>
      <c r="X14" s="17" t="s">
        <v>64</v>
      </c>
      <c r="Y14" s="17" t="s">
        <v>112</v>
      </c>
      <c r="Z14" s="17" t="s">
        <v>123</v>
      </c>
      <c r="AA14" s="31">
        <v>778924.31612800003</v>
      </c>
      <c r="AB14" s="31">
        <v>2423979.3965500002</v>
      </c>
    </row>
    <row r="15" spans="1:28">
      <c r="A15" s="30">
        <v>14</v>
      </c>
      <c r="B15" s="17">
        <v>611161</v>
      </c>
      <c r="C15" s="17" t="s">
        <v>206</v>
      </c>
      <c r="D15" s="17" t="s">
        <v>52</v>
      </c>
      <c r="E15" s="17" t="s">
        <v>350</v>
      </c>
      <c r="F15" s="17" t="s">
        <v>489</v>
      </c>
      <c r="G15" s="17" t="s">
        <v>351</v>
      </c>
      <c r="H15" s="17" t="s">
        <v>82</v>
      </c>
      <c r="I15" s="17">
        <v>20010</v>
      </c>
      <c r="J15" s="17" t="s">
        <v>54</v>
      </c>
      <c r="K15" s="17" t="s">
        <v>70</v>
      </c>
      <c r="L15" s="17" t="s">
        <v>20</v>
      </c>
      <c r="M15" s="17" t="s">
        <v>135</v>
      </c>
      <c r="N15" s="17" t="s">
        <v>57</v>
      </c>
      <c r="O15" s="17" t="s">
        <v>286</v>
      </c>
      <c r="P15" s="17" t="s">
        <v>20</v>
      </c>
      <c r="Q15" s="17" t="s">
        <v>142</v>
      </c>
      <c r="R15" s="17" t="s">
        <v>20</v>
      </c>
      <c r="S15" s="17" t="s">
        <v>144</v>
      </c>
      <c r="T15" s="17">
        <v>112</v>
      </c>
      <c r="U15" s="18">
        <v>0</v>
      </c>
      <c r="V15" s="17" t="s">
        <v>352</v>
      </c>
      <c r="X15" s="17" t="s">
        <v>64</v>
      </c>
      <c r="Y15" s="17" t="s">
        <v>112</v>
      </c>
      <c r="Z15" s="17" t="s">
        <v>123</v>
      </c>
      <c r="AA15" s="31">
        <v>777527.43809800001</v>
      </c>
      <c r="AB15" s="31">
        <v>2423838.98391</v>
      </c>
    </row>
    <row r="16" spans="1:28">
      <c r="A16" s="30">
        <v>15</v>
      </c>
      <c r="B16" s="17">
        <v>611161</v>
      </c>
      <c r="C16" s="17" t="s">
        <v>206</v>
      </c>
      <c r="D16" s="17" t="s">
        <v>52</v>
      </c>
      <c r="E16" s="17" t="s">
        <v>353</v>
      </c>
      <c r="F16" s="17" t="s">
        <v>489</v>
      </c>
      <c r="H16" s="17" t="s">
        <v>82</v>
      </c>
      <c r="I16" s="17">
        <v>20140</v>
      </c>
      <c r="J16" s="17" t="s">
        <v>54</v>
      </c>
      <c r="K16" s="17" t="s">
        <v>75</v>
      </c>
      <c r="L16" s="17" t="s">
        <v>57</v>
      </c>
      <c r="M16" s="17" t="s">
        <v>149</v>
      </c>
      <c r="N16" s="17" t="s">
        <v>20</v>
      </c>
      <c r="O16" s="17" t="s">
        <v>78</v>
      </c>
      <c r="P16" s="17" t="s">
        <v>20</v>
      </c>
      <c r="Q16" s="17" t="s">
        <v>148</v>
      </c>
      <c r="R16" s="17" t="s">
        <v>20</v>
      </c>
      <c r="S16" s="17" t="s">
        <v>78</v>
      </c>
      <c r="T16" s="17">
        <v>0</v>
      </c>
      <c r="U16" s="18">
        <v>4499123437</v>
      </c>
      <c r="V16" s="17" t="s">
        <v>354</v>
      </c>
      <c r="W16" s="17" t="s">
        <v>355</v>
      </c>
      <c r="X16" s="17" t="s">
        <v>64</v>
      </c>
      <c r="Y16" s="17" t="s">
        <v>112</v>
      </c>
      <c r="Z16" s="17" t="s">
        <v>123</v>
      </c>
      <c r="AA16" s="31">
        <v>780102.318967</v>
      </c>
      <c r="AB16" s="31">
        <v>2424842.6068699998</v>
      </c>
    </row>
    <row r="17" spans="1:28">
      <c r="A17" s="30">
        <v>16</v>
      </c>
      <c r="B17" s="17">
        <v>611161</v>
      </c>
      <c r="C17" s="17" t="s">
        <v>206</v>
      </c>
      <c r="D17" s="17" t="s">
        <v>52</v>
      </c>
      <c r="E17" s="17" t="s">
        <v>356</v>
      </c>
      <c r="F17" s="17" t="s">
        <v>489</v>
      </c>
      <c r="G17" s="17" t="s">
        <v>357</v>
      </c>
      <c r="H17" s="17" t="s">
        <v>82</v>
      </c>
      <c r="I17" s="17">
        <v>20010</v>
      </c>
      <c r="J17" s="17" t="s">
        <v>54</v>
      </c>
      <c r="K17" s="17" t="s">
        <v>70</v>
      </c>
      <c r="L17" s="17" t="s">
        <v>20</v>
      </c>
      <c r="M17" s="17" t="s">
        <v>114</v>
      </c>
      <c r="N17" s="17" t="s">
        <v>20</v>
      </c>
      <c r="O17" s="17" t="s">
        <v>132</v>
      </c>
      <c r="P17" s="17" t="s">
        <v>20</v>
      </c>
      <c r="Q17" s="17" t="s">
        <v>147</v>
      </c>
      <c r="R17" s="17" t="s">
        <v>20</v>
      </c>
      <c r="S17" s="17" t="s">
        <v>114</v>
      </c>
      <c r="T17" s="17">
        <v>0</v>
      </c>
      <c r="U17" s="18">
        <v>4493774380</v>
      </c>
      <c r="V17" s="17" t="s">
        <v>358</v>
      </c>
      <c r="X17" s="17" t="s">
        <v>59</v>
      </c>
      <c r="Y17" s="17" t="s">
        <v>112</v>
      </c>
      <c r="Z17" s="17" t="s">
        <v>123</v>
      </c>
      <c r="AA17" s="31">
        <v>777943.70370700001</v>
      </c>
      <c r="AB17" s="31">
        <v>2423937.6408699998</v>
      </c>
    </row>
    <row r="18" spans="1:28">
      <c r="A18" s="30">
        <v>17</v>
      </c>
      <c r="B18" s="17">
        <v>611162</v>
      </c>
      <c r="C18" s="17" t="s">
        <v>206</v>
      </c>
      <c r="D18" s="17" t="s">
        <v>319</v>
      </c>
      <c r="E18" s="17" t="s">
        <v>359</v>
      </c>
      <c r="F18" s="17" t="s">
        <v>490</v>
      </c>
      <c r="G18" s="17" t="s">
        <v>360</v>
      </c>
      <c r="H18" s="17" t="s">
        <v>82</v>
      </c>
      <c r="I18" s="17">
        <v>20089</v>
      </c>
      <c r="J18" s="17" t="s">
        <v>54</v>
      </c>
      <c r="K18" s="17" t="s">
        <v>89</v>
      </c>
      <c r="L18" s="17" t="s">
        <v>20</v>
      </c>
      <c r="M18" s="17" t="s">
        <v>152</v>
      </c>
      <c r="N18" s="17" t="s">
        <v>56</v>
      </c>
      <c r="O18" s="17" t="s">
        <v>118</v>
      </c>
      <c r="P18" s="17" t="s">
        <v>20</v>
      </c>
      <c r="Q18" s="17" t="s">
        <v>151</v>
      </c>
      <c r="R18" s="17" t="s">
        <v>20</v>
      </c>
      <c r="S18" s="17" t="s">
        <v>288</v>
      </c>
      <c r="T18" s="17">
        <v>0</v>
      </c>
      <c r="U18" s="18">
        <v>0</v>
      </c>
      <c r="V18" s="17" t="s">
        <v>361</v>
      </c>
      <c r="W18" s="17" t="s">
        <v>362</v>
      </c>
      <c r="X18" s="17" t="s">
        <v>64</v>
      </c>
      <c r="Y18" s="17" t="s">
        <v>117</v>
      </c>
      <c r="Z18" s="17" t="s">
        <v>123</v>
      </c>
      <c r="AA18" s="31">
        <v>776986.069777</v>
      </c>
      <c r="AB18" s="31">
        <v>2421267.4294199999</v>
      </c>
    </row>
    <row r="19" spans="1:28">
      <c r="A19" s="30">
        <v>18</v>
      </c>
      <c r="B19" s="17">
        <v>611161</v>
      </c>
      <c r="C19" s="17" t="s">
        <v>206</v>
      </c>
      <c r="D19" s="17" t="s">
        <v>52</v>
      </c>
      <c r="E19" s="17" t="s">
        <v>363</v>
      </c>
      <c r="F19" s="17" t="s">
        <v>489</v>
      </c>
      <c r="G19" s="17" t="s">
        <v>363</v>
      </c>
      <c r="H19" s="17" t="s">
        <v>66</v>
      </c>
      <c r="I19" s="17">
        <v>20070</v>
      </c>
      <c r="J19" s="17" t="s">
        <v>54</v>
      </c>
      <c r="K19" s="17" t="s">
        <v>94</v>
      </c>
      <c r="L19" s="17" t="s">
        <v>95</v>
      </c>
      <c r="M19" s="17" t="s">
        <v>129</v>
      </c>
      <c r="N19" s="17" t="s">
        <v>20</v>
      </c>
      <c r="O19" s="17" t="s">
        <v>153</v>
      </c>
      <c r="P19" s="17" t="s">
        <v>56</v>
      </c>
      <c r="Q19" s="17" t="s">
        <v>118</v>
      </c>
      <c r="R19" s="17" t="s">
        <v>20</v>
      </c>
      <c r="S19" s="17" t="s">
        <v>364</v>
      </c>
      <c r="T19" s="17">
        <v>601</v>
      </c>
      <c r="U19" s="18">
        <v>0</v>
      </c>
      <c r="V19" s="17" t="s">
        <v>365</v>
      </c>
      <c r="X19" s="17" t="s">
        <v>64</v>
      </c>
      <c r="Y19" s="17" t="s">
        <v>117</v>
      </c>
      <c r="Z19" s="17" t="s">
        <v>123</v>
      </c>
      <c r="AA19" s="31">
        <v>777517.94199900003</v>
      </c>
      <c r="AB19" s="31">
        <v>2422050.4446200002</v>
      </c>
    </row>
    <row r="20" spans="1:28">
      <c r="A20" s="30">
        <v>19</v>
      </c>
      <c r="B20" s="17">
        <v>611162</v>
      </c>
      <c r="C20" s="17" t="s">
        <v>206</v>
      </c>
      <c r="D20" s="17" t="s">
        <v>319</v>
      </c>
      <c r="E20" s="17" t="s">
        <v>366</v>
      </c>
      <c r="F20" s="17" t="s">
        <v>490</v>
      </c>
      <c r="G20" s="17" t="s">
        <v>285</v>
      </c>
      <c r="H20" s="17" t="s">
        <v>82</v>
      </c>
      <c r="I20" s="17">
        <v>20234</v>
      </c>
      <c r="J20" s="17" t="s">
        <v>54</v>
      </c>
      <c r="K20" s="17" t="s">
        <v>94</v>
      </c>
      <c r="L20" s="17" t="s">
        <v>56</v>
      </c>
      <c r="M20" s="17" t="s">
        <v>163</v>
      </c>
      <c r="N20" s="17" t="s">
        <v>20</v>
      </c>
      <c r="O20" s="17" t="s">
        <v>159</v>
      </c>
      <c r="P20" s="17" t="s">
        <v>20</v>
      </c>
      <c r="Q20" s="17" t="s">
        <v>165</v>
      </c>
      <c r="R20" s="17" t="s">
        <v>20</v>
      </c>
      <c r="S20" s="17" t="s">
        <v>157</v>
      </c>
      <c r="T20" s="17">
        <v>801</v>
      </c>
      <c r="U20" s="18">
        <v>4491492800</v>
      </c>
      <c r="X20" s="17" t="s">
        <v>63</v>
      </c>
      <c r="Y20" s="17" t="s">
        <v>99</v>
      </c>
      <c r="Z20" s="17" t="s">
        <v>154</v>
      </c>
      <c r="AA20" s="31">
        <v>779092.21153199999</v>
      </c>
      <c r="AB20" s="31">
        <v>2420030.5884400001</v>
      </c>
    </row>
    <row r="21" spans="1:28">
      <c r="A21" s="30">
        <v>20</v>
      </c>
      <c r="B21" s="17">
        <v>611162</v>
      </c>
      <c r="C21" s="17" t="s">
        <v>206</v>
      </c>
      <c r="D21" s="17" t="s">
        <v>319</v>
      </c>
      <c r="E21" s="17" t="s">
        <v>367</v>
      </c>
      <c r="F21" s="17" t="s">
        <v>490</v>
      </c>
      <c r="G21" s="17" t="s">
        <v>368</v>
      </c>
      <c r="H21" s="17" t="s">
        <v>82</v>
      </c>
      <c r="I21" s="17">
        <v>20230</v>
      </c>
      <c r="J21" s="17" t="s">
        <v>54</v>
      </c>
      <c r="K21" s="17" t="s">
        <v>369</v>
      </c>
      <c r="L21" s="17" t="s">
        <v>20</v>
      </c>
      <c r="M21" s="17" t="s">
        <v>162</v>
      </c>
      <c r="N21" s="17" t="s">
        <v>20</v>
      </c>
      <c r="O21" s="17" t="s">
        <v>161</v>
      </c>
      <c r="P21" s="17" t="s">
        <v>56</v>
      </c>
      <c r="Q21" s="17" t="s">
        <v>155</v>
      </c>
      <c r="R21" s="17" t="s">
        <v>56</v>
      </c>
      <c r="S21" s="17" t="s">
        <v>163</v>
      </c>
      <c r="T21" s="17">
        <v>603</v>
      </c>
      <c r="U21" s="18">
        <v>0</v>
      </c>
      <c r="W21" s="17" t="s">
        <v>370</v>
      </c>
      <c r="X21" s="17" t="s">
        <v>59</v>
      </c>
      <c r="Y21" s="17" t="s">
        <v>99</v>
      </c>
      <c r="Z21" s="17" t="s">
        <v>154</v>
      </c>
      <c r="AA21" s="31">
        <v>779327.61636300001</v>
      </c>
      <c r="AB21" s="31">
        <v>2420412.8662</v>
      </c>
    </row>
    <row r="22" spans="1:28">
      <c r="A22" s="30">
        <v>21</v>
      </c>
      <c r="B22" s="17">
        <v>611151</v>
      </c>
      <c r="C22" s="17" t="s">
        <v>206</v>
      </c>
      <c r="D22" s="17" t="s">
        <v>52</v>
      </c>
      <c r="E22" s="17" t="s">
        <v>371</v>
      </c>
      <c r="F22" s="17" t="s">
        <v>491</v>
      </c>
      <c r="G22" s="17" t="s">
        <v>372</v>
      </c>
      <c r="H22" s="17" t="s">
        <v>82</v>
      </c>
      <c r="I22" s="17">
        <v>20288</v>
      </c>
      <c r="J22" s="17" t="s">
        <v>54</v>
      </c>
      <c r="K22" s="17" t="s">
        <v>62</v>
      </c>
      <c r="L22" s="17" t="s">
        <v>20</v>
      </c>
      <c r="M22" s="17" t="s">
        <v>291</v>
      </c>
      <c r="N22" s="17" t="s">
        <v>20</v>
      </c>
      <c r="O22" s="17" t="s">
        <v>290</v>
      </c>
      <c r="P22" s="17" t="s">
        <v>20</v>
      </c>
      <c r="Q22" s="17" t="s">
        <v>160</v>
      </c>
      <c r="R22" s="17" t="s">
        <v>20</v>
      </c>
      <c r="S22" s="17" t="s">
        <v>160</v>
      </c>
      <c r="T22" s="17">
        <v>220</v>
      </c>
      <c r="U22" s="18">
        <v>4499130947</v>
      </c>
      <c r="V22" s="17" t="s">
        <v>373</v>
      </c>
      <c r="X22" s="17" t="s">
        <v>64</v>
      </c>
      <c r="Y22" s="17" t="s">
        <v>99</v>
      </c>
      <c r="Z22" s="17" t="s">
        <v>154</v>
      </c>
      <c r="AA22" s="31">
        <v>778901.10739699996</v>
      </c>
      <c r="AB22" s="31">
        <v>2419413.7689299998</v>
      </c>
    </row>
    <row r="23" spans="1:28">
      <c r="A23" s="30">
        <v>22</v>
      </c>
      <c r="B23" s="17">
        <v>611161</v>
      </c>
      <c r="C23" s="17" t="s">
        <v>206</v>
      </c>
      <c r="D23" s="17" t="s">
        <v>52</v>
      </c>
      <c r="E23" s="17" t="s">
        <v>374</v>
      </c>
      <c r="F23" s="17" t="s">
        <v>489</v>
      </c>
      <c r="G23" s="17" t="s">
        <v>375</v>
      </c>
      <c r="H23" s="17" t="s">
        <v>82</v>
      </c>
      <c r="I23" s="17">
        <v>20234</v>
      </c>
      <c r="J23" s="17" t="s">
        <v>54</v>
      </c>
      <c r="K23" s="17" t="s">
        <v>70</v>
      </c>
      <c r="L23" s="17" t="s">
        <v>20</v>
      </c>
      <c r="M23" s="17" t="s">
        <v>158</v>
      </c>
      <c r="N23" s="17" t="s">
        <v>20</v>
      </c>
      <c r="O23" s="17" t="s">
        <v>162</v>
      </c>
      <c r="P23" s="17" t="s">
        <v>56</v>
      </c>
      <c r="Q23" s="17" t="s">
        <v>166</v>
      </c>
      <c r="R23" s="17" t="s">
        <v>20</v>
      </c>
      <c r="S23" s="17" t="s">
        <v>157</v>
      </c>
      <c r="T23" s="17">
        <v>102</v>
      </c>
      <c r="U23" s="18">
        <v>0</v>
      </c>
      <c r="V23" s="17" t="s">
        <v>376</v>
      </c>
      <c r="X23" s="17" t="s">
        <v>59</v>
      </c>
      <c r="Y23" s="17" t="s">
        <v>99</v>
      </c>
      <c r="Z23" s="17" t="s">
        <v>154</v>
      </c>
      <c r="AA23" s="31">
        <v>779234.73755800002</v>
      </c>
      <c r="AB23" s="31">
        <v>2420207.22713</v>
      </c>
    </row>
    <row r="24" spans="1:28">
      <c r="A24" s="30">
        <v>23</v>
      </c>
      <c r="B24" s="17">
        <v>611161</v>
      </c>
      <c r="C24" s="17" t="s">
        <v>206</v>
      </c>
      <c r="D24" s="17" t="s">
        <v>52</v>
      </c>
      <c r="E24" s="17" t="s">
        <v>377</v>
      </c>
      <c r="F24" s="17" t="s">
        <v>489</v>
      </c>
      <c r="G24" s="17" t="s">
        <v>378</v>
      </c>
      <c r="H24" s="17" t="s">
        <v>82</v>
      </c>
      <c r="I24" s="17">
        <v>20285</v>
      </c>
      <c r="J24" s="17" t="s">
        <v>54</v>
      </c>
      <c r="K24" s="17" t="s">
        <v>70</v>
      </c>
      <c r="L24" s="17" t="s">
        <v>56</v>
      </c>
      <c r="M24" s="17" t="s">
        <v>110</v>
      </c>
      <c r="N24" s="17" t="s">
        <v>20</v>
      </c>
      <c r="O24" s="17" t="s">
        <v>160</v>
      </c>
      <c r="P24" s="17" t="s">
        <v>56</v>
      </c>
      <c r="Q24" s="17" t="s">
        <v>102</v>
      </c>
      <c r="R24" s="17" t="s">
        <v>20</v>
      </c>
      <c r="S24" s="17" t="s">
        <v>164</v>
      </c>
      <c r="T24" s="17">
        <v>2620</v>
      </c>
      <c r="U24" s="18">
        <v>0</v>
      </c>
      <c r="W24" s="17" t="s">
        <v>379</v>
      </c>
      <c r="X24" s="17" t="s">
        <v>183</v>
      </c>
      <c r="Y24" s="17" t="s">
        <v>99</v>
      </c>
      <c r="Z24" s="17" t="s">
        <v>154</v>
      </c>
      <c r="AA24" s="31">
        <v>777468.01887899998</v>
      </c>
      <c r="AB24" s="31">
        <v>2419389.03015</v>
      </c>
    </row>
    <row r="25" spans="1:28">
      <c r="A25" s="30">
        <v>24</v>
      </c>
      <c r="B25" s="17">
        <v>611161</v>
      </c>
      <c r="C25" s="17" t="s">
        <v>206</v>
      </c>
      <c r="D25" s="17" t="s">
        <v>52</v>
      </c>
      <c r="E25" s="17" t="s">
        <v>380</v>
      </c>
      <c r="F25" s="17" t="s">
        <v>489</v>
      </c>
      <c r="G25" s="17" t="s">
        <v>381</v>
      </c>
      <c r="H25" s="17" t="s">
        <v>82</v>
      </c>
      <c r="I25" s="17">
        <v>20235</v>
      </c>
      <c r="J25" s="17" t="s">
        <v>54</v>
      </c>
      <c r="K25" s="17" t="s">
        <v>70</v>
      </c>
      <c r="L25" s="17" t="s">
        <v>56</v>
      </c>
      <c r="M25" s="17" t="s">
        <v>106</v>
      </c>
      <c r="N25" s="17" t="s">
        <v>56</v>
      </c>
      <c r="O25" s="17" t="s">
        <v>105</v>
      </c>
      <c r="P25" s="17" t="s">
        <v>20</v>
      </c>
      <c r="Q25" s="17" t="s">
        <v>101</v>
      </c>
      <c r="R25" s="17" t="s">
        <v>20</v>
      </c>
      <c r="S25" s="17" t="s">
        <v>289</v>
      </c>
      <c r="T25" s="17">
        <v>311</v>
      </c>
      <c r="U25" s="18">
        <v>4499776206</v>
      </c>
      <c r="V25" s="17" t="s">
        <v>382</v>
      </c>
      <c r="X25" s="17" t="s">
        <v>63</v>
      </c>
      <c r="Y25" s="17" t="s">
        <v>99</v>
      </c>
      <c r="Z25" s="17" t="s">
        <v>154</v>
      </c>
      <c r="AA25" s="31">
        <v>779472.01728799997</v>
      </c>
      <c r="AB25" s="31">
        <v>2419585.8373400001</v>
      </c>
    </row>
    <row r="26" spans="1:28">
      <c r="A26" s="30">
        <v>25</v>
      </c>
      <c r="B26" s="17">
        <v>611161</v>
      </c>
      <c r="C26" s="17" t="s">
        <v>206</v>
      </c>
      <c r="D26" s="17" t="s">
        <v>52</v>
      </c>
      <c r="E26" s="17" t="s">
        <v>385</v>
      </c>
      <c r="F26" s="17" t="s">
        <v>489</v>
      </c>
      <c r="G26" s="17" t="s">
        <v>386</v>
      </c>
      <c r="H26" s="17" t="s">
        <v>82</v>
      </c>
      <c r="I26" s="17">
        <v>20276</v>
      </c>
      <c r="J26" s="17" t="s">
        <v>54</v>
      </c>
      <c r="K26" s="17" t="s">
        <v>70</v>
      </c>
      <c r="L26" s="17" t="s">
        <v>56</v>
      </c>
      <c r="M26" s="17" t="s">
        <v>167</v>
      </c>
      <c r="N26" s="17" t="s">
        <v>56</v>
      </c>
      <c r="O26" s="17" t="s">
        <v>168</v>
      </c>
      <c r="P26" s="17" t="s">
        <v>20</v>
      </c>
      <c r="Q26" s="17" t="s">
        <v>169</v>
      </c>
      <c r="R26" s="17" t="s">
        <v>20</v>
      </c>
      <c r="S26" s="17" t="s">
        <v>169</v>
      </c>
      <c r="T26" s="17">
        <v>2417</v>
      </c>
      <c r="U26" s="18">
        <v>0</v>
      </c>
      <c r="X26" s="17" t="s">
        <v>59</v>
      </c>
      <c r="Y26" s="17" t="s">
        <v>116</v>
      </c>
      <c r="Z26" s="17" t="s">
        <v>154</v>
      </c>
      <c r="AA26" s="31">
        <v>780867.83983900002</v>
      </c>
      <c r="AB26" s="31">
        <v>2419271.4005200001</v>
      </c>
    </row>
    <row r="27" spans="1:28">
      <c r="A27" s="30">
        <v>26</v>
      </c>
      <c r="B27" s="17">
        <v>611162</v>
      </c>
      <c r="C27" s="17" t="s">
        <v>206</v>
      </c>
      <c r="D27" s="17" t="s">
        <v>319</v>
      </c>
      <c r="E27" s="17" t="s">
        <v>387</v>
      </c>
      <c r="F27" s="17" t="s">
        <v>490</v>
      </c>
      <c r="G27" s="17" t="s">
        <v>388</v>
      </c>
      <c r="H27" s="17" t="s">
        <v>66</v>
      </c>
      <c r="I27" s="17">
        <v>20180</v>
      </c>
      <c r="J27" s="17" t="s">
        <v>54</v>
      </c>
      <c r="K27" s="17" t="s">
        <v>94</v>
      </c>
      <c r="L27" s="17" t="s">
        <v>57</v>
      </c>
      <c r="M27" s="17" t="s">
        <v>293</v>
      </c>
      <c r="N27" s="17" t="s">
        <v>56</v>
      </c>
      <c r="O27" s="17" t="s">
        <v>175</v>
      </c>
      <c r="P27" s="17" t="s">
        <v>20</v>
      </c>
      <c r="Q27" s="17" t="s">
        <v>78</v>
      </c>
      <c r="R27" s="17" t="s">
        <v>57</v>
      </c>
      <c r="S27" s="17" t="s">
        <v>58</v>
      </c>
      <c r="T27" s="17">
        <v>0</v>
      </c>
      <c r="U27" s="18">
        <v>0</v>
      </c>
      <c r="V27" s="17" t="s">
        <v>389</v>
      </c>
      <c r="W27" s="17" t="s">
        <v>390</v>
      </c>
      <c r="X27" s="17" t="s">
        <v>64</v>
      </c>
      <c r="Y27" s="17" t="s">
        <v>122</v>
      </c>
      <c r="Z27" s="17" t="s">
        <v>170</v>
      </c>
      <c r="AA27" s="31">
        <v>781240.19712899998</v>
      </c>
      <c r="AB27" s="31">
        <v>2423093.2067900002</v>
      </c>
    </row>
    <row r="28" spans="1:28">
      <c r="A28" s="30">
        <v>27</v>
      </c>
      <c r="B28" s="17">
        <v>611162</v>
      </c>
      <c r="C28" s="17" t="s">
        <v>206</v>
      </c>
      <c r="D28" s="17" t="s">
        <v>319</v>
      </c>
      <c r="E28" s="17" t="s">
        <v>391</v>
      </c>
      <c r="F28" s="17" t="s">
        <v>490</v>
      </c>
      <c r="G28" s="17" t="s">
        <v>150</v>
      </c>
      <c r="H28" s="17" t="s">
        <v>66</v>
      </c>
      <c r="I28" s="17">
        <v>20180</v>
      </c>
      <c r="J28" s="17" t="s">
        <v>54</v>
      </c>
      <c r="K28" s="17" t="s">
        <v>75</v>
      </c>
      <c r="L28" s="17" t="s">
        <v>20</v>
      </c>
      <c r="M28" s="17" t="s">
        <v>223</v>
      </c>
      <c r="N28" s="17" t="s">
        <v>20</v>
      </c>
      <c r="O28" s="17" t="s">
        <v>297</v>
      </c>
      <c r="P28" s="17" t="s">
        <v>56</v>
      </c>
      <c r="Q28" s="17" t="s">
        <v>173</v>
      </c>
      <c r="R28" s="17" t="s">
        <v>20</v>
      </c>
      <c r="S28" s="17" t="s">
        <v>295</v>
      </c>
      <c r="T28" s="17">
        <v>102</v>
      </c>
      <c r="U28" s="18">
        <v>0</v>
      </c>
      <c r="V28" s="17" t="s">
        <v>392</v>
      </c>
      <c r="X28" s="17" t="s">
        <v>59</v>
      </c>
      <c r="Y28" s="17" t="s">
        <v>122</v>
      </c>
      <c r="Z28" s="17" t="s">
        <v>170</v>
      </c>
      <c r="AA28" s="31">
        <v>781263.60677399999</v>
      </c>
      <c r="AB28" s="31">
        <v>2422610.87524</v>
      </c>
    </row>
    <row r="29" spans="1:28">
      <c r="A29" s="30">
        <v>28</v>
      </c>
      <c r="B29" s="17">
        <v>611162</v>
      </c>
      <c r="C29" s="17" t="s">
        <v>206</v>
      </c>
      <c r="D29" s="17" t="s">
        <v>319</v>
      </c>
      <c r="E29" s="17" t="s">
        <v>393</v>
      </c>
      <c r="F29" s="17" t="s">
        <v>490</v>
      </c>
      <c r="G29" s="17" t="s">
        <v>394</v>
      </c>
      <c r="H29" s="17" t="s">
        <v>66</v>
      </c>
      <c r="I29" s="17">
        <v>20000</v>
      </c>
      <c r="J29" s="17" t="s">
        <v>54</v>
      </c>
      <c r="K29" s="17" t="s">
        <v>89</v>
      </c>
      <c r="L29" s="17" t="s">
        <v>20</v>
      </c>
      <c r="M29" s="17" t="s">
        <v>178</v>
      </c>
      <c r="N29" s="17" t="s">
        <v>20</v>
      </c>
      <c r="O29" s="17" t="s">
        <v>185</v>
      </c>
      <c r="P29" s="17" t="s">
        <v>56</v>
      </c>
      <c r="Q29" s="17" t="s">
        <v>67</v>
      </c>
      <c r="R29" s="17" t="s">
        <v>20</v>
      </c>
      <c r="S29" s="17" t="s">
        <v>186</v>
      </c>
      <c r="T29" s="17">
        <v>201</v>
      </c>
      <c r="U29" s="18">
        <v>4491785072</v>
      </c>
      <c r="V29" s="17" t="s">
        <v>395</v>
      </c>
      <c r="W29" s="17" t="s">
        <v>370</v>
      </c>
      <c r="X29" s="17" t="s">
        <v>63</v>
      </c>
      <c r="Y29" s="17" t="s">
        <v>122</v>
      </c>
      <c r="Z29" s="17" t="s">
        <v>170</v>
      </c>
      <c r="AA29" s="31">
        <v>780232.88770199998</v>
      </c>
      <c r="AB29" s="31">
        <v>2422449.69783</v>
      </c>
    </row>
    <row r="30" spans="1:28">
      <c r="A30" s="30">
        <v>29</v>
      </c>
      <c r="B30" s="17">
        <v>611151</v>
      </c>
      <c r="C30" s="17" t="s">
        <v>206</v>
      </c>
      <c r="D30" s="17" t="s">
        <v>52</v>
      </c>
      <c r="E30" s="17" t="s">
        <v>397</v>
      </c>
      <c r="F30" s="17" t="s">
        <v>491</v>
      </c>
      <c r="G30" s="17" t="s">
        <v>398</v>
      </c>
      <c r="H30" s="17" t="s">
        <v>66</v>
      </c>
      <c r="I30" s="17">
        <v>20259</v>
      </c>
      <c r="J30" s="17" t="s">
        <v>54</v>
      </c>
      <c r="K30" s="17" t="s">
        <v>70</v>
      </c>
      <c r="L30" s="17" t="s">
        <v>56</v>
      </c>
      <c r="M30" s="17" t="s">
        <v>173</v>
      </c>
      <c r="N30" s="17" t="s">
        <v>56</v>
      </c>
      <c r="O30" s="17" t="s">
        <v>121</v>
      </c>
      <c r="P30" s="17" t="s">
        <v>57</v>
      </c>
      <c r="Q30" s="17" t="s">
        <v>173</v>
      </c>
      <c r="R30" s="17" t="s">
        <v>20</v>
      </c>
      <c r="S30" s="17" t="s">
        <v>179</v>
      </c>
      <c r="T30" s="17">
        <v>131</v>
      </c>
      <c r="U30" s="18">
        <v>0</v>
      </c>
      <c r="V30" s="17" t="s">
        <v>399</v>
      </c>
      <c r="X30" s="17" t="s">
        <v>63</v>
      </c>
      <c r="Y30" s="17" t="s">
        <v>122</v>
      </c>
      <c r="Z30" s="17" t="s">
        <v>170</v>
      </c>
      <c r="AA30" s="31">
        <v>780797.51152399997</v>
      </c>
      <c r="AB30" s="31">
        <v>2422300.4287200002</v>
      </c>
    </row>
    <row r="31" spans="1:28">
      <c r="A31" s="30">
        <v>30</v>
      </c>
      <c r="B31" s="17">
        <v>611161</v>
      </c>
      <c r="C31" s="17" t="s">
        <v>206</v>
      </c>
      <c r="D31" s="17" t="s">
        <v>52</v>
      </c>
      <c r="E31" s="17" t="s">
        <v>400</v>
      </c>
      <c r="F31" s="17" t="s">
        <v>489</v>
      </c>
      <c r="G31" s="17" t="s">
        <v>401</v>
      </c>
      <c r="H31" s="17" t="s">
        <v>53</v>
      </c>
      <c r="I31" s="17">
        <v>20259</v>
      </c>
      <c r="J31" s="17" t="s">
        <v>54</v>
      </c>
      <c r="K31" s="17" t="s">
        <v>70</v>
      </c>
      <c r="L31" s="17" t="s">
        <v>56</v>
      </c>
      <c r="M31" s="17" t="s">
        <v>121</v>
      </c>
      <c r="N31" s="17" t="s">
        <v>57</v>
      </c>
      <c r="O31" s="17" t="s">
        <v>296</v>
      </c>
      <c r="P31" s="17" t="s">
        <v>20</v>
      </c>
      <c r="Q31" s="17" t="s">
        <v>187</v>
      </c>
      <c r="R31" s="17" t="s">
        <v>20</v>
      </c>
      <c r="S31" s="17" t="s">
        <v>174</v>
      </c>
      <c r="T31" s="17">
        <v>234</v>
      </c>
      <c r="U31" s="18">
        <v>0</v>
      </c>
      <c r="X31" s="17" t="s">
        <v>64</v>
      </c>
      <c r="Y31" s="17" t="s">
        <v>122</v>
      </c>
      <c r="Z31" s="17" t="s">
        <v>170</v>
      </c>
      <c r="AA31" s="31">
        <v>780776.02794299996</v>
      </c>
      <c r="AB31" s="31">
        <v>2422542.9212199999</v>
      </c>
    </row>
    <row r="32" spans="1:28">
      <c r="A32" s="30">
        <v>31</v>
      </c>
      <c r="B32" s="17">
        <v>611161</v>
      </c>
      <c r="C32" s="17" t="s">
        <v>206</v>
      </c>
      <c r="D32" s="17" t="s">
        <v>52</v>
      </c>
      <c r="E32" s="17" t="s">
        <v>402</v>
      </c>
      <c r="F32" s="17" t="s">
        <v>489</v>
      </c>
      <c r="G32" s="17" t="s">
        <v>403</v>
      </c>
      <c r="H32" s="17" t="s">
        <v>53</v>
      </c>
      <c r="I32" s="17">
        <v>20240</v>
      </c>
      <c r="J32" s="17" t="s">
        <v>54</v>
      </c>
      <c r="K32" s="17" t="s">
        <v>94</v>
      </c>
      <c r="L32" s="17" t="s">
        <v>136</v>
      </c>
      <c r="M32" s="17" t="s">
        <v>294</v>
      </c>
      <c r="N32" s="17" t="s">
        <v>136</v>
      </c>
      <c r="O32" s="17" t="s">
        <v>71</v>
      </c>
      <c r="P32" s="17" t="s">
        <v>20</v>
      </c>
      <c r="Q32" s="17" t="s">
        <v>180</v>
      </c>
      <c r="R32" s="17" t="s">
        <v>20</v>
      </c>
      <c r="S32" s="17" t="s">
        <v>156</v>
      </c>
      <c r="T32" s="17">
        <v>135</v>
      </c>
      <c r="U32" s="18">
        <v>4499154274</v>
      </c>
      <c r="V32" s="17" t="s">
        <v>404</v>
      </c>
      <c r="X32" s="17" t="s">
        <v>64</v>
      </c>
      <c r="Y32" s="17" t="s">
        <v>122</v>
      </c>
      <c r="Z32" s="17" t="s">
        <v>170</v>
      </c>
      <c r="AA32" s="31">
        <v>779705.83871399995</v>
      </c>
      <c r="AB32" s="31">
        <v>2421433.0823900001</v>
      </c>
    </row>
    <row r="33" spans="1:28">
      <c r="A33" s="30">
        <v>32</v>
      </c>
      <c r="B33" s="17">
        <v>611161</v>
      </c>
      <c r="C33" s="17" t="s">
        <v>206</v>
      </c>
      <c r="D33" s="17" t="s">
        <v>52</v>
      </c>
      <c r="E33" s="17" t="s">
        <v>405</v>
      </c>
      <c r="F33" s="17" t="s">
        <v>489</v>
      </c>
      <c r="G33" s="17" t="s">
        <v>406</v>
      </c>
      <c r="H33" s="17" t="s">
        <v>66</v>
      </c>
      <c r="I33" s="17">
        <v>20000</v>
      </c>
      <c r="J33" s="17" t="s">
        <v>54</v>
      </c>
      <c r="K33" s="17" t="s">
        <v>62</v>
      </c>
      <c r="L33" s="17" t="s">
        <v>20</v>
      </c>
      <c r="M33" s="17" t="s">
        <v>177</v>
      </c>
      <c r="N33" s="17" t="s">
        <v>20</v>
      </c>
      <c r="O33" s="17" t="s">
        <v>181</v>
      </c>
      <c r="P33" s="17" t="s">
        <v>20</v>
      </c>
      <c r="Q33" s="17" t="s">
        <v>182</v>
      </c>
      <c r="R33" s="17" t="s">
        <v>20</v>
      </c>
      <c r="S33" s="17" t="s">
        <v>72</v>
      </c>
      <c r="T33" s="17">
        <v>309</v>
      </c>
      <c r="U33" s="18">
        <v>4499186580</v>
      </c>
      <c r="X33" s="17" t="s">
        <v>64</v>
      </c>
      <c r="Y33" s="17" t="s">
        <v>122</v>
      </c>
      <c r="Z33" s="17" t="s">
        <v>170</v>
      </c>
      <c r="AA33" s="31">
        <v>779244.43679800001</v>
      </c>
      <c r="AB33" s="31">
        <v>2423089.7083100001</v>
      </c>
    </row>
    <row r="34" spans="1:28">
      <c r="A34" s="30">
        <v>33</v>
      </c>
      <c r="B34" s="17">
        <v>611161</v>
      </c>
      <c r="C34" s="17" t="s">
        <v>206</v>
      </c>
      <c r="D34" s="17" t="s">
        <v>52</v>
      </c>
      <c r="E34" s="17" t="s">
        <v>407</v>
      </c>
      <c r="F34" s="17" t="s">
        <v>489</v>
      </c>
      <c r="H34" s="17" t="s">
        <v>66</v>
      </c>
      <c r="I34" s="17">
        <v>20000</v>
      </c>
      <c r="J34" s="17" t="s">
        <v>54</v>
      </c>
      <c r="K34" s="17" t="s">
        <v>70</v>
      </c>
      <c r="L34" s="17" t="s">
        <v>20</v>
      </c>
      <c r="M34" s="17" t="s">
        <v>185</v>
      </c>
      <c r="N34" s="17" t="s">
        <v>20</v>
      </c>
      <c r="O34" s="17" t="s">
        <v>125</v>
      </c>
      <c r="P34" s="17" t="s">
        <v>20</v>
      </c>
      <c r="Q34" s="17" t="s">
        <v>178</v>
      </c>
      <c r="R34" s="17" t="s">
        <v>56</v>
      </c>
      <c r="S34" s="17" t="s">
        <v>67</v>
      </c>
      <c r="T34" s="17">
        <v>411</v>
      </c>
      <c r="U34" s="18">
        <v>0</v>
      </c>
      <c r="W34" s="17" t="s">
        <v>408</v>
      </c>
      <c r="X34" s="17" t="s">
        <v>64</v>
      </c>
      <c r="Y34" s="17" t="s">
        <v>122</v>
      </c>
      <c r="Z34" s="17" t="s">
        <v>170</v>
      </c>
      <c r="AA34" s="31">
        <v>780254.82188900001</v>
      </c>
      <c r="AB34" s="31">
        <v>2422580.8598699998</v>
      </c>
    </row>
    <row r="35" spans="1:28">
      <c r="A35" s="30">
        <v>34</v>
      </c>
      <c r="B35" s="17">
        <v>611161</v>
      </c>
      <c r="C35" s="17" t="s">
        <v>206</v>
      </c>
      <c r="D35" s="17" t="s">
        <v>52</v>
      </c>
      <c r="E35" s="17" t="s">
        <v>409</v>
      </c>
      <c r="F35" s="17" t="s">
        <v>489</v>
      </c>
      <c r="G35" s="17" t="s">
        <v>410</v>
      </c>
      <c r="H35" s="17" t="s">
        <v>66</v>
      </c>
      <c r="I35" s="17">
        <v>20000</v>
      </c>
      <c r="J35" s="17" t="s">
        <v>54</v>
      </c>
      <c r="K35" s="17" t="s">
        <v>70</v>
      </c>
      <c r="L35" s="17" t="s">
        <v>20</v>
      </c>
      <c r="M35" s="17" t="s">
        <v>172</v>
      </c>
      <c r="N35" s="17" t="s">
        <v>20</v>
      </c>
      <c r="O35" s="17" t="s">
        <v>171</v>
      </c>
      <c r="P35" s="17" t="s">
        <v>57</v>
      </c>
      <c r="Q35" s="17" t="s">
        <v>184</v>
      </c>
      <c r="R35" s="17" t="s">
        <v>20</v>
      </c>
      <c r="S35" s="17" t="s">
        <v>185</v>
      </c>
      <c r="T35" s="17">
        <v>329</v>
      </c>
      <c r="U35" s="18">
        <v>0</v>
      </c>
      <c r="V35" s="17" t="s">
        <v>411</v>
      </c>
      <c r="X35" s="17" t="s">
        <v>63</v>
      </c>
      <c r="Y35" s="17" t="s">
        <v>122</v>
      </c>
      <c r="Z35" s="17" t="s">
        <v>170</v>
      </c>
      <c r="AA35" s="31">
        <v>779928.50382800004</v>
      </c>
      <c r="AB35" s="31">
        <v>2422629.22352</v>
      </c>
    </row>
    <row r="36" spans="1:28">
      <c r="A36" s="30">
        <v>35</v>
      </c>
      <c r="B36" s="17">
        <v>611161</v>
      </c>
      <c r="C36" s="17" t="s">
        <v>206</v>
      </c>
      <c r="D36" s="17" t="s">
        <v>52</v>
      </c>
      <c r="E36" s="17" t="s">
        <v>412</v>
      </c>
      <c r="F36" s="17" t="s">
        <v>489</v>
      </c>
      <c r="G36" s="17" t="s">
        <v>413</v>
      </c>
      <c r="H36" s="17" t="s">
        <v>53</v>
      </c>
      <c r="I36" s="17">
        <v>20059</v>
      </c>
      <c r="J36" s="17" t="s">
        <v>54</v>
      </c>
      <c r="K36" s="17" t="s">
        <v>70</v>
      </c>
      <c r="L36" s="17" t="s">
        <v>20</v>
      </c>
      <c r="M36" s="17" t="s">
        <v>128</v>
      </c>
      <c r="N36" s="17" t="s">
        <v>20</v>
      </c>
      <c r="O36" s="17" t="s">
        <v>191</v>
      </c>
      <c r="P36" s="17" t="s">
        <v>20</v>
      </c>
      <c r="Q36" s="17" t="s">
        <v>90</v>
      </c>
      <c r="R36" s="17" t="s">
        <v>56</v>
      </c>
      <c r="S36" s="17" t="s">
        <v>96</v>
      </c>
      <c r="T36" s="17">
        <v>111</v>
      </c>
      <c r="U36" s="18">
        <v>0</v>
      </c>
      <c r="X36" s="17" t="s">
        <v>63</v>
      </c>
      <c r="Y36" s="17" t="s">
        <v>99</v>
      </c>
      <c r="Z36" s="17" t="s">
        <v>170</v>
      </c>
      <c r="AA36" s="31">
        <v>779004.22688700003</v>
      </c>
      <c r="AB36" s="31">
        <v>2422228.2726199999</v>
      </c>
    </row>
    <row r="37" spans="1:28">
      <c r="A37" s="30">
        <v>36</v>
      </c>
      <c r="B37" s="17">
        <v>611161</v>
      </c>
      <c r="C37" s="17" t="s">
        <v>206</v>
      </c>
      <c r="D37" s="17" t="s">
        <v>52</v>
      </c>
      <c r="E37" s="17" t="s">
        <v>414</v>
      </c>
      <c r="F37" s="17" t="s">
        <v>489</v>
      </c>
      <c r="G37" s="17" t="s">
        <v>415</v>
      </c>
      <c r="H37" s="17" t="s">
        <v>66</v>
      </c>
      <c r="I37" s="17">
        <v>20000</v>
      </c>
      <c r="J37" s="17" t="s">
        <v>54</v>
      </c>
      <c r="K37" s="17" t="s">
        <v>70</v>
      </c>
      <c r="L37" s="17" t="s">
        <v>20</v>
      </c>
      <c r="M37" s="17" t="s">
        <v>190</v>
      </c>
      <c r="N37" s="17" t="s">
        <v>20</v>
      </c>
      <c r="O37" s="17" t="s">
        <v>188</v>
      </c>
      <c r="P37" s="17" t="s">
        <v>20</v>
      </c>
      <c r="Q37" s="17" t="s">
        <v>191</v>
      </c>
      <c r="R37" s="17" t="s">
        <v>56</v>
      </c>
      <c r="S37" s="17" t="s">
        <v>96</v>
      </c>
      <c r="T37" s="17">
        <v>315</v>
      </c>
      <c r="U37" s="18">
        <v>0</v>
      </c>
      <c r="X37" s="17" t="s">
        <v>64</v>
      </c>
      <c r="Y37" s="17" t="s">
        <v>99</v>
      </c>
      <c r="Z37" s="17" t="s">
        <v>170</v>
      </c>
      <c r="AA37" s="31">
        <v>779109.94413199998</v>
      </c>
      <c r="AB37" s="31">
        <v>2422249.3939800002</v>
      </c>
    </row>
    <row r="38" spans="1:28">
      <c r="A38" s="30">
        <v>37</v>
      </c>
      <c r="B38" s="17">
        <v>611161</v>
      </c>
      <c r="C38" s="17" t="s">
        <v>206</v>
      </c>
      <c r="D38" s="17" t="s">
        <v>52</v>
      </c>
      <c r="E38" s="17" t="s">
        <v>416</v>
      </c>
      <c r="F38" s="17" t="s">
        <v>489</v>
      </c>
      <c r="G38" s="17" t="s">
        <v>417</v>
      </c>
      <c r="H38" s="17" t="s">
        <v>66</v>
      </c>
      <c r="I38" s="17">
        <v>20000</v>
      </c>
      <c r="J38" s="17" t="s">
        <v>54</v>
      </c>
      <c r="K38" s="17" t="s">
        <v>70</v>
      </c>
      <c r="L38" s="17" t="s">
        <v>20</v>
      </c>
      <c r="M38" s="17" t="s">
        <v>130</v>
      </c>
      <c r="N38" s="17" t="s">
        <v>20</v>
      </c>
      <c r="O38" s="17" t="s">
        <v>189</v>
      </c>
      <c r="P38" s="17" t="s">
        <v>20</v>
      </c>
      <c r="Q38" s="17" t="s">
        <v>192</v>
      </c>
      <c r="R38" s="17" t="s">
        <v>20</v>
      </c>
      <c r="S38" s="17" t="s">
        <v>69</v>
      </c>
      <c r="T38" s="17">
        <v>411</v>
      </c>
      <c r="U38" s="18">
        <v>0</v>
      </c>
      <c r="V38" s="17" t="s">
        <v>418</v>
      </c>
      <c r="X38" s="17" t="s">
        <v>64</v>
      </c>
      <c r="Y38" s="17" t="s">
        <v>99</v>
      </c>
      <c r="Z38" s="17" t="s">
        <v>170</v>
      </c>
      <c r="AA38" s="31">
        <v>778985.70929799997</v>
      </c>
      <c r="AB38" s="31">
        <v>2421890.35513</v>
      </c>
    </row>
    <row r="39" spans="1:28">
      <c r="A39" s="30">
        <v>38</v>
      </c>
      <c r="B39" s="17">
        <v>611161</v>
      </c>
      <c r="C39" s="17" t="s">
        <v>206</v>
      </c>
      <c r="D39" s="17" t="s">
        <v>52</v>
      </c>
      <c r="E39" s="17" t="s">
        <v>419</v>
      </c>
      <c r="F39" s="17" t="s">
        <v>489</v>
      </c>
      <c r="G39" s="17" t="s">
        <v>420</v>
      </c>
      <c r="H39" s="17" t="s">
        <v>66</v>
      </c>
      <c r="I39" s="17">
        <v>20220</v>
      </c>
      <c r="J39" s="17" t="s">
        <v>54</v>
      </c>
      <c r="K39" s="17" t="s">
        <v>75</v>
      </c>
      <c r="L39" s="17" t="s">
        <v>20</v>
      </c>
      <c r="M39" s="17" t="s">
        <v>192</v>
      </c>
      <c r="N39" s="17" t="s">
        <v>20</v>
      </c>
      <c r="O39" s="17" t="s">
        <v>97</v>
      </c>
      <c r="P39" s="17" t="s">
        <v>56</v>
      </c>
      <c r="Q39" s="17" t="s">
        <v>131</v>
      </c>
      <c r="R39" s="17" t="s">
        <v>20</v>
      </c>
      <c r="S39" s="17" t="s">
        <v>298</v>
      </c>
      <c r="T39" s="17">
        <v>105</v>
      </c>
      <c r="U39" s="18">
        <v>4491710440</v>
      </c>
      <c r="V39" s="17" t="s">
        <v>421</v>
      </c>
      <c r="W39" s="17" t="s">
        <v>422</v>
      </c>
      <c r="X39" s="17" t="s">
        <v>63</v>
      </c>
      <c r="Y39" s="17" t="s">
        <v>99</v>
      </c>
      <c r="Z39" s="17" t="s">
        <v>170</v>
      </c>
      <c r="AA39" s="31">
        <v>778888.74316900002</v>
      </c>
      <c r="AB39" s="31">
        <v>2421604.6343299998</v>
      </c>
    </row>
    <row r="40" spans="1:28">
      <c r="A40" s="30">
        <v>39</v>
      </c>
      <c r="B40" s="17">
        <v>611162</v>
      </c>
      <c r="C40" s="17" t="s">
        <v>206</v>
      </c>
      <c r="D40" s="17" t="s">
        <v>319</v>
      </c>
      <c r="E40" s="17" t="s">
        <v>423</v>
      </c>
      <c r="F40" s="17" t="s">
        <v>490</v>
      </c>
      <c r="G40" s="17" t="s">
        <v>424</v>
      </c>
      <c r="H40" s="17" t="s">
        <v>82</v>
      </c>
      <c r="I40" s="17">
        <v>20196</v>
      </c>
      <c r="J40" s="17" t="s">
        <v>54</v>
      </c>
      <c r="K40" s="17" t="s">
        <v>70</v>
      </c>
      <c r="L40" s="17" t="s">
        <v>20</v>
      </c>
      <c r="M40" s="17" t="s">
        <v>202</v>
      </c>
      <c r="N40" s="17" t="s">
        <v>20</v>
      </c>
      <c r="O40" s="17" t="s">
        <v>201</v>
      </c>
      <c r="P40" s="17" t="s">
        <v>20</v>
      </c>
      <c r="Q40" s="17" t="s">
        <v>78</v>
      </c>
      <c r="R40" s="17" t="s">
        <v>20</v>
      </c>
      <c r="S40" s="17" t="s">
        <v>300</v>
      </c>
      <c r="T40" s="17">
        <v>283</v>
      </c>
      <c r="U40" s="18">
        <v>4492009020</v>
      </c>
      <c r="V40" s="17" t="s">
        <v>425</v>
      </c>
      <c r="X40" s="17" t="s">
        <v>63</v>
      </c>
      <c r="Y40" s="17" t="s">
        <v>194</v>
      </c>
      <c r="Z40" s="17" t="s">
        <v>195</v>
      </c>
      <c r="AA40" s="31">
        <v>786014.38403099997</v>
      </c>
      <c r="AB40" s="31">
        <v>2422896.5020400002</v>
      </c>
    </row>
    <row r="41" spans="1:28">
      <c r="A41" s="30">
        <v>40</v>
      </c>
      <c r="B41" s="17">
        <v>611162</v>
      </c>
      <c r="C41" s="17" t="s">
        <v>206</v>
      </c>
      <c r="D41" s="17" t="s">
        <v>319</v>
      </c>
      <c r="E41" s="17" t="s">
        <v>426</v>
      </c>
      <c r="F41" s="17" t="s">
        <v>490</v>
      </c>
      <c r="G41" s="17" t="s">
        <v>396</v>
      </c>
      <c r="H41" s="17" t="s">
        <v>82</v>
      </c>
      <c r="I41" s="17">
        <v>20196</v>
      </c>
      <c r="J41" s="17" t="s">
        <v>54</v>
      </c>
      <c r="K41" s="17" t="s">
        <v>75</v>
      </c>
      <c r="L41" s="17" t="s">
        <v>20</v>
      </c>
      <c r="M41" s="17" t="s">
        <v>204</v>
      </c>
      <c r="N41" s="17" t="s">
        <v>20</v>
      </c>
      <c r="O41" s="17" t="s">
        <v>78</v>
      </c>
      <c r="P41" s="17" t="s">
        <v>20</v>
      </c>
      <c r="Q41" s="17" t="s">
        <v>199</v>
      </c>
      <c r="R41" s="17" t="s">
        <v>103</v>
      </c>
      <c r="S41" s="17" t="s">
        <v>203</v>
      </c>
      <c r="T41" s="17">
        <v>0</v>
      </c>
      <c r="U41" s="18">
        <v>0</v>
      </c>
      <c r="X41" s="17" t="s">
        <v>59</v>
      </c>
      <c r="Y41" s="17" t="s">
        <v>194</v>
      </c>
      <c r="Z41" s="17" t="s">
        <v>195</v>
      </c>
      <c r="AA41" s="31">
        <v>785983.508179</v>
      </c>
      <c r="AB41" s="31">
        <v>2421492.0839900002</v>
      </c>
    </row>
    <row r="42" spans="1:28">
      <c r="A42" s="30">
        <v>41</v>
      </c>
      <c r="B42" s="17">
        <v>611162</v>
      </c>
      <c r="C42" s="17" t="s">
        <v>206</v>
      </c>
      <c r="D42" s="17" t="s">
        <v>319</v>
      </c>
      <c r="E42" s="17" t="s">
        <v>427</v>
      </c>
      <c r="F42" s="17" t="s">
        <v>490</v>
      </c>
      <c r="G42" s="17" t="s">
        <v>428</v>
      </c>
      <c r="H42" s="17" t="s">
        <v>82</v>
      </c>
      <c r="I42" s="17">
        <v>20196</v>
      </c>
      <c r="J42" s="17" t="s">
        <v>54</v>
      </c>
      <c r="K42" s="17" t="s">
        <v>75</v>
      </c>
      <c r="L42" s="17" t="s">
        <v>20</v>
      </c>
      <c r="M42" s="17" t="s">
        <v>198</v>
      </c>
      <c r="N42" s="17" t="s">
        <v>20</v>
      </c>
      <c r="O42" s="17" t="s">
        <v>197</v>
      </c>
      <c r="P42" s="17" t="s">
        <v>56</v>
      </c>
      <c r="Q42" s="17" t="s">
        <v>196</v>
      </c>
      <c r="R42" s="17" t="s">
        <v>20</v>
      </c>
      <c r="S42" s="17" t="s">
        <v>200</v>
      </c>
      <c r="T42" s="17">
        <v>0</v>
      </c>
      <c r="U42" s="18">
        <v>0</v>
      </c>
      <c r="X42" s="17" t="s">
        <v>63</v>
      </c>
      <c r="Y42" s="17" t="s">
        <v>194</v>
      </c>
      <c r="Z42" s="17" t="s">
        <v>195</v>
      </c>
      <c r="AA42" s="31">
        <v>785839.343154</v>
      </c>
      <c r="AB42" s="31">
        <v>2420741.9814800001</v>
      </c>
    </row>
    <row r="43" spans="1:28">
      <c r="A43" s="30">
        <v>42</v>
      </c>
      <c r="B43" s="17">
        <v>611162</v>
      </c>
      <c r="C43" s="17" t="s">
        <v>206</v>
      </c>
      <c r="D43" s="17" t="s">
        <v>319</v>
      </c>
      <c r="E43" s="17" t="s">
        <v>429</v>
      </c>
      <c r="F43" s="17" t="s">
        <v>490</v>
      </c>
      <c r="G43" s="17" t="s">
        <v>318</v>
      </c>
      <c r="H43" s="17" t="s">
        <v>82</v>
      </c>
      <c r="I43" s="17">
        <v>20196</v>
      </c>
      <c r="J43" s="17" t="s">
        <v>54</v>
      </c>
      <c r="K43" s="17" t="s">
        <v>70</v>
      </c>
      <c r="L43" s="17" t="s">
        <v>20</v>
      </c>
      <c r="M43" s="17" t="s">
        <v>202</v>
      </c>
      <c r="N43" s="17" t="s">
        <v>20</v>
      </c>
      <c r="O43" s="17" t="s">
        <v>201</v>
      </c>
      <c r="P43" s="17" t="s">
        <v>20</v>
      </c>
      <c r="Q43" s="17" t="s">
        <v>78</v>
      </c>
      <c r="R43" s="17" t="s">
        <v>20</v>
      </c>
      <c r="S43" s="17" t="s">
        <v>300</v>
      </c>
      <c r="T43" s="17">
        <v>283</v>
      </c>
      <c r="U43" s="18">
        <v>0</v>
      </c>
      <c r="X43" s="17" t="s">
        <v>59</v>
      </c>
      <c r="Y43" s="17" t="s">
        <v>194</v>
      </c>
      <c r="Z43" s="17" t="s">
        <v>195</v>
      </c>
      <c r="AA43" s="31">
        <v>786014.38403099997</v>
      </c>
      <c r="AB43" s="31">
        <v>2422896.5020400002</v>
      </c>
    </row>
    <row r="44" spans="1:28">
      <c r="A44" s="30">
        <v>43</v>
      </c>
      <c r="B44" s="17">
        <v>611162</v>
      </c>
      <c r="C44" s="17" t="s">
        <v>206</v>
      </c>
      <c r="D44" s="17" t="s">
        <v>319</v>
      </c>
      <c r="E44" s="17" t="s">
        <v>430</v>
      </c>
      <c r="F44" s="17" t="s">
        <v>490</v>
      </c>
      <c r="G44" s="17" t="s">
        <v>431</v>
      </c>
      <c r="H44" s="17" t="s">
        <v>66</v>
      </c>
      <c r="I44" s="17">
        <v>20299</v>
      </c>
      <c r="J44" s="17" t="s">
        <v>54</v>
      </c>
      <c r="K44" s="17" t="s">
        <v>75</v>
      </c>
      <c r="L44" s="17" t="s">
        <v>20</v>
      </c>
      <c r="M44" s="17" t="s">
        <v>210</v>
      </c>
      <c r="N44" s="17" t="s">
        <v>20</v>
      </c>
      <c r="O44" s="17" t="s">
        <v>209</v>
      </c>
      <c r="P44" s="17" t="s">
        <v>57</v>
      </c>
      <c r="Q44" s="17" t="s">
        <v>301</v>
      </c>
      <c r="R44" s="17" t="s">
        <v>56</v>
      </c>
      <c r="S44" s="17" t="s">
        <v>208</v>
      </c>
      <c r="T44" s="17">
        <v>0</v>
      </c>
      <c r="U44" s="18">
        <v>4499189267</v>
      </c>
      <c r="X44" s="17" t="s">
        <v>63</v>
      </c>
      <c r="Y44" s="17" t="s">
        <v>207</v>
      </c>
      <c r="Z44" s="17" t="s">
        <v>195</v>
      </c>
      <c r="AA44" s="31">
        <v>785113.53677300003</v>
      </c>
      <c r="AB44" s="31">
        <v>2425413.3244699999</v>
      </c>
    </row>
    <row r="45" spans="1:28">
      <c r="A45" s="30">
        <v>44</v>
      </c>
      <c r="B45" s="17">
        <v>611162</v>
      </c>
      <c r="C45" s="17" t="s">
        <v>206</v>
      </c>
      <c r="D45" s="17" t="s">
        <v>319</v>
      </c>
      <c r="E45" s="17" t="s">
        <v>432</v>
      </c>
      <c r="F45" s="17" t="s">
        <v>490</v>
      </c>
      <c r="H45" s="17" t="s">
        <v>82</v>
      </c>
      <c r="I45" s="17">
        <v>20264</v>
      </c>
      <c r="J45" s="17" t="s">
        <v>54</v>
      </c>
      <c r="K45" s="17" t="s">
        <v>70</v>
      </c>
      <c r="L45" s="17" t="s">
        <v>20</v>
      </c>
      <c r="M45" s="17" t="s">
        <v>216</v>
      </c>
      <c r="N45" s="17" t="s">
        <v>56</v>
      </c>
      <c r="O45" s="17" t="s">
        <v>226</v>
      </c>
      <c r="P45" s="17" t="s">
        <v>56</v>
      </c>
      <c r="Q45" s="17" t="s">
        <v>212</v>
      </c>
      <c r="R45" s="17" t="s">
        <v>56</v>
      </c>
      <c r="S45" s="17" t="s">
        <v>220</v>
      </c>
      <c r="T45" s="17">
        <v>0</v>
      </c>
      <c r="U45" s="18">
        <v>0</v>
      </c>
      <c r="X45" s="17" t="s">
        <v>59</v>
      </c>
      <c r="Y45" s="17" t="s">
        <v>113</v>
      </c>
      <c r="Z45" s="17" t="s">
        <v>215</v>
      </c>
      <c r="AA45" s="31">
        <v>783706.48808899999</v>
      </c>
      <c r="AB45" s="31">
        <v>2420703.1939099999</v>
      </c>
    </row>
    <row r="46" spans="1:28">
      <c r="A46" s="30">
        <v>45</v>
      </c>
      <c r="B46" s="17">
        <v>611162</v>
      </c>
      <c r="C46" s="17" t="s">
        <v>206</v>
      </c>
      <c r="D46" s="17" t="s">
        <v>319</v>
      </c>
      <c r="E46" s="17" t="s">
        <v>433</v>
      </c>
      <c r="F46" s="17" t="s">
        <v>490</v>
      </c>
      <c r="G46" s="17" t="s">
        <v>434</v>
      </c>
      <c r="H46" s="17" t="s">
        <v>82</v>
      </c>
      <c r="I46" s="17">
        <v>20256</v>
      </c>
      <c r="J46" s="17" t="s">
        <v>54</v>
      </c>
      <c r="K46" s="17" t="s">
        <v>70</v>
      </c>
      <c r="L46" s="17" t="s">
        <v>20</v>
      </c>
      <c r="M46" s="17" t="s">
        <v>304</v>
      </c>
      <c r="N46" s="17" t="s">
        <v>56</v>
      </c>
      <c r="O46" s="17" t="s">
        <v>220</v>
      </c>
      <c r="P46" s="17" t="s">
        <v>79</v>
      </c>
      <c r="Q46" s="17" t="s">
        <v>218</v>
      </c>
      <c r="R46" s="17" t="s">
        <v>20</v>
      </c>
      <c r="S46" s="17" t="s">
        <v>219</v>
      </c>
      <c r="T46" s="17">
        <v>304</v>
      </c>
      <c r="U46" s="18">
        <v>0</v>
      </c>
      <c r="W46" s="17" t="s">
        <v>435</v>
      </c>
      <c r="X46" s="17" t="s">
        <v>59</v>
      </c>
      <c r="Y46" s="17" t="s">
        <v>113</v>
      </c>
      <c r="Z46" s="17" t="s">
        <v>215</v>
      </c>
      <c r="AA46" s="31">
        <v>782898.30605999997</v>
      </c>
      <c r="AB46" s="31">
        <v>2421192.6639299998</v>
      </c>
    </row>
    <row r="47" spans="1:28">
      <c r="A47" s="30">
        <v>46</v>
      </c>
      <c r="B47" s="17">
        <v>611162</v>
      </c>
      <c r="C47" s="17" t="s">
        <v>206</v>
      </c>
      <c r="D47" s="17" t="s">
        <v>319</v>
      </c>
      <c r="E47" s="17" t="s">
        <v>436</v>
      </c>
      <c r="F47" s="17" t="s">
        <v>490</v>
      </c>
      <c r="G47" s="17" t="s">
        <v>437</v>
      </c>
      <c r="H47" s="17" t="s">
        <v>82</v>
      </c>
      <c r="I47" s="17">
        <v>20264</v>
      </c>
      <c r="J47" s="17" t="s">
        <v>54</v>
      </c>
      <c r="K47" s="17" t="s">
        <v>55</v>
      </c>
      <c r="L47" s="17" t="s">
        <v>20</v>
      </c>
      <c r="M47" s="17" t="s">
        <v>216</v>
      </c>
      <c r="N47" s="17" t="s">
        <v>56</v>
      </c>
      <c r="O47" s="17" t="s">
        <v>78</v>
      </c>
      <c r="P47" s="17" t="s">
        <v>56</v>
      </c>
      <c r="Q47" s="17" t="s">
        <v>212</v>
      </c>
      <c r="R47" s="17" t="s">
        <v>56</v>
      </c>
      <c r="S47" s="17" t="s">
        <v>220</v>
      </c>
      <c r="T47" s="17">
        <v>0</v>
      </c>
      <c r="U47" s="18">
        <v>44921366243</v>
      </c>
      <c r="X47" s="17" t="s">
        <v>59</v>
      </c>
      <c r="Y47" s="17" t="s">
        <v>113</v>
      </c>
      <c r="Z47" s="17" t="s">
        <v>215</v>
      </c>
      <c r="AA47" s="31">
        <v>783719.18452899996</v>
      </c>
      <c r="AB47" s="31">
        <v>2420713.3450000002</v>
      </c>
    </row>
    <row r="48" spans="1:28">
      <c r="A48" s="30">
        <v>47</v>
      </c>
      <c r="B48" s="17">
        <v>611162</v>
      </c>
      <c r="C48" s="17" t="s">
        <v>206</v>
      </c>
      <c r="D48" s="17" t="s">
        <v>319</v>
      </c>
      <c r="E48" s="17" t="s">
        <v>438</v>
      </c>
      <c r="F48" s="17" t="s">
        <v>490</v>
      </c>
      <c r="H48" s="17" t="s">
        <v>82</v>
      </c>
      <c r="I48" s="17">
        <v>20256</v>
      </c>
      <c r="J48" s="17" t="s">
        <v>54</v>
      </c>
      <c r="K48" s="17" t="s">
        <v>70</v>
      </c>
      <c r="L48" s="17" t="s">
        <v>20</v>
      </c>
      <c r="M48" s="17" t="s">
        <v>219</v>
      </c>
      <c r="O48" s="17" t="s">
        <v>58</v>
      </c>
      <c r="P48" s="17" t="s">
        <v>56</v>
      </c>
      <c r="Q48" s="17" t="s">
        <v>220</v>
      </c>
      <c r="R48" s="17" t="s">
        <v>20</v>
      </c>
      <c r="S48" s="17" t="s">
        <v>304</v>
      </c>
      <c r="T48" s="17">
        <v>602</v>
      </c>
      <c r="U48" s="18">
        <v>0</v>
      </c>
      <c r="V48" s="17" t="s">
        <v>439</v>
      </c>
      <c r="X48" s="17" t="s">
        <v>59</v>
      </c>
      <c r="Y48" s="17" t="s">
        <v>113</v>
      </c>
      <c r="Z48" s="17" t="s">
        <v>215</v>
      </c>
      <c r="AA48" s="31">
        <v>782783.85632699996</v>
      </c>
      <c r="AB48" s="31">
        <v>2421059.8961</v>
      </c>
    </row>
    <row r="49" spans="1:28">
      <c r="A49" s="30">
        <v>48</v>
      </c>
      <c r="B49" s="17">
        <v>611162</v>
      </c>
      <c r="C49" s="17" t="s">
        <v>206</v>
      </c>
      <c r="D49" s="17" t="s">
        <v>319</v>
      </c>
      <c r="E49" s="17" t="s">
        <v>440</v>
      </c>
      <c r="F49" s="17" t="s">
        <v>490</v>
      </c>
      <c r="G49" s="17" t="s">
        <v>342</v>
      </c>
      <c r="H49" s="17" t="s">
        <v>82</v>
      </c>
      <c r="I49" s="17">
        <v>20267</v>
      </c>
      <c r="J49" s="17" t="s">
        <v>54</v>
      </c>
      <c r="K49" s="17" t="s">
        <v>89</v>
      </c>
      <c r="L49" s="17" t="s">
        <v>20</v>
      </c>
      <c r="M49" s="17" t="s">
        <v>221</v>
      </c>
      <c r="N49" s="17" t="s">
        <v>20</v>
      </c>
      <c r="O49" s="17" t="s">
        <v>303</v>
      </c>
      <c r="P49" s="17" t="s">
        <v>20</v>
      </c>
      <c r="Q49" s="17" t="s">
        <v>261</v>
      </c>
      <c r="R49" s="17" t="s">
        <v>20</v>
      </c>
      <c r="S49" s="17" t="s">
        <v>261</v>
      </c>
      <c r="T49" s="17">
        <v>0</v>
      </c>
      <c r="U49" s="18">
        <v>0</v>
      </c>
      <c r="V49" s="17" t="s">
        <v>441</v>
      </c>
      <c r="X49" s="17" t="s">
        <v>63</v>
      </c>
      <c r="Y49" s="17" t="s">
        <v>113</v>
      </c>
      <c r="Z49" s="17" t="s">
        <v>215</v>
      </c>
      <c r="AA49" s="31">
        <v>781980.88693000004</v>
      </c>
      <c r="AB49" s="31">
        <v>2420889.4855800001</v>
      </c>
    </row>
    <row r="50" spans="1:28">
      <c r="A50" s="30">
        <v>49</v>
      </c>
      <c r="B50" s="17">
        <v>611162</v>
      </c>
      <c r="C50" s="17" t="s">
        <v>206</v>
      </c>
      <c r="D50" s="17" t="s">
        <v>319</v>
      </c>
      <c r="E50" s="17" t="s">
        <v>431</v>
      </c>
      <c r="F50" s="17" t="s">
        <v>490</v>
      </c>
      <c r="G50" s="17" t="s">
        <v>324</v>
      </c>
      <c r="H50" s="17" t="s">
        <v>82</v>
      </c>
      <c r="I50" s="17">
        <v>20263</v>
      </c>
      <c r="J50" s="17" t="s">
        <v>54</v>
      </c>
      <c r="K50" s="17" t="s">
        <v>94</v>
      </c>
      <c r="L50" s="17" t="s">
        <v>20</v>
      </c>
      <c r="M50" s="17" t="s">
        <v>292</v>
      </c>
      <c r="N50" s="17" t="s">
        <v>56</v>
      </c>
      <c r="O50" s="17" t="s">
        <v>106</v>
      </c>
      <c r="P50" s="17" t="s">
        <v>20</v>
      </c>
      <c r="Q50" s="17" t="s">
        <v>217</v>
      </c>
      <c r="R50" s="17" t="s">
        <v>20</v>
      </c>
      <c r="S50" s="17" t="s">
        <v>442</v>
      </c>
      <c r="T50" s="17">
        <v>0</v>
      </c>
      <c r="U50" s="18">
        <v>4499774928</v>
      </c>
      <c r="X50" s="17" t="s">
        <v>64</v>
      </c>
      <c r="Y50" s="17" t="s">
        <v>205</v>
      </c>
      <c r="Z50" s="17" t="s">
        <v>215</v>
      </c>
      <c r="AA50" s="31">
        <v>783860.31567299995</v>
      </c>
      <c r="AB50" s="31">
        <v>2419846.7261299998</v>
      </c>
    </row>
    <row r="51" spans="1:28">
      <c r="A51" s="30">
        <v>50</v>
      </c>
      <c r="B51" s="17">
        <v>611162</v>
      </c>
      <c r="C51" s="17" t="s">
        <v>206</v>
      </c>
      <c r="D51" s="17" t="s">
        <v>319</v>
      </c>
      <c r="E51" s="17" t="s">
        <v>443</v>
      </c>
      <c r="F51" s="17" t="s">
        <v>490</v>
      </c>
      <c r="G51" s="17" t="s">
        <v>444</v>
      </c>
      <c r="H51" s="17" t="s">
        <v>82</v>
      </c>
      <c r="I51" s="17">
        <v>20198</v>
      </c>
      <c r="J51" s="17" t="s">
        <v>54</v>
      </c>
      <c r="K51" s="17" t="s">
        <v>89</v>
      </c>
      <c r="L51" s="17" t="s">
        <v>20</v>
      </c>
      <c r="M51" s="17" t="s">
        <v>213</v>
      </c>
      <c r="N51" s="17" t="s">
        <v>20</v>
      </c>
      <c r="O51" s="17" t="s">
        <v>305</v>
      </c>
      <c r="P51" s="17" t="s">
        <v>98</v>
      </c>
      <c r="Q51" s="17" t="s">
        <v>173</v>
      </c>
      <c r="R51" s="17" t="s">
        <v>20</v>
      </c>
      <c r="S51" s="17" t="s">
        <v>306</v>
      </c>
      <c r="T51" s="17">
        <v>0</v>
      </c>
      <c r="U51" s="18">
        <v>0</v>
      </c>
      <c r="V51" s="17" t="s">
        <v>445</v>
      </c>
      <c r="W51" s="17" t="s">
        <v>446</v>
      </c>
      <c r="X51" s="17" t="s">
        <v>64</v>
      </c>
      <c r="Y51" s="17" t="s">
        <v>205</v>
      </c>
      <c r="Z51" s="17" t="s">
        <v>215</v>
      </c>
      <c r="AA51" s="31">
        <v>782801.42703599995</v>
      </c>
      <c r="AB51" s="31">
        <v>2422763.2144300002</v>
      </c>
    </row>
    <row r="52" spans="1:28">
      <c r="A52" s="30">
        <v>51</v>
      </c>
      <c r="B52" s="17">
        <v>611161</v>
      </c>
      <c r="C52" s="17" t="s">
        <v>206</v>
      </c>
      <c r="D52" s="17" t="s">
        <v>52</v>
      </c>
      <c r="E52" s="17" t="s">
        <v>447</v>
      </c>
      <c r="F52" s="17" t="s">
        <v>489</v>
      </c>
      <c r="G52" s="17" t="s">
        <v>383</v>
      </c>
      <c r="H52" s="17" t="s">
        <v>74</v>
      </c>
      <c r="I52" s="17">
        <v>20198</v>
      </c>
      <c r="J52" s="17" t="s">
        <v>54</v>
      </c>
      <c r="K52" s="17" t="s">
        <v>62</v>
      </c>
      <c r="L52" s="17" t="s">
        <v>56</v>
      </c>
      <c r="M52" s="17" t="s">
        <v>241</v>
      </c>
      <c r="N52" s="17" t="s">
        <v>20</v>
      </c>
      <c r="O52" s="17" t="s">
        <v>448</v>
      </c>
      <c r="P52" s="17" t="s">
        <v>20</v>
      </c>
      <c r="Q52" s="17" t="s">
        <v>449</v>
      </c>
      <c r="R52" s="17" t="s">
        <v>76</v>
      </c>
      <c r="S52" s="17" t="s">
        <v>277</v>
      </c>
      <c r="T52" s="17">
        <v>107</v>
      </c>
      <c r="U52" s="18">
        <v>0</v>
      </c>
      <c r="V52" s="17" t="s">
        <v>384</v>
      </c>
      <c r="X52" s="17" t="s">
        <v>91</v>
      </c>
      <c r="Y52" s="17" t="s">
        <v>205</v>
      </c>
      <c r="Z52" s="17" t="s">
        <v>215</v>
      </c>
      <c r="AA52" s="31">
        <v>782404.93888999999</v>
      </c>
      <c r="AB52" s="31">
        <v>2422329.2444199999</v>
      </c>
    </row>
    <row r="53" spans="1:28">
      <c r="A53" s="30">
        <v>52</v>
      </c>
      <c r="B53" s="17">
        <v>611161</v>
      </c>
      <c r="C53" s="17" t="s">
        <v>206</v>
      </c>
      <c r="D53" s="17" t="s">
        <v>52</v>
      </c>
      <c r="E53" s="17" t="s">
        <v>450</v>
      </c>
      <c r="F53" s="17" t="s">
        <v>489</v>
      </c>
      <c r="G53" s="17" t="s">
        <v>342</v>
      </c>
      <c r="H53" s="17" t="s">
        <v>82</v>
      </c>
      <c r="I53" s="17">
        <v>20198</v>
      </c>
      <c r="J53" s="17" t="s">
        <v>54</v>
      </c>
      <c r="K53" s="17" t="s">
        <v>94</v>
      </c>
      <c r="L53" s="17" t="s">
        <v>20</v>
      </c>
      <c r="M53" s="17" t="s">
        <v>213</v>
      </c>
      <c r="N53" s="17" t="s">
        <v>20</v>
      </c>
      <c r="O53" s="17" t="s">
        <v>305</v>
      </c>
      <c r="P53" s="17" t="s">
        <v>98</v>
      </c>
      <c r="Q53" s="17" t="s">
        <v>173</v>
      </c>
      <c r="R53" s="17" t="s">
        <v>20</v>
      </c>
      <c r="S53" s="17" t="s">
        <v>306</v>
      </c>
      <c r="T53" s="17">
        <v>0</v>
      </c>
      <c r="U53" s="18">
        <v>0</v>
      </c>
      <c r="X53" s="17" t="s">
        <v>77</v>
      </c>
      <c r="Y53" s="17" t="s">
        <v>205</v>
      </c>
      <c r="Z53" s="17" t="s">
        <v>215</v>
      </c>
      <c r="AA53" s="31">
        <v>782807.34556599997</v>
      </c>
      <c r="AB53" s="31">
        <v>2422755.6273599998</v>
      </c>
    </row>
    <row r="54" spans="1:28">
      <c r="A54" s="30">
        <v>53</v>
      </c>
      <c r="B54" s="17">
        <v>611161</v>
      </c>
      <c r="C54" s="17" t="s">
        <v>206</v>
      </c>
      <c r="D54" s="17" t="s">
        <v>52</v>
      </c>
      <c r="E54" s="17" t="s">
        <v>451</v>
      </c>
      <c r="F54" s="17" t="s">
        <v>489</v>
      </c>
      <c r="G54" s="17" t="s">
        <v>396</v>
      </c>
      <c r="H54" s="17" t="s">
        <v>82</v>
      </c>
      <c r="I54" s="17">
        <v>20198</v>
      </c>
      <c r="J54" s="17" t="s">
        <v>54</v>
      </c>
      <c r="K54" s="17" t="s">
        <v>94</v>
      </c>
      <c r="L54" s="17" t="s">
        <v>20</v>
      </c>
      <c r="M54" s="17" t="s">
        <v>213</v>
      </c>
      <c r="N54" s="17" t="s">
        <v>20</v>
      </c>
      <c r="O54" s="17" t="s">
        <v>305</v>
      </c>
      <c r="P54" s="17" t="s">
        <v>98</v>
      </c>
      <c r="Q54" s="17" t="s">
        <v>173</v>
      </c>
      <c r="R54" s="17" t="s">
        <v>20</v>
      </c>
      <c r="S54" s="17" t="s">
        <v>306</v>
      </c>
      <c r="T54" s="17">
        <v>0</v>
      </c>
      <c r="U54" s="18">
        <v>0</v>
      </c>
      <c r="X54" s="17" t="s">
        <v>77</v>
      </c>
      <c r="Y54" s="17" t="s">
        <v>205</v>
      </c>
      <c r="Z54" s="17" t="s">
        <v>215</v>
      </c>
      <c r="AA54" s="31">
        <v>782804.40327699995</v>
      </c>
      <c r="AB54" s="31">
        <v>2422759.3968199999</v>
      </c>
    </row>
    <row r="55" spans="1:28">
      <c r="A55" s="30">
        <v>54</v>
      </c>
      <c r="B55" s="17">
        <v>611162</v>
      </c>
      <c r="C55" s="17" t="s">
        <v>206</v>
      </c>
      <c r="D55" s="17" t="s">
        <v>319</v>
      </c>
      <c r="E55" s="17" t="s">
        <v>452</v>
      </c>
      <c r="F55" s="17" t="s">
        <v>490</v>
      </c>
      <c r="G55" s="17" t="s">
        <v>317</v>
      </c>
      <c r="H55" s="17" t="s">
        <v>82</v>
      </c>
      <c r="I55" s="17">
        <v>20157</v>
      </c>
      <c r="J55" s="17" t="s">
        <v>54</v>
      </c>
      <c r="K55" s="17" t="s">
        <v>89</v>
      </c>
      <c r="M55" s="17" t="s">
        <v>58</v>
      </c>
      <c r="N55" s="17" t="s">
        <v>20</v>
      </c>
      <c r="O55" s="17" t="s">
        <v>224</v>
      </c>
      <c r="P55" s="17" t="s">
        <v>20</v>
      </c>
      <c r="Q55" s="17" t="s">
        <v>307</v>
      </c>
      <c r="S55" s="17" t="s">
        <v>58</v>
      </c>
      <c r="T55" s="17">
        <v>802</v>
      </c>
      <c r="U55" s="18">
        <v>4499107400</v>
      </c>
      <c r="X55" s="17" t="s">
        <v>63</v>
      </c>
      <c r="Y55" s="17" t="s">
        <v>211</v>
      </c>
      <c r="Z55" s="17" t="s">
        <v>222</v>
      </c>
      <c r="AA55" s="31">
        <v>781273.09517099999</v>
      </c>
      <c r="AB55" s="31">
        <v>2425450.9602600001</v>
      </c>
    </row>
    <row r="56" spans="1:28">
      <c r="A56" s="30">
        <v>55</v>
      </c>
      <c r="B56" s="17">
        <v>611162</v>
      </c>
      <c r="C56" s="17" t="s">
        <v>206</v>
      </c>
      <c r="D56" s="17" t="s">
        <v>319</v>
      </c>
      <c r="E56" s="17" t="s">
        <v>453</v>
      </c>
      <c r="F56" s="17" t="s">
        <v>490</v>
      </c>
      <c r="G56" s="17" t="s">
        <v>454</v>
      </c>
      <c r="H56" s="17" t="s">
        <v>82</v>
      </c>
      <c r="I56" s="17">
        <v>20170</v>
      </c>
      <c r="J56" s="17" t="s">
        <v>54</v>
      </c>
      <c r="K56" s="17" t="s">
        <v>94</v>
      </c>
      <c r="L56" s="17" t="s">
        <v>56</v>
      </c>
      <c r="M56" s="17" t="s">
        <v>226</v>
      </c>
      <c r="N56" s="17" t="s">
        <v>299</v>
      </c>
      <c r="O56" s="17" t="s">
        <v>58</v>
      </c>
      <c r="P56" s="17" t="s">
        <v>56</v>
      </c>
      <c r="Q56" s="17" t="s">
        <v>225</v>
      </c>
      <c r="R56" s="17" t="s">
        <v>56</v>
      </c>
      <c r="S56" s="17" t="s">
        <v>226</v>
      </c>
      <c r="T56" s="17">
        <v>109</v>
      </c>
      <c r="U56" s="18">
        <v>4499752114</v>
      </c>
      <c r="V56" s="17" t="s">
        <v>455</v>
      </c>
      <c r="X56" s="17" t="s">
        <v>64</v>
      </c>
      <c r="Y56" s="17" t="s">
        <v>193</v>
      </c>
      <c r="Z56" s="17" t="s">
        <v>222</v>
      </c>
      <c r="AA56" s="31">
        <v>781886.53323399997</v>
      </c>
      <c r="AB56" s="31">
        <v>2424192.1449199999</v>
      </c>
    </row>
    <row r="57" spans="1:28">
      <c r="A57" s="30">
        <v>56</v>
      </c>
      <c r="B57" s="17">
        <v>611161</v>
      </c>
      <c r="C57" s="17" t="s">
        <v>206</v>
      </c>
      <c r="D57" s="17" t="s">
        <v>52</v>
      </c>
      <c r="E57" s="17" t="s">
        <v>456</v>
      </c>
      <c r="F57" s="17" t="s">
        <v>489</v>
      </c>
      <c r="G57" s="17" t="s">
        <v>457</v>
      </c>
      <c r="H57" s="17" t="s">
        <v>82</v>
      </c>
      <c r="I57" s="17">
        <v>20169</v>
      </c>
      <c r="J57" s="17" t="s">
        <v>54</v>
      </c>
      <c r="K57" s="17" t="s">
        <v>75</v>
      </c>
      <c r="L57" s="17" t="s">
        <v>56</v>
      </c>
      <c r="M57" s="17" t="s">
        <v>225</v>
      </c>
      <c r="N57" s="17" t="s">
        <v>56</v>
      </c>
      <c r="O57" s="17" t="s">
        <v>458</v>
      </c>
      <c r="P57" s="17" t="s">
        <v>20</v>
      </c>
      <c r="Q57" s="17" t="s">
        <v>228</v>
      </c>
      <c r="R57" s="17" t="s">
        <v>56</v>
      </c>
      <c r="S57" s="17" t="s">
        <v>227</v>
      </c>
      <c r="T57" s="17">
        <v>102</v>
      </c>
      <c r="U57" s="18">
        <v>0</v>
      </c>
      <c r="V57" s="17" t="s">
        <v>459</v>
      </c>
      <c r="X57" s="17" t="s">
        <v>64</v>
      </c>
      <c r="Y57" s="17" t="s">
        <v>193</v>
      </c>
      <c r="Z57" s="17" t="s">
        <v>222</v>
      </c>
      <c r="AA57" s="31">
        <v>781291.66039800004</v>
      </c>
      <c r="AB57" s="31">
        <v>2423899.2472799998</v>
      </c>
    </row>
    <row r="58" spans="1:28">
      <c r="A58" s="30">
        <v>57</v>
      </c>
      <c r="B58" s="17">
        <v>611162</v>
      </c>
      <c r="C58" s="17" t="s">
        <v>206</v>
      </c>
      <c r="D58" s="17" t="s">
        <v>319</v>
      </c>
      <c r="E58" s="17" t="s">
        <v>460</v>
      </c>
      <c r="F58" s="17" t="s">
        <v>490</v>
      </c>
      <c r="G58" s="17" t="s">
        <v>461</v>
      </c>
      <c r="H58" s="17" t="s">
        <v>230</v>
      </c>
      <c r="I58" s="17">
        <v>20290</v>
      </c>
      <c r="J58" s="17" t="s">
        <v>54</v>
      </c>
      <c r="K58" s="17" t="s">
        <v>89</v>
      </c>
      <c r="L58" s="17" t="s">
        <v>20</v>
      </c>
      <c r="M58" s="17" t="s">
        <v>231</v>
      </c>
      <c r="N58" s="17" t="s">
        <v>20</v>
      </c>
      <c r="O58" s="17" t="s">
        <v>234</v>
      </c>
      <c r="P58" s="17" t="s">
        <v>20</v>
      </c>
      <c r="Q58" s="17" t="s">
        <v>235</v>
      </c>
      <c r="R58" s="17" t="s">
        <v>104</v>
      </c>
      <c r="S58" s="17" t="s">
        <v>236</v>
      </c>
      <c r="T58" s="17">
        <v>301</v>
      </c>
      <c r="U58" s="18">
        <v>0</v>
      </c>
      <c r="V58" s="17" t="s">
        <v>462</v>
      </c>
      <c r="X58" s="17" t="s">
        <v>64</v>
      </c>
      <c r="Y58" s="17" t="s">
        <v>116</v>
      </c>
      <c r="Z58" s="17" t="s">
        <v>229</v>
      </c>
      <c r="AA58" s="31">
        <v>780647.99853400001</v>
      </c>
      <c r="AB58" s="31">
        <v>2417217.3316899999</v>
      </c>
    </row>
    <row r="59" spans="1:28">
      <c r="A59" s="30">
        <v>58</v>
      </c>
      <c r="B59" s="17">
        <v>611162</v>
      </c>
      <c r="C59" s="17" t="s">
        <v>206</v>
      </c>
      <c r="D59" s="17" t="s">
        <v>319</v>
      </c>
      <c r="E59" s="17" t="s">
        <v>463</v>
      </c>
      <c r="F59" s="17" t="s">
        <v>490</v>
      </c>
      <c r="G59" s="17" t="s">
        <v>150</v>
      </c>
      <c r="H59" s="17" t="s">
        <v>74</v>
      </c>
      <c r="I59" s="17">
        <v>20340</v>
      </c>
      <c r="J59" s="17" t="s">
        <v>54</v>
      </c>
      <c r="K59" s="17" t="s">
        <v>55</v>
      </c>
      <c r="L59" s="17" t="s">
        <v>20</v>
      </c>
      <c r="M59" s="17" t="s">
        <v>73</v>
      </c>
      <c r="N59" s="17" t="s">
        <v>20</v>
      </c>
      <c r="O59" s="17" t="s">
        <v>80</v>
      </c>
      <c r="P59" s="17" t="s">
        <v>20</v>
      </c>
      <c r="Q59" s="17" t="s">
        <v>233</v>
      </c>
      <c r="R59" s="17" t="s">
        <v>20</v>
      </c>
      <c r="S59" s="17" t="s">
        <v>232</v>
      </c>
      <c r="T59" s="17">
        <v>104</v>
      </c>
      <c r="U59" s="18">
        <v>6727238834</v>
      </c>
      <c r="V59" s="17" t="s">
        <v>464</v>
      </c>
      <c r="W59" s="17" t="s">
        <v>330</v>
      </c>
      <c r="X59" s="17" t="s">
        <v>59</v>
      </c>
      <c r="Y59" s="17" t="s">
        <v>116</v>
      </c>
      <c r="Z59" s="17" t="s">
        <v>229</v>
      </c>
      <c r="AA59" s="31">
        <v>781865.33848999999</v>
      </c>
      <c r="AB59" s="31">
        <v>2413161.5257799998</v>
      </c>
    </row>
    <row r="60" spans="1:28">
      <c r="A60" s="30">
        <v>59</v>
      </c>
      <c r="B60" s="17">
        <v>611162</v>
      </c>
      <c r="C60" s="17" t="s">
        <v>206</v>
      </c>
      <c r="D60" s="17" t="s">
        <v>319</v>
      </c>
      <c r="E60" s="17" t="s">
        <v>465</v>
      </c>
      <c r="F60" s="17" t="s">
        <v>490</v>
      </c>
      <c r="G60" s="17" t="s">
        <v>466</v>
      </c>
      <c r="H60" s="17" t="s">
        <v>82</v>
      </c>
      <c r="I60" s="17">
        <v>20126</v>
      </c>
      <c r="J60" s="17" t="s">
        <v>54</v>
      </c>
      <c r="K60" s="17" t="s">
        <v>75</v>
      </c>
      <c r="L60" s="17" t="s">
        <v>20</v>
      </c>
      <c r="M60" s="17" t="s">
        <v>308</v>
      </c>
      <c r="N60" s="17" t="s">
        <v>56</v>
      </c>
      <c r="O60" s="17" t="s">
        <v>239</v>
      </c>
      <c r="P60" s="17" t="s">
        <v>20</v>
      </c>
      <c r="Q60" s="17" t="s">
        <v>238</v>
      </c>
      <c r="R60" s="17" t="s">
        <v>20</v>
      </c>
      <c r="S60" s="17" t="s">
        <v>240</v>
      </c>
      <c r="T60" s="17">
        <v>103</v>
      </c>
      <c r="U60" s="18">
        <v>0</v>
      </c>
      <c r="X60" s="17" t="s">
        <v>64</v>
      </c>
      <c r="Y60" s="17" t="s">
        <v>207</v>
      </c>
      <c r="Z60" s="17" t="s">
        <v>237</v>
      </c>
      <c r="AA60" s="31">
        <v>783374.11518900003</v>
      </c>
      <c r="AB60" s="31">
        <v>2427864.9089700002</v>
      </c>
    </row>
    <row r="61" spans="1:28">
      <c r="A61" s="30">
        <v>60</v>
      </c>
      <c r="B61" s="17">
        <v>611162</v>
      </c>
      <c r="C61" s="17" t="s">
        <v>206</v>
      </c>
      <c r="D61" s="17" t="s">
        <v>319</v>
      </c>
      <c r="E61" s="17" t="s">
        <v>467</v>
      </c>
      <c r="F61" s="17" t="s">
        <v>490</v>
      </c>
      <c r="G61" s="17" t="s">
        <v>285</v>
      </c>
      <c r="H61" s="17" t="s">
        <v>82</v>
      </c>
      <c r="I61" s="17">
        <v>20133</v>
      </c>
      <c r="J61" s="17" t="s">
        <v>54</v>
      </c>
      <c r="K61" s="17" t="s">
        <v>94</v>
      </c>
      <c r="L61" s="17" t="s">
        <v>20</v>
      </c>
      <c r="M61" s="17" t="s">
        <v>244</v>
      </c>
      <c r="N61" s="17" t="s">
        <v>20</v>
      </c>
      <c r="O61" s="17" t="s">
        <v>310</v>
      </c>
      <c r="P61" s="17" t="s">
        <v>20</v>
      </c>
      <c r="Q61" s="17" t="s">
        <v>243</v>
      </c>
      <c r="R61" s="17" t="s">
        <v>20</v>
      </c>
      <c r="S61" s="17" t="s">
        <v>309</v>
      </c>
      <c r="T61" s="17">
        <v>0</v>
      </c>
      <c r="U61" s="18">
        <v>0</v>
      </c>
      <c r="V61" s="17" t="s">
        <v>468</v>
      </c>
      <c r="X61" s="17" t="s">
        <v>59</v>
      </c>
      <c r="Y61" s="17" t="s">
        <v>194</v>
      </c>
      <c r="Z61" s="17" t="s">
        <v>242</v>
      </c>
      <c r="AA61" s="31">
        <v>784099.29756600002</v>
      </c>
      <c r="AB61" s="31">
        <v>2423245.1097200001</v>
      </c>
    </row>
    <row r="62" spans="1:28">
      <c r="A62" s="30">
        <v>61</v>
      </c>
      <c r="B62" s="17">
        <v>611162</v>
      </c>
      <c r="C62" s="17" t="s">
        <v>206</v>
      </c>
      <c r="D62" s="17" t="s">
        <v>319</v>
      </c>
      <c r="E62" s="17" t="s">
        <v>469</v>
      </c>
      <c r="F62" s="17" t="s">
        <v>490</v>
      </c>
      <c r="G62" s="17" t="s">
        <v>150</v>
      </c>
      <c r="H62" s="17" t="s">
        <v>82</v>
      </c>
      <c r="I62" s="17">
        <v>20299</v>
      </c>
      <c r="J62" s="17" t="s">
        <v>54</v>
      </c>
      <c r="K62" s="17" t="s">
        <v>75</v>
      </c>
      <c r="L62" s="17" t="s">
        <v>20</v>
      </c>
      <c r="M62" s="17" t="s">
        <v>311</v>
      </c>
      <c r="N62" s="17" t="s">
        <v>20</v>
      </c>
      <c r="O62" s="17" t="s">
        <v>245</v>
      </c>
      <c r="P62" s="17" t="s">
        <v>20</v>
      </c>
      <c r="Q62" s="17" t="s">
        <v>312</v>
      </c>
      <c r="R62" s="17" t="s">
        <v>20</v>
      </c>
      <c r="S62" s="17" t="s">
        <v>245</v>
      </c>
      <c r="T62" s="17">
        <v>0</v>
      </c>
      <c r="U62" s="18">
        <v>0</v>
      </c>
      <c r="X62" s="17" t="s">
        <v>63</v>
      </c>
      <c r="Y62" s="17" t="s">
        <v>116</v>
      </c>
      <c r="Z62" s="17" t="s">
        <v>242</v>
      </c>
      <c r="AA62" s="31">
        <v>783266.59257800004</v>
      </c>
      <c r="AB62" s="31">
        <v>2418381.77</v>
      </c>
    </row>
    <row r="63" spans="1:28">
      <c r="A63" s="30">
        <v>62</v>
      </c>
      <c r="B63" s="17">
        <v>611162</v>
      </c>
      <c r="C63" s="17" t="s">
        <v>206</v>
      </c>
      <c r="D63" s="17" t="s">
        <v>319</v>
      </c>
      <c r="E63" s="17" t="s">
        <v>470</v>
      </c>
      <c r="F63" s="17" t="s">
        <v>490</v>
      </c>
      <c r="G63" s="17" t="s">
        <v>396</v>
      </c>
      <c r="H63" s="17" t="s">
        <v>82</v>
      </c>
      <c r="I63" s="17">
        <v>20299</v>
      </c>
      <c r="J63" s="17" t="s">
        <v>54</v>
      </c>
      <c r="K63" s="17" t="s">
        <v>75</v>
      </c>
      <c r="L63" s="17" t="s">
        <v>20</v>
      </c>
      <c r="M63" s="17" t="s">
        <v>246</v>
      </c>
      <c r="N63" s="17" t="s">
        <v>20</v>
      </c>
      <c r="O63" s="17" t="s">
        <v>313</v>
      </c>
      <c r="P63" s="17" t="s">
        <v>56</v>
      </c>
      <c r="Q63" s="17" t="s">
        <v>214</v>
      </c>
      <c r="R63" s="17" t="s">
        <v>20</v>
      </c>
      <c r="S63" s="17" t="s">
        <v>247</v>
      </c>
      <c r="T63" s="17">
        <v>0</v>
      </c>
      <c r="U63" s="18">
        <v>0</v>
      </c>
      <c r="X63" s="17" t="s">
        <v>63</v>
      </c>
      <c r="Y63" s="17" t="s">
        <v>116</v>
      </c>
      <c r="Z63" s="17" t="s">
        <v>242</v>
      </c>
      <c r="AA63" s="31">
        <v>781997.163267</v>
      </c>
      <c r="AB63" s="31">
        <v>2418500.9962399998</v>
      </c>
    </row>
    <row r="64" spans="1:28">
      <c r="A64" s="30">
        <v>63</v>
      </c>
      <c r="B64" s="17">
        <v>611162</v>
      </c>
      <c r="C64" s="17" t="s">
        <v>206</v>
      </c>
      <c r="D64" s="17" t="s">
        <v>319</v>
      </c>
      <c r="E64" s="17" t="s">
        <v>471</v>
      </c>
      <c r="F64" s="17" t="s">
        <v>490</v>
      </c>
      <c r="G64" s="17" t="s">
        <v>396</v>
      </c>
      <c r="H64" s="17" t="s">
        <v>82</v>
      </c>
      <c r="I64" s="17">
        <v>20299</v>
      </c>
      <c r="J64" s="17" t="s">
        <v>54</v>
      </c>
      <c r="K64" s="17" t="s">
        <v>75</v>
      </c>
      <c r="L64" s="17" t="s">
        <v>20</v>
      </c>
      <c r="M64" s="17" t="s">
        <v>246</v>
      </c>
      <c r="N64" s="17" t="s">
        <v>20</v>
      </c>
      <c r="O64" s="17" t="s">
        <v>313</v>
      </c>
      <c r="P64" s="17" t="s">
        <v>56</v>
      </c>
      <c r="Q64" s="17" t="s">
        <v>214</v>
      </c>
      <c r="R64" s="17" t="s">
        <v>20</v>
      </c>
      <c r="S64" s="17" t="s">
        <v>247</v>
      </c>
      <c r="T64" s="17">
        <v>0</v>
      </c>
      <c r="U64" s="18">
        <v>0</v>
      </c>
      <c r="X64" s="17" t="s">
        <v>63</v>
      </c>
      <c r="Y64" s="17" t="s">
        <v>116</v>
      </c>
      <c r="Z64" s="17" t="s">
        <v>242</v>
      </c>
      <c r="AA64" s="31">
        <v>781990.77624100004</v>
      </c>
      <c r="AB64" s="31">
        <v>2418500.12836</v>
      </c>
    </row>
    <row r="65" spans="1:28">
      <c r="A65" s="30">
        <v>64</v>
      </c>
      <c r="B65" s="17">
        <v>611162</v>
      </c>
      <c r="C65" s="17" t="s">
        <v>206</v>
      </c>
      <c r="D65" s="17" t="s">
        <v>319</v>
      </c>
      <c r="E65" s="17" t="s">
        <v>472</v>
      </c>
      <c r="F65" s="17" t="s">
        <v>490</v>
      </c>
      <c r="G65" s="17" t="s">
        <v>472</v>
      </c>
      <c r="H65" s="17" t="s">
        <v>82</v>
      </c>
      <c r="I65" s="17">
        <v>20196</v>
      </c>
      <c r="J65" s="17" t="s">
        <v>54</v>
      </c>
      <c r="K65" s="17" t="s">
        <v>94</v>
      </c>
      <c r="L65" s="17" t="s">
        <v>20</v>
      </c>
      <c r="M65" s="17" t="s">
        <v>201</v>
      </c>
      <c r="N65" s="17" t="s">
        <v>20</v>
      </c>
      <c r="O65" s="17" t="s">
        <v>258</v>
      </c>
      <c r="P65" s="17" t="s">
        <v>20</v>
      </c>
      <c r="Q65" s="17" t="s">
        <v>314</v>
      </c>
      <c r="R65" s="17" t="s">
        <v>20</v>
      </c>
      <c r="S65" s="17" t="s">
        <v>257</v>
      </c>
      <c r="T65" s="17">
        <v>101</v>
      </c>
      <c r="U65" s="18">
        <v>0</v>
      </c>
      <c r="V65" s="17" t="s">
        <v>473</v>
      </c>
      <c r="W65" s="17" t="s">
        <v>474</v>
      </c>
      <c r="X65" s="17" t="s">
        <v>64</v>
      </c>
      <c r="Y65" s="17" t="s">
        <v>205</v>
      </c>
      <c r="Z65" s="17" t="s">
        <v>242</v>
      </c>
      <c r="AA65" s="31">
        <v>783611.77522900002</v>
      </c>
      <c r="AB65" s="31">
        <v>2421955.8513400001</v>
      </c>
    </row>
    <row r="66" spans="1:28">
      <c r="A66" s="30">
        <v>65</v>
      </c>
      <c r="B66" s="17">
        <v>611151</v>
      </c>
      <c r="C66" s="17" t="s">
        <v>206</v>
      </c>
      <c r="D66" s="17" t="s">
        <v>52</v>
      </c>
      <c r="E66" s="17" t="s">
        <v>475</v>
      </c>
      <c r="F66" s="17" t="s">
        <v>491</v>
      </c>
      <c r="G66" s="17" t="s">
        <v>316</v>
      </c>
      <c r="H66" s="17" t="s">
        <v>82</v>
      </c>
      <c r="I66" s="17">
        <v>20263</v>
      </c>
      <c r="J66" s="17" t="s">
        <v>54</v>
      </c>
      <c r="K66" s="17" t="s">
        <v>70</v>
      </c>
      <c r="L66" s="17" t="s">
        <v>20</v>
      </c>
      <c r="M66" s="17" t="s">
        <v>315</v>
      </c>
      <c r="N66" s="17" t="s">
        <v>56</v>
      </c>
      <c r="O66" s="17" t="s">
        <v>109</v>
      </c>
      <c r="P66" s="17" t="s">
        <v>98</v>
      </c>
      <c r="Q66" s="17" t="s">
        <v>251</v>
      </c>
      <c r="R66" s="17" t="s">
        <v>20</v>
      </c>
      <c r="S66" s="17" t="s">
        <v>250</v>
      </c>
      <c r="T66" s="17">
        <v>120</v>
      </c>
      <c r="U66" s="18">
        <v>0</v>
      </c>
      <c r="V66" s="17" t="s">
        <v>476</v>
      </c>
      <c r="W66" s="17" t="s">
        <v>477</v>
      </c>
      <c r="X66" s="17" t="s">
        <v>59</v>
      </c>
      <c r="Y66" s="17" t="s">
        <v>205</v>
      </c>
      <c r="Z66" s="17" t="s">
        <v>242</v>
      </c>
      <c r="AA66" s="31">
        <v>784331.08615300001</v>
      </c>
      <c r="AB66" s="31">
        <v>2419942.9035100001</v>
      </c>
    </row>
    <row r="67" spans="1:28">
      <c r="A67" s="30">
        <v>66</v>
      </c>
      <c r="B67" s="17">
        <v>611161</v>
      </c>
      <c r="C67" s="17" t="s">
        <v>206</v>
      </c>
      <c r="D67" s="17" t="s">
        <v>52</v>
      </c>
      <c r="E67" s="17" t="s">
        <v>478</v>
      </c>
      <c r="F67" s="17" t="s">
        <v>489</v>
      </c>
      <c r="H67" s="17" t="s">
        <v>82</v>
      </c>
      <c r="I67" s="17">
        <v>20196</v>
      </c>
      <c r="J67" s="17" t="s">
        <v>54</v>
      </c>
      <c r="K67" s="17" t="s">
        <v>55</v>
      </c>
      <c r="L67" s="17" t="s">
        <v>20</v>
      </c>
      <c r="M67" s="17" t="s">
        <v>314</v>
      </c>
      <c r="N67" s="17" t="s">
        <v>20</v>
      </c>
      <c r="O67" s="17" t="s">
        <v>254</v>
      </c>
      <c r="P67" s="17" t="s">
        <v>20</v>
      </c>
      <c r="Q67" s="17" t="s">
        <v>256</v>
      </c>
      <c r="R67" s="17" t="s">
        <v>20</v>
      </c>
      <c r="S67" s="17" t="s">
        <v>248</v>
      </c>
      <c r="T67" s="17">
        <v>304</v>
      </c>
      <c r="U67" s="18">
        <v>0</v>
      </c>
      <c r="V67" s="17" t="s">
        <v>479</v>
      </c>
      <c r="X67" s="17" t="s">
        <v>64</v>
      </c>
      <c r="Y67" s="17" t="s">
        <v>205</v>
      </c>
      <c r="Z67" s="17" t="s">
        <v>242</v>
      </c>
      <c r="AA67" s="31">
        <v>784183.18325899995</v>
      </c>
      <c r="AB67" s="31">
        <v>2421433.9772399999</v>
      </c>
    </row>
    <row r="68" spans="1:28">
      <c r="A68" s="30">
        <v>67</v>
      </c>
      <c r="B68" s="17">
        <v>611161</v>
      </c>
      <c r="C68" s="17" t="s">
        <v>206</v>
      </c>
      <c r="D68" s="17" t="s">
        <v>52</v>
      </c>
      <c r="E68" s="17" t="s">
        <v>480</v>
      </c>
      <c r="F68" s="17" t="s">
        <v>489</v>
      </c>
      <c r="G68" s="17" t="s">
        <v>481</v>
      </c>
      <c r="H68" s="17" t="s">
        <v>82</v>
      </c>
      <c r="I68" s="17">
        <v>20263</v>
      </c>
      <c r="J68" s="17" t="s">
        <v>54</v>
      </c>
      <c r="K68" s="17" t="s">
        <v>70</v>
      </c>
      <c r="L68" s="17" t="s">
        <v>20</v>
      </c>
      <c r="M68" s="17" t="s">
        <v>252</v>
      </c>
      <c r="N68" s="17" t="s">
        <v>20</v>
      </c>
      <c r="O68" s="17" t="s">
        <v>255</v>
      </c>
      <c r="P68" s="17" t="s">
        <v>20</v>
      </c>
      <c r="Q68" s="17" t="s">
        <v>253</v>
      </c>
      <c r="R68" s="17" t="s">
        <v>20</v>
      </c>
      <c r="S68" s="17" t="s">
        <v>249</v>
      </c>
      <c r="T68" s="17">
        <v>316</v>
      </c>
      <c r="U68" s="18">
        <v>4499746909</v>
      </c>
      <c r="V68" s="17" t="s">
        <v>482</v>
      </c>
      <c r="X68" s="17" t="s">
        <v>63</v>
      </c>
      <c r="Y68" s="17" t="s">
        <v>205</v>
      </c>
      <c r="Z68" s="17" t="s">
        <v>242</v>
      </c>
      <c r="AA68" s="31">
        <v>784252.452269</v>
      </c>
      <c r="AB68" s="31">
        <v>2420414.0208399999</v>
      </c>
    </row>
    <row r="69" spans="1:28">
      <c r="A69" s="30">
        <v>68</v>
      </c>
      <c r="B69" s="17">
        <v>611162</v>
      </c>
      <c r="C69" s="17" t="s">
        <v>206</v>
      </c>
      <c r="D69" s="17" t="s">
        <v>319</v>
      </c>
      <c r="E69" s="17" t="s">
        <v>483</v>
      </c>
      <c r="F69" s="17" t="s">
        <v>490</v>
      </c>
      <c r="G69" s="17" t="s">
        <v>334</v>
      </c>
      <c r="H69" s="17" t="s">
        <v>82</v>
      </c>
      <c r="I69" s="17">
        <v>20328</v>
      </c>
      <c r="J69" s="17" t="s">
        <v>54</v>
      </c>
      <c r="K69" s="17" t="s">
        <v>55</v>
      </c>
      <c r="L69" s="17" t="s">
        <v>56</v>
      </c>
      <c r="M69" s="17" t="s">
        <v>259</v>
      </c>
      <c r="N69" s="17" t="s">
        <v>20</v>
      </c>
      <c r="O69" s="17" t="s">
        <v>65</v>
      </c>
      <c r="P69" s="17" t="s">
        <v>20</v>
      </c>
      <c r="Q69" s="17" t="s">
        <v>112</v>
      </c>
      <c r="R69" s="17" t="s">
        <v>20</v>
      </c>
      <c r="S69" s="17" t="s">
        <v>263</v>
      </c>
      <c r="T69" s="17">
        <v>605</v>
      </c>
      <c r="U69" s="18">
        <v>0</v>
      </c>
      <c r="X69" s="17" t="s">
        <v>59</v>
      </c>
      <c r="Y69" s="17" t="s">
        <v>112</v>
      </c>
      <c r="Z69" s="17" t="s">
        <v>262</v>
      </c>
      <c r="AA69" s="31">
        <v>774985.67297299998</v>
      </c>
      <c r="AB69" s="31">
        <v>2426964.1759600001</v>
      </c>
    </row>
    <row r="70" spans="1:28">
      <c r="A70" s="30">
        <v>69</v>
      </c>
      <c r="B70" s="17">
        <v>611162</v>
      </c>
      <c r="C70" s="17" t="s">
        <v>206</v>
      </c>
      <c r="D70" s="17" t="s">
        <v>319</v>
      </c>
      <c r="E70" s="17" t="s">
        <v>484</v>
      </c>
      <c r="F70" s="17" t="s">
        <v>490</v>
      </c>
      <c r="G70" s="17" t="s">
        <v>485</v>
      </c>
      <c r="H70" s="17" t="s">
        <v>81</v>
      </c>
      <c r="I70" s="17">
        <v>20131</v>
      </c>
      <c r="J70" s="17" t="s">
        <v>54</v>
      </c>
      <c r="K70" s="17" t="s">
        <v>75</v>
      </c>
      <c r="L70" s="17" t="s">
        <v>20</v>
      </c>
      <c r="M70" s="17" t="s">
        <v>260</v>
      </c>
      <c r="N70" s="17" t="s">
        <v>56</v>
      </c>
      <c r="O70" s="17" t="s">
        <v>118</v>
      </c>
      <c r="Q70" s="17" t="s">
        <v>176</v>
      </c>
      <c r="S70" s="17" t="s">
        <v>58</v>
      </c>
      <c r="T70" s="17">
        <v>99</v>
      </c>
      <c r="U70" s="18">
        <v>0</v>
      </c>
      <c r="X70" s="17" t="s">
        <v>59</v>
      </c>
      <c r="Y70" s="17" t="s">
        <v>112</v>
      </c>
      <c r="Z70" s="17" t="s">
        <v>262</v>
      </c>
      <c r="AA70" s="31">
        <v>776855.64415800001</v>
      </c>
      <c r="AB70" s="31">
        <v>2425253.4129699999</v>
      </c>
    </row>
    <row r="71" spans="1:28">
      <c r="A71" s="30">
        <v>70</v>
      </c>
      <c r="B71" s="17">
        <v>611161</v>
      </c>
      <c r="C71" s="17" t="s">
        <v>206</v>
      </c>
      <c r="D71" s="17" t="s">
        <v>52</v>
      </c>
      <c r="E71" s="17" t="s">
        <v>486</v>
      </c>
      <c r="F71" s="17" t="s">
        <v>489</v>
      </c>
      <c r="G71" s="17" t="s">
        <v>487</v>
      </c>
      <c r="H71" s="17" t="s">
        <v>82</v>
      </c>
      <c r="I71" s="17">
        <v>20130</v>
      </c>
      <c r="J71" s="17" t="s">
        <v>54</v>
      </c>
      <c r="K71" s="17" t="s">
        <v>70</v>
      </c>
      <c r="L71" s="17" t="s">
        <v>56</v>
      </c>
      <c r="M71" s="17" t="s">
        <v>260</v>
      </c>
      <c r="N71" s="17" t="s">
        <v>56</v>
      </c>
      <c r="O71" s="17" t="s">
        <v>118</v>
      </c>
      <c r="P71" s="17" t="s">
        <v>20</v>
      </c>
      <c r="Q71" s="17" t="s">
        <v>264</v>
      </c>
      <c r="R71" s="17" t="s">
        <v>56</v>
      </c>
      <c r="S71" s="17" t="s">
        <v>134</v>
      </c>
      <c r="T71" s="17">
        <v>0</v>
      </c>
      <c r="U71" s="18">
        <v>4499968040</v>
      </c>
      <c r="V71" s="17" t="s">
        <v>488</v>
      </c>
      <c r="X71" s="17" t="s">
        <v>63</v>
      </c>
      <c r="Y71" s="17" t="s">
        <v>112</v>
      </c>
      <c r="Z71" s="17" t="s">
        <v>262</v>
      </c>
      <c r="AA71" s="31">
        <v>777221.87698299997</v>
      </c>
      <c r="AB71" s="31">
        <v>2425221.4920899998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24EU_EDU_MEDIA SUPERIOR</vt:lpstr>
      <vt:lpstr>BASE DE DATOS_EDU_MEDIA SUPERIO</vt:lpstr>
      <vt:lpstr>'24EU_EDU_MEDIA SUPERIOR'!Área_de_impresión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IMPLAN 681026</cp:lastModifiedBy>
  <cp:lastPrinted>2024-06-10T21:24:02Z</cp:lastPrinted>
  <dcterms:created xsi:type="dcterms:W3CDTF">2024-03-04T20:54:05Z</dcterms:created>
  <dcterms:modified xsi:type="dcterms:W3CDTF">2025-08-13T15:00:51Z</dcterms:modified>
</cp:coreProperties>
</file>