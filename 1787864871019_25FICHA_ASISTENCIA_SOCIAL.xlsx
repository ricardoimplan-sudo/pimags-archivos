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ASISTENCIA SOCIAL\"/>
    </mc:Choice>
  </mc:AlternateContent>
  <bookViews>
    <workbookView xWindow="0" yWindow="0" windowWidth="20490" windowHeight="6855"/>
  </bookViews>
  <sheets>
    <sheet name="24EU_ASISTENCIA SOCIAL" sheetId="1" r:id="rId1"/>
    <sheet name="BASE DE DATOS_ASISTENCIA SOCIAL" sheetId="2" r:id="rId2"/>
  </sheets>
  <definedNames>
    <definedName name="_xlnm.Print_Area" localSheetId="0">'24EU_ASISTENCIA SOCIAL'!$A$1:$C$35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1" l="1"/>
  <c r="C30" i="1" l="1"/>
  <c r="C29" i="1"/>
  <c r="C28" i="1"/>
  <c r="C27" i="1"/>
  <c r="C26" i="1"/>
  <c r="C25" i="1"/>
  <c r="C24" i="1"/>
  <c r="C23" i="1"/>
  <c r="C22" i="1"/>
  <c r="C31" i="1"/>
  <c r="C32" i="1"/>
  <c r="C34" i="1"/>
  <c r="C33" i="1"/>
  <c r="C20" i="1"/>
</calcChain>
</file>

<file path=xl/sharedStrings.xml><?xml version="1.0" encoding="utf-8"?>
<sst xmlns="http://schemas.openxmlformats.org/spreadsheetml/2006/main" count="11757" uniqueCount="2605">
  <si>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</si>
  <si>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</si>
  <si>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</si>
  <si>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</si>
  <si>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</si>
  <si>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</si>
  <si>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</si>
  <si>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</si>
  <si>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</si>
  <si>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</si>
  <si>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</si>
  <si>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</si>
  <si>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</si>
  <si>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</si>
  <si>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</si>
  <si>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</si>
  <si>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</si>
  <si>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</si>
  <si>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</si>
  <si>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</si>
  <si>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</si>
  <si>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</si>
  <si>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</si>
  <si>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</si>
  <si>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</si>
  <si>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</si>
  <si>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</si>
  <si>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</si>
  <si>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</si>
  <si>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</si>
  <si>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</si>
  <si>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</si>
  <si>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</si>
  <si>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</si>
  <si>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</si>
  <si>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</si>
  <si>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</si>
  <si>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</si>
  <si>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</si>
  <si>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</si>
  <si>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</si>
  <si>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</si>
  <si>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</si>
  <si>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</si>
  <si>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</si>
  <si>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</si>
  <si>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</si>
  <si>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</si>
  <si>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</si>
  <si>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</si>
  <si>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</si>
  <si>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</si>
  <si>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</si>
  <si>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</si>
  <si>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</si>
  <si>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</si>
  <si>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</si>
  <si>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</si>
  <si>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</si>
  <si>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</si>
  <si>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</si>
  <si>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</si>
  <si>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</si>
  <si>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</si>
  <si>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</si>
  <si>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CORRIENTE DE AGUA</t>
  </si>
  <si>
    <t>AGUSTIN DE ITURBIDE</t>
  </si>
  <si>
    <t>2010-07</t>
  </si>
  <si>
    <t>SAN MIGUEL</t>
  </si>
  <si>
    <t>COLONIA</t>
  </si>
  <si>
    <t>REVOLUCION</t>
  </si>
  <si>
    <t>FRANCISCO I. MADERO</t>
  </si>
  <si>
    <t>EMILIANO ZAPATA</t>
  </si>
  <si>
    <t>VENUSTIANO CARRANZA</t>
  </si>
  <si>
    <t>IGNACIO ZARAGOZA</t>
  </si>
  <si>
    <t>FELIPE  NGELES</t>
  </si>
  <si>
    <t>CEDRO</t>
  </si>
  <si>
    <t>CRISANTEMOS</t>
  </si>
  <si>
    <t>11 a 30 personas</t>
  </si>
  <si>
    <t>CASUARINA</t>
  </si>
  <si>
    <t>ABASOLO</t>
  </si>
  <si>
    <t>5 DE MAYO</t>
  </si>
  <si>
    <t>16 DE SEPTIEMBRE</t>
  </si>
  <si>
    <t>FRANCISCO VILLA</t>
  </si>
  <si>
    <t>FELIPE ANGELES</t>
  </si>
  <si>
    <t>MIGUEL HIDALGO Y COSTILLA</t>
  </si>
  <si>
    <t>EJIDO</t>
  </si>
  <si>
    <t>CA├æADA HONDA</t>
  </si>
  <si>
    <t>31 a 50 personas</t>
  </si>
  <si>
    <t>OTRO(ESPECIFIQUE)</t>
  </si>
  <si>
    <t>2023-11</t>
  </si>
  <si>
    <t>SIN REFERENCIA</t>
  </si>
  <si>
    <t>UNIDAD HABITACIONAL</t>
  </si>
  <si>
    <t>GERANIO</t>
  </si>
  <si>
    <t>CARLOS GONZALEZ MARMOLEJO</t>
  </si>
  <si>
    <t>CIRCUITO</t>
  </si>
  <si>
    <t>(REFOM)-CA├æADA</t>
  </si>
  <si>
    <t>PARAJE</t>
  </si>
  <si>
    <t>BENITO JUAREZ</t>
  </si>
  <si>
    <t>GUADALUPE VICTORIA</t>
  </si>
  <si>
    <t>PROFESOR EDMUNDO GAMEZ OROZCO</t>
  </si>
  <si>
    <t>PROFESORA ESPERANZA MATEOS DE MEDINA</t>
  </si>
  <si>
    <t>PUEBLO</t>
  </si>
  <si>
    <t>MEXICO</t>
  </si>
  <si>
    <t>FRACCIONAMIENTO</t>
  </si>
  <si>
    <t>REFORMA</t>
  </si>
  <si>
    <t>INDEPENDENCIA</t>
  </si>
  <si>
    <t>EJERCITO NACIONAL</t>
  </si>
  <si>
    <t>LONDRES</t>
  </si>
  <si>
    <t>LOCALIDAD</t>
  </si>
  <si>
    <t>TAMPICO</t>
  </si>
  <si>
    <t>RANCHERIA</t>
  </si>
  <si>
    <t>CORREGIDORA</t>
  </si>
  <si>
    <t>20 DE NOVIEMBRE</t>
  </si>
  <si>
    <t>20 de Noviembre</t>
  </si>
  <si>
    <t>25 DE ABRIL</t>
  </si>
  <si>
    <t>2016-01</t>
  </si>
  <si>
    <t>LEONES</t>
  </si>
  <si>
    <t>(REFOM)-PE├æUELAS</t>
  </si>
  <si>
    <t>TIGRES</t>
  </si>
  <si>
    <t>RIELEROS</t>
  </si>
  <si>
    <t>LIGA DEL PACIFICO</t>
  </si>
  <si>
    <t>UVA</t>
  </si>
  <si>
    <t>NOGAL</t>
  </si>
  <si>
    <t>PE├æUELAS</t>
  </si>
  <si>
    <t>101 a 250 personas</t>
  </si>
  <si>
    <t>HACIENDA DE LOS CAMPOS</t>
  </si>
  <si>
    <t>LIBERTAD</t>
  </si>
  <si>
    <t>ADOLFO LOPEZ MATEOS</t>
  </si>
  <si>
    <t>L</t>
  </si>
  <si>
    <t>D</t>
  </si>
  <si>
    <t>2021-05</t>
  </si>
  <si>
    <t>51 a 100 personas</t>
  </si>
  <si>
    <t>2020-11</t>
  </si>
  <si>
    <t>GRANJA</t>
  </si>
  <si>
    <t>HACIENDA DE MILPILLAS NORTE</t>
  </si>
  <si>
    <t>HACIENDA DE MILPILLAS SUR</t>
  </si>
  <si>
    <t>LICENCIADO ADOLFO RUIZ CORTINES</t>
  </si>
  <si>
    <t>2016-10</t>
  </si>
  <si>
    <t>SAN JOSE</t>
  </si>
  <si>
    <t>GUADALUPE</t>
  </si>
  <si>
    <t>C MUNICIPIO AGUASCALIENTES</t>
  </si>
  <si>
    <t>PROLONGACION</t>
  </si>
  <si>
    <t>PASEO DE LA ASUNCION</t>
  </si>
  <si>
    <t>CENTRO PONIENTE</t>
  </si>
  <si>
    <t>(ZUFO)- SAN FRANCISCO</t>
  </si>
  <si>
    <t>MARISCAL RAFAEL OROPEZA</t>
  </si>
  <si>
    <t>GENERAL LAZARO CARDENAS</t>
  </si>
  <si>
    <t>MARGARITA MAZA DE JUAREZ</t>
  </si>
  <si>
    <t>CAPIT</t>
  </si>
  <si>
    <t>INSTITUTO Y  EDUCACION Y  AGUASCALIENTES</t>
  </si>
  <si>
    <t>MARIANO ABAD MIRAMONTES</t>
  </si>
  <si>
    <t>SARGENTO LUCIANO PONCE</t>
  </si>
  <si>
    <t>CONVENCION</t>
  </si>
  <si>
    <t>DOCTOR MARIANO AZUELA</t>
  </si>
  <si>
    <t>BELISARIO DOMINGUEZ</t>
  </si>
  <si>
    <t>ANDADOR</t>
  </si>
  <si>
    <t>VALENTE QUINTANA</t>
  </si>
  <si>
    <t>SARGENTO RAMON AZCONA</t>
  </si>
  <si>
    <t>GENERAL LRZARO CORDENAS</t>
  </si>
  <si>
    <t>CANARIO</t>
  </si>
  <si>
    <t>BOULEVARD</t>
  </si>
  <si>
    <t>BGUILA</t>
  </si>
  <si>
    <t>ANTONIO DIAZ SOTO Y GAMA</t>
  </si>
  <si>
    <t>DOROTEO ARANGO</t>
  </si>
  <si>
    <t>FAISAN</t>
  </si>
  <si>
    <t>PICO DE ORIZABA</t>
  </si>
  <si>
    <t>CAPITAN DIEGO FERNANDEZ VILLA</t>
  </si>
  <si>
    <t>MAHATMA GANDHI</t>
  </si>
  <si>
    <t>SARGENTO CARLOS MARTINEZ</t>
  </si>
  <si>
    <t>AGUASCALIENTES SUR</t>
  </si>
  <si>
    <t>GENERAL FRANCISCO CARRERA TORRES</t>
  </si>
  <si>
    <t>GENERAL FORTUNATO MAYCOTTE</t>
  </si>
  <si>
    <t>GENERAL MARTIN ESPINOZA SANCHEZ</t>
  </si>
  <si>
    <t>GENERAL MANUEL M. DIEGUEZ</t>
  </si>
  <si>
    <t>GENERAL MATEO ALMANZA</t>
  </si>
  <si>
    <t>2011-03</t>
  </si>
  <si>
    <t>INSURGENTES</t>
  </si>
  <si>
    <t>ABRAHAM GONZALEZ</t>
  </si>
  <si>
    <t>ANDADOR DE LAS GAVIOTAS</t>
  </si>
  <si>
    <t>SOLOM SABRE</t>
  </si>
  <si>
    <t>ROSAURA ZAPATA</t>
  </si>
  <si>
    <t>MOHENO QUERIDO</t>
  </si>
  <si>
    <t>GENERAL JULIAN MEDINA</t>
  </si>
  <si>
    <t>JOSE MARIA GONZALEZ BOCANEGRA</t>
  </si>
  <si>
    <t>JOSE CALVILLO</t>
  </si>
  <si>
    <t>SOBERANA CONVENCION MILITAR REVOLUCIONARIA</t>
  </si>
  <si>
    <t>ANITA BRENNER</t>
  </si>
  <si>
    <t>ROSAL</t>
  </si>
  <si>
    <t>DOCTOR JESLS ROMO ARMERAA</t>
  </si>
  <si>
    <t>JUAN G. TIJERINA</t>
  </si>
  <si>
    <t>CREPUSCULO</t>
  </si>
  <si>
    <t>SIGLO XXI</t>
  </si>
  <si>
    <t>AVENIDA DE LOS MAESTROS</t>
  </si>
  <si>
    <t>REVOLUCIEN</t>
  </si>
  <si>
    <t>GENERAL LUIS MOYA</t>
  </si>
  <si>
    <t>Semifijo</t>
  </si>
  <si>
    <t>POCITOS</t>
  </si>
  <si>
    <t>MORELOS</t>
  </si>
  <si>
    <t>SAN FRANCISCO</t>
  </si>
  <si>
    <t>CASIMIRA ARTEAGA</t>
  </si>
  <si>
    <t>ANTONIO HERNANDEZ GALLEGOS</t>
  </si>
  <si>
    <t>GENERAL PASCUAL CORNEJO BRUN</t>
  </si>
  <si>
    <t>PROFESOR JOSE RAMIREZ PALOS</t>
  </si>
  <si>
    <t>ARQUITECTO CARLOS CONTRERAS</t>
  </si>
  <si>
    <t>AUSTRAL</t>
  </si>
  <si>
    <t>LEONA VICARIO</t>
  </si>
  <si>
    <t>GERARDO MURILLO</t>
  </si>
  <si>
    <t>JOSEFA ORTIZ DE DOMINGUEZ</t>
  </si>
  <si>
    <t>ROSALIA MONROY</t>
  </si>
  <si>
    <t>REVOLUCIAN</t>
  </si>
  <si>
    <t>AMARELO</t>
  </si>
  <si>
    <t>TORINO</t>
  </si>
  <si>
    <t>FORA</t>
  </si>
  <si>
    <t>DOMINGO DIEZ</t>
  </si>
  <si>
    <t>LAZARO CARDENAS</t>
  </si>
  <si>
    <t>2013-07</t>
  </si>
  <si>
    <t>CERRADA</t>
  </si>
  <si>
    <t>REGIMIENTO DE DRAGONES</t>
  </si>
  <si>
    <t>MUJERES ILUSTRES</t>
  </si>
  <si>
    <t>RICARDO GARCIA MENDOZA</t>
  </si>
  <si>
    <t>SAN MARCOS</t>
  </si>
  <si>
    <t>AGUASCALIENTES PONIENTE</t>
  </si>
  <si>
    <t>MALAGA</t>
  </si>
  <si>
    <t>CORONEL JOSE RINCON GALLARDO</t>
  </si>
  <si>
    <t>FRAY SERVANDO TERESA DE MIER</t>
  </si>
  <si>
    <t>FRAY TORIBIO DE BENAVENTE</t>
  </si>
  <si>
    <t>HEROE DE NACOZARI NORTE</t>
  </si>
  <si>
    <t>DECRETO 27 DE SEPTIEMBRE</t>
  </si>
  <si>
    <t>28 DE AGOSTO</t>
  </si>
  <si>
    <t>CENTRO ORIENTE</t>
  </si>
  <si>
    <t>(ZUFO)-ARELLANO</t>
  </si>
  <si>
    <t>JESLS CONSUELO</t>
  </si>
  <si>
    <t>CORONEL FELIX DE LA PAZ</t>
  </si>
  <si>
    <t>ALFREDO LEWIS</t>
  </si>
  <si>
    <t>GENERAL FRANCISCO VILLA</t>
  </si>
  <si>
    <t>INGENIERO TOMAS MEDINA UGARTE</t>
  </si>
  <si>
    <t>DOCTOR ISIDRO CALERA</t>
  </si>
  <si>
    <t>DOCTOR CARLOS M. LOPEZ</t>
  </si>
  <si>
    <t>MELQUIADES MORENO</t>
  </si>
  <si>
    <t>JOSL BOLADO</t>
  </si>
  <si>
    <t>FELIX DE LA PAZ</t>
  </si>
  <si>
    <t>GENERAL IGNACIO ZARAGOZA</t>
  </si>
  <si>
    <t>PRIMAVERA</t>
  </si>
  <si>
    <t>CONDOMINIO</t>
  </si>
  <si>
    <t>NORBERTO GOMEZ HORNEDO</t>
  </si>
  <si>
    <t>SAUCE</t>
  </si>
  <si>
    <t>PETROLEOS MEXICANOS</t>
  </si>
  <si>
    <t>INDEPENDENCIA DE MEXICO</t>
  </si>
  <si>
    <t>VASCO DE GAMA</t>
  </si>
  <si>
    <t>HVroe de Nacozari Norte</t>
  </si>
  <si>
    <t>GENERAL ENRIQUE ESTRADA</t>
  </si>
  <si>
    <t>GENERAL MIGUEL BARRAGAN</t>
  </si>
  <si>
    <t>JOSE BOLADO</t>
  </si>
  <si>
    <t>MARTIN ENRIQUE DE ALMANZA</t>
  </si>
  <si>
    <t>PRIVADA PROFESOR JOSE R. PALOS</t>
  </si>
  <si>
    <t>PONCIANO ARRIAGA</t>
  </si>
  <si>
    <t>MARINA NACIONAL</t>
  </si>
  <si>
    <t>RIO PAPALOAPAN</t>
  </si>
  <si>
    <t>CORONEL JESUS R. MACIAS</t>
  </si>
  <si>
    <t>Doctor Isidro Calera</t>
  </si>
  <si>
    <t>SARGENTO LIBERATO SANTA CRUZ</t>
  </si>
  <si>
    <t>GENERAL JOSE MARIA ARTEAGA</t>
  </si>
  <si>
    <t>DOLORES</t>
  </si>
  <si>
    <t>MELQU</t>
  </si>
  <si>
    <t>PALMA</t>
  </si>
  <si>
    <t>GERTRUDIS BERKEFER</t>
  </si>
  <si>
    <t>ROBLE</t>
  </si>
  <si>
    <t>CONVENCION DE 1914 NORTE</t>
  </si>
  <si>
    <t>PINO</t>
  </si>
  <si>
    <t>CLAMO</t>
  </si>
  <si>
    <t>DOCTOR PEDRO DE ALBA</t>
  </si>
  <si>
    <t>NAVARRETE</t>
  </si>
  <si>
    <t>GENERAL EMILIANO ZAPATA</t>
  </si>
  <si>
    <t>DAVID REYNOSO FLORES</t>
  </si>
  <si>
    <t>ASUNCION</t>
  </si>
  <si>
    <t>TALAMANTES</t>
  </si>
  <si>
    <t>LIMA</t>
  </si>
  <si>
    <t>NARANJO</t>
  </si>
  <si>
    <t>MANOLO MARTINEZ</t>
  </si>
  <si>
    <t>26 DE MARZO</t>
  </si>
  <si>
    <t>CONVENCION DE 1914 PONIENTE</t>
  </si>
  <si>
    <t>PARLS</t>
  </si>
  <si>
    <t>AQUILES ELORDUY</t>
  </si>
  <si>
    <t>NIETO</t>
  </si>
  <si>
    <t>CHABACANO</t>
  </si>
  <si>
    <t>LICENCIADO ADOLFO LOPEZ MATEOS PONIENTE</t>
  </si>
  <si>
    <t>B</t>
  </si>
  <si>
    <t>C</t>
  </si>
  <si>
    <t>CONVENCIRN DE 1914 PONIENTE</t>
  </si>
  <si>
    <t>MAR CARIBE</t>
  </si>
  <si>
    <t>MARGIL DE JESUS</t>
  </si>
  <si>
    <t>ACACIA</t>
  </si>
  <si>
    <t>CARLOS SAGREDO</t>
  </si>
  <si>
    <t>FUNDICION</t>
  </si>
  <si>
    <t>BOULEVARD A ZACATECAS</t>
  </si>
  <si>
    <t>FERROCARRIL</t>
  </si>
  <si>
    <t>AGUASCALIENTES NORTE</t>
  </si>
  <si>
    <t>CBANO</t>
  </si>
  <si>
    <t>MEZQUITE</t>
  </si>
  <si>
    <t>CANAL INTERCEPTOR</t>
  </si>
  <si>
    <t>ALAMO</t>
  </si>
  <si>
    <t>ASIENTOS</t>
  </si>
  <si>
    <t>MAR DEL NORTE</t>
  </si>
  <si>
    <t>MAR MEDITERRANEO</t>
  </si>
  <si>
    <t>JOSE MARIA ELIZALDE</t>
  </si>
  <si>
    <t>MAR CASPIO</t>
  </si>
  <si>
    <t>TROQUEL</t>
  </si>
  <si>
    <t>MIGUEL RUELAS</t>
  </si>
  <si>
    <t>BENITO DIAZ</t>
  </si>
  <si>
    <t>BENJAMIN DE LA MORA</t>
  </si>
  <si>
    <t>PEATONAL</t>
  </si>
  <si>
    <t>ABEDUL</t>
  </si>
  <si>
    <t>RIO RHIN</t>
  </si>
  <si>
    <t>ESTAEO</t>
  </si>
  <si>
    <t>PIRACANTO</t>
  </si>
  <si>
    <t>SAN GABRIEL</t>
  </si>
  <si>
    <t>MANUEL KANT</t>
  </si>
  <si>
    <t>PEDRO GARCIA ROJAS</t>
  </si>
  <si>
    <t>ORO</t>
  </si>
  <si>
    <t>SAN JORGE</t>
  </si>
  <si>
    <t>MAR BALTICO</t>
  </si>
  <si>
    <t>ANTIGUO CAMINO A SAN IGNACIO</t>
  </si>
  <si>
    <t>SAN BARTOLO</t>
  </si>
  <si>
    <t>VICTOR M. DIAZ MACIAS</t>
  </si>
  <si>
    <t>18 DE MARZO</t>
  </si>
  <si>
    <t>ANTONIO CASO</t>
  </si>
  <si>
    <t>UNIVERSIDAD</t>
  </si>
  <si>
    <t>MAR DE GALILEA</t>
  </si>
  <si>
    <t>AURELIO GONZALEZ</t>
  </si>
  <si>
    <t>BENJAM N DE LA MORA</t>
  </si>
  <si>
    <t>A MUNICIPIO AGUASCALIENTES</t>
  </si>
  <si>
    <t>ARROYO</t>
  </si>
  <si>
    <t>SAN CLEMENTE</t>
  </si>
  <si>
    <t>SAN COSME</t>
  </si>
  <si>
    <t>CELSO BERNAL</t>
  </si>
  <si>
    <t>EUCALIPTO</t>
  </si>
  <si>
    <t>PLATA</t>
  </si>
  <si>
    <t>CALIPSO</t>
  </si>
  <si>
    <t>CIUDAD MADERO</t>
  </si>
  <si>
    <t>OAXACA</t>
  </si>
  <si>
    <t>SAN CAYETANO</t>
  </si>
  <si>
    <t>AFRODITA</t>
  </si>
  <si>
    <t>INDUSTRIA</t>
  </si>
  <si>
    <t>FELIPE RUIZ DE CHAVEZ</t>
  </si>
  <si>
    <t>TABACHIN</t>
  </si>
  <si>
    <t>SANTA IRENE</t>
  </si>
  <si>
    <t>SAN FELIPE</t>
  </si>
  <si>
    <t>CONJUNTO HABITACIONAL SAN BARTOLO 117</t>
  </si>
  <si>
    <t>INSTITUTO DE EDUCACION DE AGUASCALIENTES</t>
  </si>
  <si>
    <t>TABASCO</t>
  </si>
  <si>
    <t>PROLONGACION TEPEZALA</t>
  </si>
  <si>
    <t>SAN RAFAEL</t>
  </si>
  <si>
    <t>JARDINES ETERNOS</t>
  </si>
  <si>
    <t>TLAXCALA</t>
  </si>
  <si>
    <t>PROLONGACION DOCTOR SALVADOR QUEZADA LIMON</t>
  </si>
  <si>
    <t>PASEO DEL RIO</t>
  </si>
  <si>
    <t>CALLE DEL PARQUE</t>
  </si>
  <si>
    <t>MIGUEL ENGEL</t>
  </si>
  <si>
    <t>HOMBRES ILUSTRES</t>
  </si>
  <si>
    <t>CARLOS BARRON</t>
  </si>
  <si>
    <t>DOCTOR ALBERTO DEL VALLE</t>
  </si>
  <si>
    <t>RAFAEL ARELLANO</t>
  </si>
  <si>
    <t>ASUNCISN</t>
  </si>
  <si>
    <t>FELIPE BRIZUELA HERMOSILLO</t>
  </si>
  <si>
    <t>JESUS MARIA RODRIGUEZ</t>
  </si>
  <si>
    <t>FRANCISCO SARABIA</t>
  </si>
  <si>
    <t>FATIMA</t>
  </si>
  <si>
    <t>DOCTOR SALVADOR QUEZADA LIMON</t>
  </si>
  <si>
    <t>DINAMARCA</t>
  </si>
  <si>
    <t>ARROYO DE LOS ARELLANO</t>
  </si>
  <si>
    <t>MARIANO CHICO</t>
  </si>
  <si>
    <t>TIZIANO</t>
  </si>
  <si>
    <t>UNIDAD</t>
  </si>
  <si>
    <t>VISTAHERMOSA</t>
  </si>
  <si>
    <t>RAFAEL VLZQUEZ</t>
  </si>
  <si>
    <t>ARTURO NORMAN</t>
  </si>
  <si>
    <t>RIO DUERO</t>
  </si>
  <si>
    <t>RAO DUERO</t>
  </si>
  <si>
    <t>FRAY ANTONIO DE SEGOVIA</t>
  </si>
  <si>
    <t>(ZUFO)-AYUNTAMIENTO</t>
  </si>
  <si>
    <t>CONVENCION DE 1914 SUR</t>
  </si>
  <si>
    <t>PASEO JUAN DE TOLOSA</t>
  </si>
  <si>
    <t>DIEGO DE IBARRA</t>
  </si>
  <si>
    <t>CRISTOBAL COLON</t>
  </si>
  <si>
    <t>JARDIN DE ZARAGOZA</t>
  </si>
  <si>
    <t>DOCTOR JESUS DIAZ DE LEON</t>
  </si>
  <si>
    <t>AYUNTAMIENTO</t>
  </si>
  <si>
    <t>JARDIN DEL ENCINO</t>
  </si>
  <si>
    <t>HERNAN GONZALEZ</t>
  </si>
  <si>
    <t>JARDIN DEL ESTUDIANTE</t>
  </si>
  <si>
    <t>PAUL HARRIS</t>
  </si>
  <si>
    <t>PALL HARRIS</t>
  </si>
  <si>
    <t>LUIS ADOLFO</t>
  </si>
  <si>
    <t>MIGUEL CALDERA</t>
  </si>
  <si>
    <t>CRIST</t>
  </si>
  <si>
    <t>JOSE MARIA CHAVEZ</t>
  </si>
  <si>
    <t>JARDEN DEL ESTUDIANTE</t>
  </si>
  <si>
    <t>REPUBLICA DE HONDURAS</t>
  </si>
  <si>
    <t>ENRIQUE C. REBSAMEN</t>
  </si>
  <si>
    <t>PIRULES</t>
  </si>
  <si>
    <t>NUBINA</t>
  </si>
  <si>
    <t>CATALU</t>
  </si>
  <si>
    <t>ESPAEA</t>
  </si>
  <si>
    <t>ZAMORA</t>
  </si>
  <si>
    <t>CARDOBA</t>
  </si>
  <si>
    <t>SALAMANCA</t>
  </si>
  <si>
    <t>SANTANDER</t>
  </si>
  <si>
    <t>REPUBLICA DE GUATEMALA</t>
  </si>
  <si>
    <t>REPUBLICA DE ARGENTINA</t>
  </si>
  <si>
    <t>QUINTA AVENIDA</t>
  </si>
  <si>
    <t>LUIS HIDALGO MONROY</t>
  </si>
  <si>
    <t>DIEGO FERNANDEZ VILLA</t>
  </si>
  <si>
    <t>PROFESOR ENRIQUE OLIVARES SANTANA</t>
  </si>
  <si>
    <t>EUGENIO ALCALA</t>
  </si>
  <si>
    <t>MADRID</t>
  </si>
  <si>
    <t>SEGOVIA</t>
  </si>
  <si>
    <t>IGNACIO T. CHAVEZ</t>
  </si>
  <si>
    <t>REPUBLICA DE VENEZUELA</t>
  </si>
  <si>
    <t>LAURO AGUIRRE</t>
  </si>
  <si>
    <t>ALASKA</t>
  </si>
  <si>
    <t>LAS AMERICAS</t>
  </si>
  <si>
    <t>GRANADA</t>
  </si>
  <si>
    <t>CADIZ</t>
  </si>
  <si>
    <t>REPUBLICA DE CHILE</t>
  </si>
  <si>
    <t>BOGOTA</t>
  </si>
  <si>
    <t>REPUBLICA DE BRASIL</t>
  </si>
  <si>
    <t>LANCEROS DE AGUASCALIENTES</t>
  </si>
  <si>
    <t>REPUBLICA DE COLOMBIA</t>
  </si>
  <si>
    <t>REPUBLICA DE BELICE</t>
  </si>
  <si>
    <t>MEDELLIN</t>
  </si>
  <si>
    <t>LAS AMARICAS</t>
  </si>
  <si>
    <t>REPLBLICA DE COSTA RICA</t>
  </si>
  <si>
    <t>GILBERTO LOPEZ VELARDE</t>
  </si>
  <si>
    <t>BRASILIA</t>
  </si>
  <si>
    <t>ANDALUCIA</t>
  </si>
  <si>
    <t>TOLEDO</t>
  </si>
  <si>
    <t>ARAGON</t>
  </si>
  <si>
    <t>BURGOS</t>
  </si>
  <si>
    <t>TEREBINTO</t>
  </si>
  <si>
    <t>NISPERO</t>
  </si>
  <si>
    <t>DOCTOR E. GONZALEZ MEDINA</t>
  </si>
  <si>
    <t>REPUBLICA MEXICANA</t>
  </si>
  <si>
    <t>REPLBLICA DEL SALVADOR</t>
  </si>
  <si>
    <t>REPUBLICA DEL SALVADOR</t>
  </si>
  <si>
    <t>REPLBLICA DE GUATEMALA</t>
  </si>
  <si>
    <t>VICENCIO</t>
  </si>
  <si>
    <t>REPLBLICA DE CHILE</t>
  </si>
  <si>
    <t>REPUBLICA DE ECUADOR</t>
  </si>
  <si>
    <t>JOSE ISABEL ROBLES</t>
  </si>
  <si>
    <t>CLAVELES</t>
  </si>
  <si>
    <t>REPUBLICA DE PARAGUAY</t>
  </si>
  <si>
    <t>REPUBLICA DE URUGUAY</t>
  </si>
  <si>
    <t>REPUBLICA DE PANAMA</t>
  </si>
  <si>
    <t>REPUBLICA DOMINICANA</t>
  </si>
  <si>
    <t>LEO</t>
  </si>
  <si>
    <t>REPLBLICA DE URUGUAY</t>
  </si>
  <si>
    <t>PIRUL</t>
  </si>
  <si>
    <t>REPLBLICA DE COLOMBIA</t>
  </si>
  <si>
    <t>CLAMOS</t>
  </si>
  <si>
    <t>QUINTA</t>
  </si>
  <si>
    <t>CIUDAD</t>
  </si>
  <si>
    <t>PAMPLONA</t>
  </si>
  <si>
    <t>REPUBLICA DE COSTA RICA</t>
  </si>
  <si>
    <t>MEZCALA</t>
  </si>
  <si>
    <t>SINALOA</t>
  </si>
  <si>
    <t>MITLA</t>
  </si>
  <si>
    <t>HEROE DE NACOZARI SUR</t>
  </si>
  <si>
    <t>AVENIDA DEL LAGO</t>
  </si>
  <si>
    <t>PASEO DE LOS CISNES</t>
  </si>
  <si>
    <t>MAGNOLIA</t>
  </si>
  <si>
    <t>RESIDENCIAL</t>
  </si>
  <si>
    <t>(ZUFO)-CENTRO</t>
  </si>
  <si>
    <t>JUAN ESCUTIA</t>
  </si>
  <si>
    <t>GUTEMBERG</t>
  </si>
  <si>
    <t>MANUEL G. ESCOBEDO</t>
  </si>
  <si>
    <t>LANCEROS DE SAN LUIS</t>
  </si>
  <si>
    <t>PODER LEGISLATIVO</t>
  </si>
  <si>
    <t>5 DE FEBRERO</t>
  </si>
  <si>
    <t>GENERAL ALVARO OBREGON</t>
  </si>
  <si>
    <t>VAZQUEZ DEL MERCADO</t>
  </si>
  <si>
    <t>PEDRO PARGA</t>
  </si>
  <si>
    <t>LICENCIADO ADOLFO LOPEZ MATEOS ORIENTE</t>
  </si>
  <si>
    <t>MANUEL GOMEZ MORIN</t>
  </si>
  <si>
    <t>FRANCISCO G. HORNEDO</t>
  </si>
  <si>
    <t>DIANA</t>
  </si>
  <si>
    <t>ALAMEDA</t>
  </si>
  <si>
    <t>ARQUITECTO J. REFUGIO REYES</t>
  </si>
  <si>
    <t>AMATTO</t>
  </si>
  <si>
    <t>MAESTRO MIGUEL MENESES</t>
  </si>
  <si>
    <t>DELICIAS</t>
  </si>
  <si>
    <t>LA SALUD</t>
  </si>
  <si>
    <t>ACUEDUCTO</t>
  </si>
  <si>
    <t>LA LUNA</t>
  </si>
  <si>
    <t>3 DE MAYO</t>
  </si>
  <si>
    <t>SAN ATANASIO</t>
  </si>
  <si>
    <t>HEROICO COLEGIO MILITAR</t>
  </si>
  <si>
    <t>SIGLO XIX</t>
  </si>
  <si>
    <t>MARTIRES DEL RIO BLANCO</t>
  </si>
  <si>
    <t>BEETHOVEN</t>
  </si>
  <si>
    <t>PASEO DE LA CRUZ</t>
  </si>
  <si>
    <t>SOLEDAD</t>
  </si>
  <si>
    <t>SAN IGNACIO</t>
  </si>
  <si>
    <t>JESUS TERAN</t>
  </si>
  <si>
    <t>VALLADOLID</t>
  </si>
  <si>
    <t>JUAN DE MONTORO</t>
  </si>
  <si>
    <t>COSIO NORTE</t>
  </si>
  <si>
    <t>PRIVADA ALFONSO GUERRERO A.</t>
  </si>
  <si>
    <t>MUNICIPIO DE AGUASCALIENTES</t>
  </si>
  <si>
    <t>TRIANA NORTE</t>
  </si>
  <si>
    <t>EZEQUIEL A. CHAVEZ</t>
  </si>
  <si>
    <t>MARIA CONCEPCION AGUAYO</t>
  </si>
  <si>
    <t>ALBA</t>
  </si>
  <si>
    <t>PIMENTEL</t>
  </si>
  <si>
    <t>CALLE DEL AGUILA</t>
  </si>
  <si>
    <t>J. REFUGIO VELAZCO</t>
  </si>
  <si>
    <t>9 DE JULIO</t>
  </si>
  <si>
    <t>LARREATEGUI</t>
  </si>
  <si>
    <t>JESUS MARIA</t>
  </si>
  <si>
    <t>1810</t>
  </si>
  <si>
    <t>18 DE JULIO</t>
  </si>
  <si>
    <t>FRESNILLO</t>
  </si>
  <si>
    <t>WASCO</t>
  </si>
  <si>
    <t>GONZALEZ SARACHO</t>
  </si>
  <si>
    <t>AGUST</t>
  </si>
  <si>
    <t>LICENCIADO FRANCISCO PRIMO VERDAD</t>
  </si>
  <si>
    <t>DURANGO</t>
  </si>
  <si>
    <t>COSIO SUR</t>
  </si>
  <si>
    <t>GENERAL OLVARO OBREGON</t>
  </si>
  <si>
    <t>RAMON LOPEZ VELARDE</t>
  </si>
  <si>
    <t>GENERAL MIGUEL BARRAGPN</t>
  </si>
  <si>
    <t>DAMASCO</t>
  </si>
  <si>
    <t>CONSTITUCION</t>
  </si>
  <si>
    <t>VICENTE SUAREZ</t>
  </si>
  <si>
    <t>TENIENTE JUAN DE LA BARRERA</t>
  </si>
  <si>
    <t>FERNANDO MONTES DE OCA</t>
  </si>
  <si>
    <t>CALLE DE LA CRUZ</t>
  </si>
  <si>
    <t>GRANJENITO</t>
  </si>
  <si>
    <t>MIER Y PESADO</t>
  </si>
  <si>
    <t>GENERAL ANAYA</t>
  </si>
  <si>
    <t>FRANCISCO GONZALEZ BOCANEGRA</t>
  </si>
  <si>
    <t>SANTANA</t>
  </si>
  <si>
    <t>HVROE DE NACOZARI SUR</t>
  </si>
  <si>
    <t>CONVENCION DE 1914 ORIENTE</t>
  </si>
  <si>
    <t>MELCHOR OCAMPO</t>
  </si>
  <si>
    <t>PROFESOR FRANCISCO MELCHOR</t>
  </si>
  <si>
    <t>MAXICO</t>
  </si>
  <si>
    <t>GENERAL GUADALUPE VICTORIA</t>
  </si>
  <si>
    <t>GRANADITAS</t>
  </si>
  <si>
    <t>NUEVA DE LA PAZ</t>
  </si>
  <si>
    <t>PRIVADA ARQUITECTOS</t>
  </si>
  <si>
    <t>LARRE</t>
  </si>
  <si>
    <t>GENERAL PLVARO OBREGON</t>
  </si>
  <si>
    <t>JOSL MARRA MORELOS Y PAViN</t>
  </si>
  <si>
    <t>BENJAMIN FRANKLIN</t>
  </si>
  <si>
    <t>JESLS TER</t>
  </si>
  <si>
    <t>ATRIO DE SAN ANTONIO</t>
  </si>
  <si>
    <t>ALEGR</t>
  </si>
  <si>
    <t>AVENIDA FERROCARRIL</t>
  </si>
  <si>
    <t>ALFONSO RAMIREZ</t>
  </si>
  <si>
    <t>PROLONGACION COSIO</t>
  </si>
  <si>
    <t>JOSL MARDA CHsVEZ</t>
  </si>
  <si>
    <t>CARLOS A. SALAS</t>
  </si>
  <si>
    <t>RAO PIRULES</t>
  </si>
  <si>
    <t>ZACATECAS</t>
  </si>
  <si>
    <t>LOS DIAZ</t>
  </si>
  <si>
    <t>CONVENCI</t>
  </si>
  <si>
    <t>VALENTIN GOMEZ FARIAS</t>
  </si>
  <si>
    <t>MARIANO MATAMOROS NORTE</t>
  </si>
  <si>
    <t>RIVERO Y GUTIERREZ</t>
  </si>
  <si>
    <t>GOROSTIZA</t>
  </si>
  <si>
    <t>RINCON</t>
  </si>
  <si>
    <t>JOSE GUADALUPE POSADA</t>
  </si>
  <si>
    <t>ARTURO J. PANI</t>
  </si>
  <si>
    <t>MANUEL M. PONCE</t>
  </si>
  <si>
    <t>MONROY</t>
  </si>
  <si>
    <t>GALEANA SUR</t>
  </si>
  <si>
    <t>J. ASUNCION TORRES</t>
  </si>
  <si>
    <t>JOSL GUADALUPE POSADA</t>
  </si>
  <si>
    <t>PLAN DE AYUTLA</t>
  </si>
  <si>
    <t>RAFAEL GARCIA MACIAS</t>
  </si>
  <si>
    <t>ANTONIO ARIAS BERNAL</t>
  </si>
  <si>
    <t>JESUS F. CONTRERAS</t>
  </si>
  <si>
    <t>JESLS F. CONTRERAS</t>
  </si>
  <si>
    <t>CRISTO NEGRO</t>
  </si>
  <si>
    <t>GENERAL IGNACIO ALLENDE</t>
  </si>
  <si>
    <t>JOSE F. ELIZONDO</t>
  </si>
  <si>
    <t>GENERAL VICENTE GUERRERO SUR</t>
  </si>
  <si>
    <t>ALARCON</t>
  </si>
  <si>
    <t>LICENCIADO ADOLFO LAPEZ MATEOS PONIENTE</t>
  </si>
  <si>
    <t>REPLBLICA DE ECUADOR</t>
  </si>
  <si>
    <t>ARELLANO</t>
  </si>
  <si>
    <t>NICOLAS BRAVO</t>
  </si>
  <si>
    <t>CANDELARIO RIVAS</t>
  </si>
  <si>
    <t>TESORO</t>
  </si>
  <si>
    <t>MARIANO MATAMOROS SUR</t>
  </si>
  <si>
    <t>EDUARDO J. CORREA</t>
  </si>
  <si>
    <t>RAYLN</t>
  </si>
  <si>
    <t>BOGOT</t>
  </si>
  <si>
    <t>ALAMAN</t>
  </si>
  <si>
    <t>PROFESORA VICENTA TRUJILLO</t>
  </si>
  <si>
    <t>IGNACIO T CHAVEZ</t>
  </si>
  <si>
    <t>CALLE DEL CARMEN</t>
  </si>
  <si>
    <t>LA LUZ</t>
  </si>
  <si>
    <t>SAN CARLOS</t>
  </si>
  <si>
    <t>SAN ALBERTO</t>
  </si>
  <si>
    <t>67</t>
  </si>
  <si>
    <t>SANTA ANITA</t>
  </si>
  <si>
    <t>57</t>
  </si>
  <si>
    <t>PRIVADA CARPINTEROS</t>
  </si>
  <si>
    <t>RENE DESCARTES</t>
  </si>
  <si>
    <t>DESIDERIO MACIAS SILVA</t>
  </si>
  <si>
    <t>GUADALUPE PERALTA</t>
  </si>
  <si>
    <t>(ZUFO)-DON PASCUAL ORIENTE</t>
  </si>
  <si>
    <t>ANTONIA LOPEZ DE CHAVEZ</t>
  </si>
  <si>
    <t>CATEDRATICOS</t>
  </si>
  <si>
    <t>LUIS NAVARRO SOTOMAYOR</t>
  </si>
  <si>
    <t>SAN PABLO</t>
  </si>
  <si>
    <t>CULTURA OTOMI SUR</t>
  </si>
  <si>
    <t>SAN BERNARDO</t>
  </si>
  <si>
    <t>SALUD</t>
  </si>
  <si>
    <t>POLIDUCTO</t>
  </si>
  <si>
    <t>CULTURA OTOMa SUR</t>
  </si>
  <si>
    <t>CNGELA MARIA MACIAS ELIAS</t>
  </si>
  <si>
    <t>ANTONIO LEAL Y ROMERO</t>
  </si>
  <si>
    <t>IGNACIO MARIN</t>
  </si>
  <si>
    <t>ISABEL JIMENEZ DIAZ</t>
  </si>
  <si>
    <t>SAN PEDRO</t>
  </si>
  <si>
    <t>ALFA Y OMEGA</t>
  </si>
  <si>
    <t>RODOLFO LANDEROS GALLEGOS</t>
  </si>
  <si>
    <t>RECINTO AGAVE 103</t>
  </si>
  <si>
    <t>URBANISMO</t>
  </si>
  <si>
    <t>ADELINA FERNANDEZ REYNOSO</t>
  </si>
  <si>
    <t>CARMEN DE LUNA DE SEVILLA</t>
  </si>
  <si>
    <t>OFELIA SORIANO ESQUIVEL</t>
  </si>
  <si>
    <t>SAN FRANCISCO DE LOS VIVEROS</t>
  </si>
  <si>
    <t>PIANO</t>
  </si>
  <si>
    <t>AVENIDA DE LA ESPIGA</t>
  </si>
  <si>
    <t>MAESTRO ISMAEL RODRIGUEZ NEGRETE</t>
  </si>
  <si>
    <t>PASEO DE LA BIZNAGA</t>
  </si>
  <si>
    <t>BOULEVARD A SAN LUIS POTOSI</t>
  </si>
  <si>
    <t>PROCERES DE LA ENSEEANZA</t>
  </si>
  <si>
    <t>SAN JUAN BAUTISTA</t>
  </si>
  <si>
    <t>CULTURA OTOMT SUR</t>
  </si>
  <si>
    <t>FRACCION</t>
  </si>
  <si>
    <t>ESFUERZO</t>
  </si>
  <si>
    <t>OJOCALIENTE</t>
  </si>
  <si>
    <t>FRATERNIDAD</t>
  </si>
  <si>
    <t>EL MOCHO</t>
  </si>
  <si>
    <t>LA BARRANCA</t>
  </si>
  <si>
    <t>CULTURA CHICHIMECA</t>
  </si>
  <si>
    <t>VILLAS</t>
  </si>
  <si>
    <t>CULTURA MAYA</t>
  </si>
  <si>
    <t>CULTURA AZTECA</t>
  </si>
  <si>
    <t>LOMA DEL CARDENAL</t>
  </si>
  <si>
    <t>SANTA CECILIA</t>
  </si>
  <si>
    <t>GUADALUPANO</t>
  </si>
  <si>
    <t>EL LAUREL PONIENTE</t>
  </si>
  <si>
    <t>CERRADA EL LIMBO</t>
  </si>
  <si>
    <t>LOMA DEL JABALI</t>
  </si>
  <si>
    <t>LOMA DEL VENADO</t>
  </si>
  <si>
    <t>SANTA VALERIA</t>
  </si>
  <si>
    <t>(ZUFO)-DON PASCUAL PONIENTE</t>
  </si>
  <si>
    <t>EL CHILAR</t>
  </si>
  <si>
    <t>AVENA</t>
  </si>
  <si>
    <t>ESPIGA</t>
  </si>
  <si>
    <t>CALLE DEL MAIZAL</t>
  </si>
  <si>
    <t>POZO BRAVO</t>
  </si>
  <si>
    <t>SALVADOR NOVO</t>
  </si>
  <si>
    <t>LUIS ESPOTA</t>
  </si>
  <si>
    <t>JUAN RULFO</t>
  </si>
  <si>
    <t>OCTAVIO PAZ</t>
  </si>
  <si>
    <t>ADORATRICES</t>
  </si>
  <si>
    <t>PENSADORES MEXICANOS PONIENTE</t>
  </si>
  <si>
    <t>RENATO LEDUC</t>
  </si>
  <si>
    <t>LUIS URBINA</t>
  </si>
  <si>
    <t>JUAN LOPEZ ELIZALDE</t>
  </si>
  <si>
    <t>JOSE LUIS CUEVAS</t>
  </si>
  <si>
    <t>PEDRO CORONEL</t>
  </si>
  <si>
    <t>JOSL LUIS CUEVAS</t>
  </si>
  <si>
    <t>REGIDORES</t>
  </si>
  <si>
    <t>PRESIDENTES</t>
  </si>
  <si>
    <t>ESFUERZO NACIONAL</t>
  </si>
  <si>
    <t>JOSE H. ESCOBEDO</t>
  </si>
  <si>
    <t>INGENIEROS</t>
  </si>
  <si>
    <t>NILO ARTILLERO</t>
  </si>
  <si>
    <t>AGUASCALIENTES ORIENTE</t>
  </si>
  <si>
    <t>MANUEL GARCIA MARTINEZ</t>
  </si>
  <si>
    <t>GENERAL JOSE REFUGIO VELAZCO</t>
  </si>
  <si>
    <t>MARTHA LETICIA GUZMAN DE A.</t>
  </si>
  <si>
    <t>CUMBRE DE JUQUILA</t>
  </si>
  <si>
    <t>SIERRA DE HUAUTLA</t>
  </si>
  <si>
    <t>DAVID ALFARO SIQUEIROS</t>
  </si>
  <si>
    <t>RUBEN DARIO</t>
  </si>
  <si>
    <t>ALICIA TISCAREMO S.</t>
  </si>
  <si>
    <t>CUMBRES</t>
  </si>
  <si>
    <t>MOLINO</t>
  </si>
  <si>
    <t>RODOLFO LANDEROS</t>
  </si>
  <si>
    <t>SALVADOR DAL</t>
  </si>
  <si>
    <t>HIGUERA</t>
  </si>
  <si>
    <t>GOBERNANTES</t>
  </si>
  <si>
    <t>HEROE MILITAR</t>
  </si>
  <si>
    <t>ALFONSO GARCIA R.</t>
  </si>
  <si>
    <t>FUENTE DE TREVI</t>
  </si>
  <si>
    <t>SIERRA DE SAN BERNARDINO</t>
  </si>
  <si>
    <t>MONTE DE LAS CRUCES</t>
  </si>
  <si>
    <t>SIERRA DE TLAXCO</t>
  </si>
  <si>
    <t>PICACHO ORIENTE</t>
  </si>
  <si>
    <t>FRANCISCO M. REVILLA</t>
  </si>
  <si>
    <t>PICO NIQUIVIL</t>
  </si>
  <si>
    <t>RETORNO</t>
  </si>
  <si>
    <t>MARIANO ESCOBEDO</t>
  </si>
  <si>
    <t>(ZUFO)-EL CEDAZO</t>
  </si>
  <si>
    <t>NUEVO LEON</t>
  </si>
  <si>
    <t>CASA BLANCA</t>
  </si>
  <si>
    <t>CHIAPAS</t>
  </si>
  <si>
    <t>PLAZA NAYARIT</t>
  </si>
  <si>
    <t>JESUS YUREM</t>
  </si>
  <si>
    <t>CHICHIMECO</t>
  </si>
  <si>
    <t>CHIHUAHUA</t>
  </si>
  <si>
    <t>SONORA</t>
  </si>
  <si>
    <t>PLAZA MICHOACAN</t>
  </si>
  <si>
    <t>COMERCIO</t>
  </si>
  <si>
    <t>ISSSTE</t>
  </si>
  <si>
    <t>PLAZA SALVADOR CARRILLO</t>
  </si>
  <si>
    <t>JACARANDAS</t>
  </si>
  <si>
    <t>AVENIDA DE LAS PALMAS</t>
  </si>
  <si>
    <t>ALMENDRO</t>
  </si>
  <si>
    <t>GLORIETA DON QUIJOTE</t>
  </si>
  <si>
    <t>HEROE INMORTAL</t>
  </si>
  <si>
    <t>PRIMERA CONSTITUCION</t>
  </si>
  <si>
    <t>ALBINO GARCIA</t>
  </si>
  <si>
    <t>30 DE SEPTIEMBRE</t>
  </si>
  <si>
    <t>VIVIERO DEL PRADO</t>
  </si>
  <si>
    <t>22 DE DICIEMBRE</t>
  </si>
  <si>
    <t>MAYO DE 1812</t>
  </si>
  <si>
    <t>PEDRO ASCENCIO</t>
  </si>
  <si>
    <t>MARIANO HIDALGO</t>
  </si>
  <si>
    <t>30 DE JULIO</t>
  </si>
  <si>
    <t>1821</t>
  </si>
  <si>
    <t>ARQUEROS</t>
  </si>
  <si>
    <t>PUESTA PICACHO</t>
  </si>
  <si>
    <t>CENIT</t>
  </si>
  <si>
    <t>ROQUE GONZALEZ</t>
  </si>
  <si>
    <t>MEXICO LIBRE</t>
  </si>
  <si>
    <t>CAUDILLOS</t>
  </si>
  <si>
    <t>VIVERO DE LA HACIENDA</t>
  </si>
  <si>
    <t>MONTE ALBAN</t>
  </si>
  <si>
    <t>VIVERO DEL LAGO</t>
  </si>
  <si>
    <t>LIRA</t>
  </si>
  <si>
    <t>CRUZ DEL SUR</t>
  </si>
  <si>
    <t>CAN MAYOR</t>
  </si>
  <si>
    <t>PANFILO NATERA</t>
  </si>
  <si>
    <t>HERMANOS GALEANA</t>
  </si>
  <si>
    <t>SIXTO VERDUZCO</t>
  </si>
  <si>
    <t>MARIANO JIMENEZ</t>
  </si>
  <si>
    <t>SEGUNDA PROLONGACION DELICIAS</t>
  </si>
  <si>
    <t>BONAMPAK</t>
  </si>
  <si>
    <t>MUNGUIA</t>
  </si>
  <si>
    <t>LIBRA</t>
  </si>
  <si>
    <t>JEFES INSURGENTES</t>
  </si>
  <si>
    <t>9-10</t>
  </si>
  <si>
    <t>CERRO CAPIRE</t>
  </si>
  <si>
    <t>CERRO AYUTLA</t>
  </si>
  <si>
    <t>CERRO DE LOS GALLOS</t>
  </si>
  <si>
    <t>PASEO OJOCALIENTE</t>
  </si>
  <si>
    <t>CERRO LA GLORIA</t>
  </si>
  <si>
    <t>ANTONIO I. VILLARREAL</t>
  </si>
  <si>
    <t>RESOLANA</t>
  </si>
  <si>
    <t>ACUARIO</t>
  </si>
  <si>
    <t>CANCER</t>
  </si>
  <si>
    <t>PISCIS</t>
  </si>
  <si>
    <t>PERSEO</t>
  </si>
  <si>
    <t>GEMINIS</t>
  </si>
  <si>
    <t>JAIME NUNO</t>
  </si>
  <si>
    <t>TENOCHTITLAN</t>
  </si>
  <si>
    <t>TECNOLOGICO</t>
  </si>
  <si>
    <t>PROFESOR OTILIO E. MONTA</t>
  </si>
  <si>
    <t>JOSE GONZALEZ CARRILLO</t>
  </si>
  <si>
    <t>J. GUADALUPE ZAMARRIPA</t>
  </si>
  <si>
    <t>(ZUFO)-FERROCARRIL</t>
  </si>
  <si>
    <t>DE LA MOLIENDA</t>
  </si>
  <si>
    <t>FRANZ SCHUBERT</t>
  </si>
  <si>
    <t>FRANCISCO GUEL JIMENEZ</t>
  </si>
  <si>
    <t>WOLFGANG AMADEUS MOZART</t>
  </si>
  <si>
    <t>F</t>
  </si>
  <si>
    <t>A</t>
  </si>
  <si>
    <t>ARTICULO 23</t>
  </si>
  <si>
    <t>ARTICULO 21</t>
  </si>
  <si>
    <t>ARTICULO 35</t>
  </si>
  <si>
    <t>ARTICULO 12</t>
  </si>
  <si>
    <t>ARTICULO 24</t>
  </si>
  <si>
    <t>ARTICULO 14</t>
  </si>
  <si>
    <t>G</t>
  </si>
  <si>
    <t>ARTLCULO 24</t>
  </si>
  <si>
    <t>ANUNCIATIVAS</t>
  </si>
  <si>
    <t>GENERAL SAMUEL M. DE LOS SANTOS</t>
  </si>
  <si>
    <t>ARTICULO 30</t>
  </si>
  <si>
    <t>ARTLCULO 30</t>
  </si>
  <si>
    <t>CAMINO AL COBANO</t>
  </si>
  <si>
    <t>CAPRICORNIO</t>
  </si>
  <si>
    <t>ANTONIO OROZCO</t>
  </si>
  <si>
    <t>TAMARINDO</t>
  </si>
  <si>
    <t>ARTLCULO 18</t>
  </si>
  <si>
    <t>BENJAMIN MENDEZ</t>
  </si>
  <si>
    <t>RIVIER</t>
  </si>
  <si>
    <t>VILEDO</t>
  </si>
  <si>
    <t>SEGUNDA PRIVADAC</t>
  </si>
  <si>
    <t>CONJUNTO HABITACIONAL</t>
  </si>
  <si>
    <t>MAPLE</t>
  </si>
  <si>
    <t>ARIES</t>
  </si>
  <si>
    <t>AGUASCALIENTES</t>
  </si>
  <si>
    <t>ORION</t>
  </si>
  <si>
    <t>CENTAURY</t>
  </si>
  <si>
    <t>OSA MAYOR</t>
  </si>
  <si>
    <t>GABRIELA MISTRAL</t>
  </si>
  <si>
    <t>MIGUEL DE CERVANTES SAAVEDRA</t>
  </si>
  <si>
    <t>FRANS HALS</t>
  </si>
  <si>
    <t>TERESA DE CVILA</t>
  </si>
  <si>
    <t>GAMINIS</t>
  </si>
  <si>
    <t>ALFA</t>
  </si>
  <si>
    <t>P MUNICIPIO AGUASCALIENTES</t>
  </si>
  <si>
    <t>(ZUFO)-INDUSTRIAL</t>
  </si>
  <si>
    <t>Mahatma Gandhi</t>
  </si>
  <si>
    <t>CIUDAD INDUSTRIAL</t>
  </si>
  <si>
    <t>JULIO DIAZ TORRE C-26N</t>
  </si>
  <si>
    <t>LUIS DONALDO COLOSIO</t>
  </si>
  <si>
    <t>CAROLINA VILLANUEVA DE GARCIA</t>
  </si>
  <si>
    <t>PAJAR</t>
  </si>
  <si>
    <t>JESLS MA. ROMO</t>
  </si>
  <si>
    <t>CENTRAL</t>
  </si>
  <si>
    <t>(ZUFO)-LA HACIENDA</t>
  </si>
  <si>
    <t>FRANCISCO LOPEZ MEDRANO</t>
  </si>
  <si>
    <t>GERONIMO DE LA CUEVA</t>
  </si>
  <si>
    <t>FELIPE TORRES</t>
  </si>
  <si>
    <t>JUAN DE PADILLA</t>
  </si>
  <si>
    <t>PEDRO HERNANDEZ DE SANTA FE</t>
  </si>
  <si>
    <t>GASPAR DE LA FUENTE</t>
  </si>
  <si>
    <t>GERNNIMO DE LA CUEVA</t>
  </si>
  <si>
    <t>GENARO CASTILLO</t>
  </si>
  <si>
    <t>ALFREDO MUoOZ</t>
  </si>
  <si>
    <t>ERMITA DE SAN SEBASTIAN</t>
  </si>
  <si>
    <t>GERLNIMO DE LA CUEVA</t>
  </si>
  <si>
    <t>FRANCISCO TENAMAZTLE</t>
  </si>
  <si>
    <t>PUEBLO DE SAN MARCOS</t>
  </si>
  <si>
    <t>JOSE E. FEMAT GUTIERREZ</t>
  </si>
  <si>
    <t>JOSE DE JESUS GONZALEZ GARCIA</t>
  </si>
  <si>
    <t>FERNAN GONZALEZ DE ESLAVA</t>
  </si>
  <si>
    <t>LICENCIADO MIGUEL ROMO MEDINA</t>
  </si>
  <si>
    <t>TENIENTE CORONEL ROBERTO JEFKINS RANGEL</t>
  </si>
  <si>
    <t>ROGELIO GALINDO DE LA TORRE</t>
  </si>
  <si>
    <t>JUAN CONTRERAS PALACIOS</t>
  </si>
  <si>
    <t>FRANCISCO ARMENGOL</t>
  </si>
  <si>
    <t>FERNEN GONZILEZ DE ESLAVA</t>
  </si>
  <si>
    <t>JOSE MEDINA</t>
  </si>
  <si>
    <t>HECTOR DEL VILLAR</t>
  </si>
  <si>
    <t>DOCTOR ALFONSO RODRIGUEZ FRANCO</t>
  </si>
  <si>
    <t>PINO DE LA SOLEDAD</t>
  </si>
  <si>
    <t>TRUENO</t>
  </si>
  <si>
    <t>SICOMORO</t>
  </si>
  <si>
    <t>THUYA</t>
  </si>
  <si>
    <t>CELIA MARIA MARTINEZ</t>
  </si>
  <si>
    <t>PUERTO DE VERACRUZ</t>
  </si>
  <si>
    <t>PUERTO DE ENSENADA</t>
  </si>
  <si>
    <t>PUERTO DE COATZACOALCOS</t>
  </si>
  <si>
    <t>DOCTOR ALFONSO RODRRGUEZ FRANCO</t>
  </si>
  <si>
    <t>CONRADO SANTACRUZ DE SANTIAGO</t>
  </si>
  <si>
    <t>(ZUFO)-LOS PARGA</t>
  </si>
  <si>
    <t>PALMA ABANICO</t>
  </si>
  <si>
    <t>VILLA DE MONTSERRAT</t>
  </si>
  <si>
    <t>IXTLAHUATL</t>
  </si>
  <si>
    <t>TECNOLAGICO</t>
  </si>
  <si>
    <t>LUISA FERNANDEZ VILLA</t>
  </si>
  <si>
    <t>AVENIDA DEL REY</t>
  </si>
  <si>
    <t>HACIENDA DE OJOCALIENTE</t>
  </si>
  <si>
    <t>HACIENDA SAN ANTONIO DE LOS PEDROZA</t>
  </si>
  <si>
    <t>HACIENDA LAS AMARILLAS</t>
  </si>
  <si>
    <t>(ZUFO)-OJOCALIENTE</t>
  </si>
  <si>
    <t>HACIENDA LA CONGOJA</t>
  </si>
  <si>
    <t>EJOTE</t>
  </si>
  <si>
    <t>AJEDRECISTAS</t>
  </si>
  <si>
    <t>VISTA DE LA LUNA</t>
  </si>
  <si>
    <t>ROJO</t>
  </si>
  <si>
    <t>JUANA DE ARCO</t>
  </si>
  <si>
    <t>VISTA DEL ATARDECER</t>
  </si>
  <si>
    <t>VISTA DE LAS ESTRELLAS</t>
  </si>
  <si>
    <t>VISTA DEL VALLE</t>
  </si>
  <si>
    <t>CALLE DE LA VICTORIA</t>
  </si>
  <si>
    <t>CALLE DEL JAQUE</t>
  </si>
  <si>
    <t>DEFENSA SICILIANA</t>
  </si>
  <si>
    <t>DEFENSA FRANCESA</t>
  </si>
  <si>
    <t>CALLE DE LA ALIANZA</t>
  </si>
  <si>
    <t>VISTA DEL AMANECER</t>
  </si>
  <si>
    <t>CALLE DEL ENROQUE</t>
  </si>
  <si>
    <t>CALLE DE LA INFANTERIA</t>
  </si>
  <si>
    <t>HACIENDA GRACIAS A DIOS</t>
  </si>
  <si>
    <t>OCOTE</t>
  </si>
  <si>
    <t>BERNARDO HERNsNDEZ</t>
  </si>
  <si>
    <t>CARTAMO</t>
  </si>
  <si>
    <t>LA CARPA</t>
  </si>
  <si>
    <t>HUACHICHIL</t>
  </si>
  <si>
    <t>CONFEDERACION NACIONAL CAMPESINA</t>
  </si>
  <si>
    <t>HACIENDA BOCA DE ORTEGA</t>
  </si>
  <si>
    <t>CASCAN</t>
  </si>
  <si>
    <t>MIGUEL HIDALGO</t>
  </si>
  <si>
    <t>SOLIDARIDAD</t>
  </si>
  <si>
    <t>SAUCO</t>
  </si>
  <si>
    <t>AAIL</t>
  </si>
  <si>
    <t>MONTORO</t>
  </si>
  <si>
    <t>SANDOVALES</t>
  </si>
  <si>
    <t>MONTOYA</t>
  </si>
  <si>
    <t>BUENAVISTA</t>
  </si>
  <si>
    <t>LEONARDO MURIALDO</t>
  </si>
  <si>
    <t>EL BARZON</t>
  </si>
  <si>
    <t>ISIDRO CALERA</t>
  </si>
  <si>
    <t>ESTACION CAnADA</t>
  </si>
  <si>
    <t>FRIJOL</t>
  </si>
  <si>
    <t>BALCONES DE ORIENTE</t>
  </si>
  <si>
    <t>BALCONES DEL BESO</t>
  </si>
  <si>
    <t>LOS CONOS</t>
  </si>
  <si>
    <t>SAN FRANCISCO DE LOS ROMO</t>
  </si>
  <si>
    <t>EUGENIO GARZA SADA</t>
  </si>
  <si>
    <t>GUADALUPE GONZALEZ</t>
  </si>
  <si>
    <t>(ZUFO)-SAN PEDRO NORTE</t>
  </si>
  <si>
    <t>YAHUALICA</t>
  </si>
  <si>
    <t>AMATITAN</t>
  </si>
  <si>
    <t>ZAPOPAN</t>
  </si>
  <si>
    <t>TENACATITA</t>
  </si>
  <si>
    <t>BARDA</t>
  </si>
  <si>
    <t>SANTOS DEGOLLADO</t>
  </si>
  <si>
    <t>ATOTONILCO</t>
  </si>
  <si>
    <t>TEQUILA</t>
  </si>
  <si>
    <t>AJIJIC</t>
  </si>
  <si>
    <t>(ZUFO)-SAN PEDRO SUR</t>
  </si>
  <si>
    <t>JUAN PABLO II</t>
  </si>
  <si>
    <t>PASEO DE LA CANTERA</t>
  </si>
  <si>
    <t>1857</t>
  </si>
  <si>
    <t>CONSTITUYENTES</t>
  </si>
  <si>
    <t>ARTICULO NUMERO 3</t>
  </si>
  <si>
    <t>1917</t>
  </si>
  <si>
    <t>ARTICULO NUMERO 7</t>
  </si>
  <si>
    <t>HEROES DE CHAPULTEPEC</t>
  </si>
  <si>
    <t>SAN JUAN DE LOS LAGOS</t>
  </si>
  <si>
    <t>TEPEZALA</t>
  </si>
  <si>
    <t>SAN MIGUEL EL ALTO</t>
  </si>
  <si>
    <t>SAN JULIAN</t>
  </si>
  <si>
    <t>(ZUFO)-UNIVERSIDAD</t>
  </si>
  <si>
    <t>CERRO DEL CUBILETE</t>
  </si>
  <si>
    <t>MONTES HIMALAYA</t>
  </si>
  <si>
    <t>CERRO DE LA SILLA</t>
  </si>
  <si>
    <t>CORDILLERA DE LOS ALPES PONIENTE</t>
  </si>
  <si>
    <t>SILVESTRE GNMEZ</t>
  </si>
  <si>
    <t>SIERRA DE LA CANELA</t>
  </si>
  <si>
    <t>MONTE EVEREST</t>
  </si>
  <si>
    <t>TEPEZALe</t>
  </si>
  <si>
    <t>SILOS</t>
  </si>
  <si>
    <t>POTREROS</t>
  </si>
  <si>
    <t>SAN JOSE DE LOS REYNOSO</t>
  </si>
  <si>
    <t>VALLE DE GUADALUPE</t>
  </si>
  <si>
    <t>DAMIAN CARMONA</t>
  </si>
  <si>
    <t>TROJES</t>
  </si>
  <si>
    <t>LUIS GIL</t>
  </si>
  <si>
    <t>LAGOS DE MORENO</t>
  </si>
  <si>
    <t>MARLA DEL CARMEN MARTaN DEL CAMPO</t>
  </si>
  <si>
    <t>SILVESTRE GOMEZ</t>
  </si>
  <si>
    <t>7</t>
  </si>
  <si>
    <t>MARCOS CORONADO</t>
  </si>
  <si>
    <t>SIERRA MORENA</t>
  </si>
  <si>
    <t>SIERRA DE TEPOZTLAN</t>
  </si>
  <si>
    <t>CALLE DEL FRESNO</t>
  </si>
  <si>
    <t>FRONTERA</t>
  </si>
  <si>
    <t>GLACIAR</t>
  </si>
  <si>
    <t>MONTE BLANCO</t>
  </si>
  <si>
    <t>ZARAGOZA</t>
  </si>
  <si>
    <t>CERRO DE LA BUFA</t>
  </si>
  <si>
    <t>SIERRA NEVADA</t>
  </si>
  <si>
    <t>ISIDRO MORALES</t>
  </si>
  <si>
    <t>ZACARIAS GUTIERREZ</t>
  </si>
  <si>
    <t>CEREALES</t>
  </si>
  <si>
    <t>RINCEN DE ROMOS</t>
  </si>
  <si>
    <t>SIERRA PICACHOS</t>
  </si>
  <si>
    <t>JUAN RAMIREZ</t>
  </si>
  <si>
    <t>MA DEL CARMEN MARTIN DEL CAMPO</t>
  </si>
  <si>
    <t>SIERRA AZUL</t>
  </si>
  <si>
    <t>PASEO DE LOS PESEBRES</t>
  </si>
  <si>
    <t>CORDILLERA DE LOS ANDES</t>
  </si>
  <si>
    <t>CORDILLERA DE LOS ALPES NORTE</t>
  </si>
  <si>
    <t>CERRADA JACARANDAS</t>
  </si>
  <si>
    <t>SIERRA DE LA ESCONDIDA</t>
  </si>
  <si>
    <t>PRIMERA OAXACA</t>
  </si>
  <si>
    <t>DIAZ</t>
  </si>
  <si>
    <t>SEGUNDA</t>
  </si>
  <si>
    <t>DOCTOR JESUS LOPEZ Y GONZALEZ</t>
  </si>
  <si>
    <t>PRIVADA DE LA PILA</t>
  </si>
  <si>
    <t>EL MOLINO</t>
  </si>
  <si>
    <t>PASEO DE LA SOLEDAD</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</si>
  <si>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</si>
  <si>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</si>
  <si>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</si>
  <si>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</si>
  <si>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</si>
  <si>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</si>
  <si>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</si>
  <si>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</si>
  <si>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</si>
  <si>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</si>
  <si>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</si>
  <si>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</si>
  <si>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PUBLICO</t>
  </si>
  <si>
    <t>GOBIERNO DEL ESTADO DE AGUASCALIENTES</t>
  </si>
  <si>
    <t>MUNICIPIO AGUASCALIENTES</t>
  </si>
  <si>
    <t>EMILIO RANGEL</t>
  </si>
  <si>
    <t>GOBIERNO FEDERAL</t>
  </si>
  <si>
    <t>DIF MUNICIPAL</t>
  </si>
  <si>
    <t>AGUASCALIENTES.GOB.MX</t>
  </si>
  <si>
    <t>GOBIERNO DEL ESTADO</t>
  </si>
  <si>
    <t>PRESIDENCIA MUNICIPAL</t>
  </si>
  <si>
    <t>INSTITUTO MEXICANO DEL SEGURO SOCIAL</t>
  </si>
  <si>
    <t>INSTITUTO DE SEGURIDAD Y SERVICIOS SOCIALES DE LOS TRABAJADORES DEL ESTADO</t>
  </si>
  <si>
    <t>FRAY JUNIPERO SERRA</t>
  </si>
  <si>
    <t>JARDEN DE SAN MARCOS</t>
  </si>
  <si>
    <t>REPLBLICA DE PUERTO RICO</t>
  </si>
  <si>
    <t>QUITO</t>
  </si>
  <si>
    <t>AGS.GOB.MX</t>
  </si>
  <si>
    <t>H AYUNTAMIENTO DE AGUASCALIENTES</t>
  </si>
  <si>
    <t>BERLEN</t>
  </si>
  <si>
    <t>BUZON.PORTAL@AGUASCALIENTES.GOB.MX</t>
  </si>
  <si>
    <t>SECRETARIA DE SERVICIOS PUBLICOS</t>
  </si>
  <si>
    <t>FRANCISCO MARQUEZ</t>
  </si>
  <si>
    <t>INSTITUTO MUNICIPAL DE LA MUJER DE AGUASCALIENTES</t>
  </si>
  <si>
    <t>JOSL MAREA CHPVEZ</t>
  </si>
  <si>
    <t>GOBIERNO MUNICIPAL DEL ESTADO DE AGUASCALIENTES</t>
  </si>
  <si>
    <t>URBANISTAS</t>
  </si>
  <si>
    <t>POPOCATEPETL</t>
  </si>
  <si>
    <t>IEA</t>
  </si>
  <si>
    <t>SECRETARIA DE DESARROLLO SOCIAL</t>
  </si>
  <si>
    <t>DIF ESTATAL</t>
  </si>
  <si>
    <t>LAS NORIAS</t>
  </si>
  <si>
    <t>EL NOVILLO</t>
  </si>
  <si>
    <t>COTORINAS</t>
  </si>
  <si>
    <t>PASEO DE YAHUALICA</t>
  </si>
  <si>
    <t>BOULEVARD UNIVERSIDAD</t>
  </si>
  <si>
    <t>GRODRIGUEZ@AGS.GOB.MX</t>
  </si>
  <si>
    <t>EU_ASISTENCIA SOCIAL</t>
  </si>
  <si>
    <t>ASISTENCIA SOCIAL</t>
  </si>
  <si>
    <t>GUARDERIA MUNDO DE ALEGRIA</t>
  </si>
  <si>
    <t>Guarderias del sector privado</t>
  </si>
  <si>
    <t>I  DEL A</t>
  </si>
  <si>
    <t>CERRO</t>
  </si>
  <si>
    <t>A.MONA.ALE@HOTMAIL.COM</t>
  </si>
  <si>
    <t>COMEDOR COMUNITARIO CALVILLITO</t>
  </si>
  <si>
    <t>Servicios de alimentacion comunitarios prestados por el sector publico</t>
  </si>
  <si>
    <t>H MUNICIPIO DE AGUASCALIENTES</t>
  </si>
  <si>
    <t>PANTEON SAN JOSE DE CALVILLITO</t>
  </si>
  <si>
    <t>Administracion de cementerios pertenecientes al sector publico</t>
  </si>
  <si>
    <t>DIRECCI N DE PANTEONES MUNICIPALES DE AGUASCALIENTES</t>
  </si>
  <si>
    <t>FUNERARIA VAZQUEZ</t>
  </si>
  <si>
    <t>Servicios funerarios</t>
  </si>
  <si>
    <t>FUNERARIACALVILLITO@GMAIL.COM</t>
  </si>
  <si>
    <t>WWW.FUNERARIAVAZQUEZSERVICIODE24HORAS.COM</t>
  </si>
  <si>
    <t>SALON EJIDAL DE CALVILLITO</t>
  </si>
  <si>
    <t>Asociaciones y organizaciones civiles</t>
  </si>
  <si>
    <t>ASOCIACION DE EJIDATARIOS</t>
  </si>
  <si>
    <t>ALCOHOLICOS ANONIMOS NORIAS DE PASO HONDO</t>
  </si>
  <si>
    <t>Agrupaciones de autoayuda para alcoholicos y personas con otras adicciones</t>
  </si>
  <si>
    <t>CENTRAL MEXICANA DE SERVICIOS GENERALES DE AC</t>
  </si>
  <si>
    <t>ORQUIDEA</t>
  </si>
  <si>
    <t>MARGARITA</t>
  </si>
  <si>
    <t>CORPORACION DE INGENIERIA Y AUTOMATIZACION</t>
  </si>
  <si>
    <t>Asociaciones, organizaciones y camaras de productores, comerciantes y prestadores de servicios</t>
  </si>
  <si>
    <t>CORPORACION DE INGENIERIA Y AUTOMATIZACION S DE RL DE CV</t>
  </si>
  <si>
    <t>CORREDOR INDUSTRIAL</t>
  </si>
  <si>
    <t>RUBEN DE ALBA MAYAGOITIA</t>
  </si>
  <si>
    <t>ALFONSO BARBA GONZALEZ</t>
  </si>
  <si>
    <t>IGNACIO ALCALA GONALEZ PONIENTE</t>
  </si>
  <si>
    <t>OFICINA.AGS@CORPING.COM.MX</t>
  </si>
  <si>
    <t>WWW.CORPING.MX</t>
  </si>
  <si>
    <t>REUNION DE ADULTOS MAYORES</t>
  </si>
  <si>
    <t>Servicios de orientacion y trabajo social para la niñez y la juventud prestados por el sector privado</t>
  </si>
  <si>
    <t>CENTRO DE LA FAMILIA CRISTIANA LIBERTAD</t>
  </si>
  <si>
    <t>Servicios de alimentacion comunitarios prestados por el sector privado</t>
  </si>
  <si>
    <t>COMEDOR INFANTIL GOTAS DE AMOR AC</t>
  </si>
  <si>
    <t>CASA DE ATENCION INFANTIL PEQUEBOS GENIOS</t>
  </si>
  <si>
    <t>PROFESOR TEODORO AGUILAR BERMEA</t>
  </si>
  <si>
    <t>MANUEL DE JESUS BAAUELOS HERNANDEZ</t>
  </si>
  <si>
    <t>PGENIOS.LUPIS@HOTMAIL.COM</t>
  </si>
  <si>
    <t>ESCUELA NORMAL RURAL JUSTO SIERRA MENDEZ</t>
  </si>
  <si>
    <t>Orfanatos y otras residencias de asistencia social del sector publico</t>
  </si>
  <si>
    <t>GRUPO ALCOHOLICOS ANONIMOS CA</t>
  </si>
  <si>
    <t>CENTRAL MEXICANA DE SERVICIOS GENERALES DE ALCOHOLICOS ANONIMOS AC</t>
  </si>
  <si>
    <t>PELASCO</t>
  </si>
  <si>
    <t>RISCO</t>
  </si>
  <si>
    <t>MVXICO</t>
  </si>
  <si>
    <t>COMEDOR FRANCISCO I MADERO</t>
  </si>
  <si>
    <t>CALLEJON</t>
  </si>
  <si>
    <t>COMEDOR COMUNITARIO</t>
  </si>
  <si>
    <t>INSTITUTO DEL ESTADO DE AGUASCALIENTES</t>
  </si>
  <si>
    <t>DIF</t>
  </si>
  <si>
    <t>SALON EJIDAL</t>
  </si>
  <si>
    <t>LIGA MEXICANA</t>
  </si>
  <si>
    <t>CHATITOS</t>
  </si>
  <si>
    <t>BENITO JUZREZ</t>
  </si>
  <si>
    <t>PANTEON DE JESUS</t>
  </si>
  <si>
    <t>JUAN PABLO SEGUNDO DE ALCOHOLICOS ANONIMOS</t>
  </si>
  <si>
    <t>GANADEROS UNIDOS DE AGUASCALIENTES SCL GRANJAS FATIMA</t>
  </si>
  <si>
    <t>GANADEROS UNIDOS DE AGUASCALIENTES FATIMA SCL</t>
  </si>
  <si>
    <t>GANADEROS UNIDOS DE AGUASCALIENTES</t>
  </si>
  <si>
    <t>ASOCIACION DE GANADEROS BONATERRA</t>
  </si>
  <si>
    <t>BONATERRA SA DE CV</t>
  </si>
  <si>
    <t>HACIENDA CHINAMPAS</t>
  </si>
  <si>
    <t>HACIENDA DE MILPILLAS ORIENTE</t>
  </si>
  <si>
    <t>BONATERRA</t>
  </si>
  <si>
    <t>HACIENDA SANTA ELENA</t>
  </si>
  <si>
    <t>PLAZA COMUNITARIA</t>
  </si>
  <si>
    <t>EJIDO PEMUELAS</t>
  </si>
  <si>
    <t>SALON DE EVENTOS EL CIENEGAL</t>
  </si>
  <si>
    <t>ASOCIACION DE EJIDATARIOS DE PEdUELAS</t>
  </si>
  <si>
    <t>GUARDERIA JEDI</t>
  </si>
  <si>
    <t>JEDI SC</t>
  </si>
  <si>
    <t>Valente Quintana</t>
  </si>
  <si>
    <t>VActor Rosales</t>
  </si>
  <si>
    <t>JEDIU008@GMAIL.COM</t>
  </si>
  <si>
    <t>ESTANCIA INFANTIL COLORINES KIDS</t>
  </si>
  <si>
    <t>Guarderias del sector publico</t>
  </si>
  <si>
    <t>GRUPO LUZ DE VIDA</t>
  </si>
  <si>
    <t>GRAN CAMBIO DE VIDA</t>
  </si>
  <si>
    <t>ALCOLICOS ANONIMOS</t>
  </si>
  <si>
    <t>ASOCIACION INDEPENDIENTE DE AGENCIAS DE VIAJES</t>
  </si>
  <si>
    <t>ASOCIACION INDEPENDIENTE DE AGENCIAS DE VIAJES AC</t>
  </si>
  <si>
    <t>AGRUPACI1N ACHIS</t>
  </si>
  <si>
    <t>Otros servicios de orientacion y trabajo social prestados por el sector privado</t>
  </si>
  <si>
    <t>ASOCIACION FUSION ALTERNA</t>
  </si>
  <si>
    <t>Servicios de capacitacion para el trabajo prestados por el sector privado para personas desempleadas, subempleadas o discapacitadas</t>
  </si>
  <si>
    <t>ASOCIACION FUSION ALTERNA SOLO POR AYUDAR AC</t>
  </si>
  <si>
    <t>ESTANCIA INFANT2L LA CASITA DE JUAN PABLO</t>
  </si>
  <si>
    <t>ESTANCIA INFANTIL ROSAS DE LA ESTANCIA</t>
  </si>
  <si>
    <t>GUARDERIA SA DE CV</t>
  </si>
  <si>
    <t>ESTANCIA INFANTIL EL AMOR DE FANY</t>
  </si>
  <si>
    <t>ELAMORDE_FANY@HOTMAIL.COM</t>
  </si>
  <si>
    <t>ESTANCIA INFANTIL GUADALUPE</t>
  </si>
  <si>
    <t>CORACR1983@HOTMAIL.COM</t>
  </si>
  <si>
    <t>ESTANCIA INFANTIL GARABATOS</t>
  </si>
  <si>
    <t>COLIBRI</t>
  </si>
  <si>
    <t>PANTEON SAN FRANCISCO</t>
  </si>
  <si>
    <t>Administracion de cementerios pertenecientes al sector privado</t>
  </si>
  <si>
    <t>DESARROLLO SAN FRANCISCO SA DE CV</t>
  </si>
  <si>
    <t>IFO@PANTEON.COM.MX</t>
  </si>
  <si>
    <t>WWW.PATEON.COM.MX</t>
  </si>
  <si>
    <t>CENTRO CRECER INSURGENTES</t>
  </si>
  <si>
    <t>Servicios de orientacion y trabajo social para la niñez y la juventud prestados por el sector publico</t>
  </si>
  <si>
    <t>CONSTITUCI N DE 1857</t>
  </si>
  <si>
    <t>ANADELGA1@AUTLOOK.COM</t>
  </si>
  <si>
    <t>SAL0N DE USOS MULTIPLES O SEDECO</t>
  </si>
  <si>
    <t>Centros del sector publico dedicados a la atencion y cuidado diurno de ancianos y discapacitados</t>
  </si>
  <si>
    <t>EULALIO GUTIRRREZ</t>
  </si>
  <si>
    <t>UNIDAD DE ATENCION Y LA PREVENCION CONTRA LA VIOLENCIA FAMILIAR</t>
  </si>
  <si>
    <t>Otros servicios de orientacion y trabajo social prestados por el sector publico</t>
  </si>
  <si>
    <t>EJERCITO INSURGENTE</t>
  </si>
  <si>
    <t>CENTRO INTERACTIVO JUVENIL INSURGENTES</t>
  </si>
  <si>
    <t>JUVENTUD.AGUASCALIENTES@HOTMAIL.COM</t>
  </si>
  <si>
    <t>ESTANCIA INFANTIL JUEGA DESCUBRE Y APRENDE</t>
  </si>
  <si>
    <t>GCCH2009@LIVE.COM.MX</t>
  </si>
  <si>
    <t>PANTEON MUNICIPAL EL REFUGIO</t>
  </si>
  <si>
    <t>H. AYUNTAMIENTO CONSTITUCIONAL DEL MUNICIPIO DE AGUASCALIENTES</t>
  </si>
  <si>
    <t>SAN PEDRO ALCOHOLICOS ANONIMOS</t>
  </si>
  <si>
    <t>GRUPO SAN JOSE 4 Y 5 PASO</t>
  </si>
  <si>
    <t>SERVICIO AYUDA Y REAHBILITACION DE ALCOHOLICOSCTOS DEPRESI N Y CUALQUIER TIPO DE PROBLEMA EMOCIONAL AC</t>
  </si>
  <si>
    <t>GRUPO DE ALCOHOLICOS ANONIMOS HOMBRO CON HOMBRO</t>
  </si>
  <si>
    <t>ASOCIACION CIVIL DE AA CUARTO Y QUINTO PASO AC</t>
  </si>
  <si>
    <t>GRUPO DE ALCOHOLICOS ANONIMOS JOVENES EN AA</t>
  </si>
  <si>
    <t>CENTRAL MEXICANA DE SERVICIOS GENERALES AC</t>
  </si>
  <si>
    <t>PASEO SANTA MONICA</t>
  </si>
  <si>
    <t>SAL0N DE JUNTAS DEL SINDICATO NACIONAL DE TRABAJADORES DE LA MiSICA DE AGUASALIENTES SECCIAN 2</t>
  </si>
  <si>
    <t>Asociaciones y organizaciones laborales y sindicales</t>
  </si>
  <si>
    <t>SINDICATO NACIONAL DE TRABAJADORES DE LA MTSICA DE AGUASCALIENTES SECCIAN 2</t>
  </si>
  <si>
    <t>EESCALERA_79@HOTMAIL.COM</t>
  </si>
  <si>
    <t>NEUROTICOS ANIMINOS</t>
  </si>
  <si>
    <t>NEUROTICOS ANONIMOS AC</t>
  </si>
  <si>
    <t>EJLRCITO INSURGENTE</t>
  </si>
  <si>
    <t>GRUPO PIONEROS</t>
  </si>
  <si>
    <t>POSCLA</t>
  </si>
  <si>
    <t>PARTICIPACION SOCIAL DE CRISTIANOS UNIDOS EN COOPERACION LATINOAMERICANA A C</t>
  </si>
  <si>
    <t>SEDE.POSCLA.MEXICO@GMAIL.COM</t>
  </si>
  <si>
    <t>CAMBIANDO UNA VIDA</t>
  </si>
  <si>
    <t>CAMBIANDO UNA VIDA AC</t>
  </si>
  <si>
    <t>VEREDA</t>
  </si>
  <si>
    <t>PRESIDENCIA@FUNDACIONCAMBIANDOUNAVIDA.ORG</t>
  </si>
  <si>
    <t>WWW.FUNDACIONCAMBIANDOUNAVIDA.ORG</t>
  </si>
  <si>
    <t>ICTEA INSTITUTO DE CAPACITACION PARA EL TRABAJO DEL ESTADO DE AGS</t>
  </si>
  <si>
    <t>ICTEA INTITUTO DE CAPACITACION PARA EL TRABAJO DE AGS</t>
  </si>
  <si>
    <t>ANDADOR DEL RUISE</t>
  </si>
  <si>
    <t>CENDI ABEDUL</t>
  </si>
  <si>
    <t>CENDI ABEDUL SC</t>
  </si>
  <si>
    <t>ENRIQUE C. R BSAMEN</t>
  </si>
  <si>
    <t>CENDIABEDULAGS@HOTMAIL.COM</t>
  </si>
  <si>
    <t>ESTANCIA INFANTIL LOS CUBITOS SEDESOL</t>
  </si>
  <si>
    <t>LOSCUBITOS@LIVE.COM.MX</t>
  </si>
  <si>
    <t>GRUPO UNIDAD ALCOHOLICOS ANONIMOS</t>
  </si>
  <si>
    <t>GRUPO UNIDAD ALCOHOLICOS ANONIMOS AC</t>
  </si>
  <si>
    <t>SOBERANA CONVENCINN MILITAR REVOLUCIONARIA PONIENTE</t>
  </si>
  <si>
    <t>GRUPO NARCOTICOS ANONIMOS SERENIDAD</t>
  </si>
  <si>
    <t>GRUPO SERENIDAD DE NARCOTICOS ANONIMOS AC</t>
  </si>
  <si>
    <t>FUNERARIA HERSAN</t>
  </si>
  <si>
    <t>HERSA.FUNERAL@HOTMAIL.COM</t>
  </si>
  <si>
    <t>ESTANCIA INFANTIL CAMPANITA</t>
  </si>
  <si>
    <t>CENDI JUGANDO APRENDEMOS SC</t>
  </si>
  <si>
    <t>Independencia de Mtxico</t>
  </si>
  <si>
    <t>Vasco de Gama</t>
  </si>
  <si>
    <t>CENDI.JUGANDOAPRENDEMO@YAHOO.CO.MX</t>
  </si>
  <si>
    <t>COMEDOR COMUNITARIO ESPERANZA DEL BUEN COMER</t>
  </si>
  <si>
    <t>ESPERANZADELBUENCOMER.AC@GMAIL.COM</t>
  </si>
  <si>
    <t>ALCOHOLICOS ANONIMOS GRUPO UNA NUEVA VIDA</t>
  </si>
  <si>
    <t>INGENIERO TOMSS MEDINA UGARTE</t>
  </si>
  <si>
    <t>GRUPO NUEVA LUZ EN MI CAMINO ALCOHOLICOS ANONIMOS PEDREGOSO</t>
  </si>
  <si>
    <t>DOCTOR CARLOS M. LNPEZ</t>
  </si>
  <si>
    <t>ALCOHOLICOS ANONIMOS TRANSMITELO</t>
  </si>
  <si>
    <t>ALCOHOLICOS ANONIMOS TRANSMITELO AC</t>
  </si>
  <si>
    <t>GRUPO AL ANON</t>
  </si>
  <si>
    <t>GRUPO AL ANON AC</t>
  </si>
  <si>
    <t>GRUPO FUERZA Y ACCION</t>
  </si>
  <si>
    <t>GRUPOS DE FAMILIA AL ANON ALATEEAN AC</t>
  </si>
  <si>
    <t>GRUPO ALCOH0LICOS ANONIMOS VILLA ASUNCIcN</t>
  </si>
  <si>
    <t>GRUPO ALCOH0LICOS ANONIMOS</t>
  </si>
  <si>
    <t>CENTRO DE REHABILITACION NUEVA GENERACION 2 DE JUNIO</t>
  </si>
  <si>
    <t>J MUNICIPIO AGUASCALIENTES</t>
  </si>
  <si>
    <t>GRUPO DR BOB</t>
  </si>
  <si>
    <t>ALCOHOLICOS ANONIMOS AC</t>
  </si>
  <si>
    <t>PROFESOR JOSA REYES MARTGNEZ</t>
  </si>
  <si>
    <t>AA GRUPO PRIMAVERA</t>
  </si>
  <si>
    <t>AA GRUPO PRIMAVERA AC</t>
  </si>
  <si>
    <t>FUNERARIA RAMIREZ</t>
  </si>
  <si>
    <t>INHUMACIONES RAMIREZ SA DE CV</t>
  </si>
  <si>
    <t>FUNERARIA_@HOTMAIL.COM</t>
  </si>
  <si>
    <t>PLAN PREVISOR HERNANDEZ</t>
  </si>
  <si>
    <t>PLAN PREVISOR HERNANDEZ SA DE CV</t>
  </si>
  <si>
    <t>GENERAL MIGUEL BARRAGEN</t>
  </si>
  <si>
    <t>Ingeniero TomLs Medina Ugarte</t>
  </si>
  <si>
    <t>Doctor Carlos M. Ldpez</t>
  </si>
  <si>
    <t>PLANPREVISORHERADEZAGUASCALIENTES@HOTMAIL.COM</t>
  </si>
  <si>
    <t>WWW.GRUPOFUNERARIOHERNANDEZ.COM.MX</t>
  </si>
  <si>
    <t>SALON SINDICAL COCA COLA</t>
  </si>
  <si>
    <t>SINDICATO DE TRABAJADORES DE EMBOTELLADORA AGUASCALIENTES AC</t>
  </si>
  <si>
    <t>HACIA NUEVOS HORIZONTES VEN TE AYUDO</t>
  </si>
  <si>
    <t>ASOCIACION CULTURAL</t>
  </si>
  <si>
    <t>ASOCIACION CULTURAL GNOSIS AC</t>
  </si>
  <si>
    <t>CENTRO FISCAL Y CONTABLE DE AGUSCALIENTES</t>
  </si>
  <si>
    <t>CENTRO FISCAL Y CONTABLE DE AGUASCALIENTES AC</t>
  </si>
  <si>
    <t>ESTANCIA INFANTIL ALI</t>
  </si>
  <si>
    <t>SINDICATO DE TELEFONISTAS</t>
  </si>
  <si>
    <t>SINDICATO DE TELEFONISTAS DE LA REPuBLICA MEXICANA</t>
  </si>
  <si>
    <t>SINDICATO DE TRABAJADORES DEL LA INDUSTRIA DE LA RADIO DIFUSION TELEVISION TELECOMUNICACIONES SIMILARES Y CONEXOS DE LA REPUBLICA MEXICANA</t>
  </si>
  <si>
    <t>STIRTT SECCION AGUASCALIENTES</t>
  </si>
  <si>
    <t>RAFAEL RODRIGUEZ DOMiNGUEZ</t>
  </si>
  <si>
    <t>STIRTAGS@GMAIL.COM</t>
  </si>
  <si>
    <t>PEYMAC</t>
  </si>
  <si>
    <t>ABASTOS Y OPERACIONES</t>
  </si>
  <si>
    <t>ABASTOS Y OPERACIONES SA DE CV</t>
  </si>
  <si>
    <t>ABASTOSYOPERACION@GMAIL.COM</t>
  </si>
  <si>
    <t>ESTANCIA INFANTIL ABC</t>
  </si>
  <si>
    <t>ABCPATYGTZ@HOTMAIL.COM</t>
  </si>
  <si>
    <t>ESTANCIA INFANTIL FANTASIA</t>
  </si>
  <si>
    <t>ESTINFANTILFANTASIA@HOTMAIL.COM</t>
  </si>
  <si>
    <t>CENTRO DE DESARROLLO INFANTIL LA ESTRELLA</t>
  </si>
  <si>
    <t>CENTRO DE DESARROLLO INFANTIL LA ESTRELLA SC</t>
  </si>
  <si>
    <t>Mar Caspio</t>
  </si>
  <si>
    <t>Fundici</t>
  </si>
  <si>
    <t>San Bartolo</t>
  </si>
  <si>
    <t>ARACELIRAMIREZM200@GAMIL.COM</t>
  </si>
  <si>
    <t>ESTANCIA INFANTIL CARACOL</t>
  </si>
  <si>
    <t>OSLURO.HIDROCALIDO@HOTMAIL.COM</t>
  </si>
  <si>
    <t>CENDI OLIVARES SANTANA</t>
  </si>
  <si>
    <t>GUARDERIA PETITS ENFANTS</t>
  </si>
  <si>
    <t>GRUPO AGUASCALIENTES DE ALCOHOLICOS ANONIMOS</t>
  </si>
  <si>
    <t>GRUPO AGUASCALIENTES DE ALCOHOLICOS ANONIMOS AC</t>
  </si>
  <si>
    <t>ALCOHOLICOS ANONIMOS DE CENTRAL MEXICANA DE SERVICIOS GENERALES DE AA</t>
  </si>
  <si>
    <t>ALCOHOLICOS ANONIMOS DE CENTRAL MEXICANA DE SERVICIOS GENERALES AC</t>
  </si>
  <si>
    <t>JESLS MARNA RODRLGUEZ</t>
  </si>
  <si>
    <t>CENTRAL MEXICANA DE SERVICIOS GENERALES DE LOS GRUPOS FAMILIARES AL-ANON A.C</t>
  </si>
  <si>
    <t>GRUPO 24 HORAS AGUASCALIENTES MOVIMIENTO INTERNACIONAL</t>
  </si>
  <si>
    <t>GRUPO 24 HORAS AGUASCALIENTES MOVIMIENTO INTERNACIONAL AC</t>
  </si>
  <si>
    <t>GRUPO ALCOHOLICOS ANONIMOS LOS MEJORES DIAS</t>
  </si>
  <si>
    <t>CENTRO MEXICANO DE SERVICIOS GENERALES AC</t>
  </si>
  <si>
    <t>GRUPO TEPEYAC</t>
  </si>
  <si>
    <t>GRUPO DE ALCOHOLICOS ANONIMOS AC</t>
  </si>
  <si>
    <t>PEDRO GARC</t>
  </si>
  <si>
    <t>GRUPOS DE FAMILIA</t>
  </si>
  <si>
    <t>AL ANON ALATEEN AC</t>
  </si>
  <si>
    <t>MAR MEDITERRLNEO</t>
  </si>
  <si>
    <t>ALCOH6LICOS AN9NIMOSAMIGOS PARA SIEMPRE</t>
  </si>
  <si>
    <t>GRUPO 24 HORAS AA PEDREGOSO</t>
  </si>
  <si>
    <t>GRUPO 24 HORAS AA PEDREGOSO AC</t>
  </si>
  <si>
    <t>CENTRAL MEXICANA DE SERVICIOS GENERALES ALCOHOLICOS ANONIMOS EDDIE RICKEN BACKER</t>
  </si>
  <si>
    <t>CAPILLAS TAMAYO</t>
  </si>
  <si>
    <t>OSCAR.SAINZ1212@GMIL.COM</t>
  </si>
  <si>
    <t>COPARMEX AGUASCALIENTES</t>
  </si>
  <si>
    <t>CONFIA CONSULTING GROUP SC</t>
  </si>
  <si>
    <t>CONTACTO@CLUSTER.ORG.MX</t>
  </si>
  <si>
    <t>WWW.CLUSTER.ORG.MX</t>
  </si>
  <si>
    <t>ENLACE DE TRASPORTE COLECTIVO FORANEO DE AGUASCALIENTES</t>
  </si>
  <si>
    <t>ENLACE DE TRASPORTE COLECTIVO FORANEO DE AGUASCALIENTES AC</t>
  </si>
  <si>
    <t>TRANSPORTECOLECTIVO_F@HOTMAIL.COM</t>
  </si>
  <si>
    <t>VITICULTURA DE ALTURA</t>
  </si>
  <si>
    <t>UNION CAMPESINA DEMOCRATICA</t>
  </si>
  <si>
    <t>OFICINA DE ASOSACI0N INNOVA TAXI</t>
  </si>
  <si>
    <t>INNOVA TAXI AC</t>
  </si>
  <si>
    <t>C1MARA NACIONAL DE LA INDUSTRIA DE DESARROLLO Y PROMOCIcN DE VIVIENDA</t>
  </si>
  <si>
    <t>CANADEVI</t>
  </si>
  <si>
    <t>CAPACITACION.AGS@CANADEVI.COM.MX</t>
  </si>
  <si>
    <t>WWW.CANADEVI.COM.MX</t>
  </si>
  <si>
    <t>SINDICATO DE TRABAJADORES DE LA SECRETARyA DE AGRICULTURA, GANADERSA, DESARROLLO RURAL, PESCA Y ALIMENTACIEN</t>
  </si>
  <si>
    <t>SINDICATO DE TRABAJADORES DE LA SECRETARIA DE AGRICULTURA GANADERIA DESARROLLO RURAL PESCA Y ALIMENTACION</t>
  </si>
  <si>
    <t>SNTSAGARPA_AGS@YAHOO.COM.MX</t>
  </si>
  <si>
    <t>COMITE EJECUTIVO SECCIONAL NO. 38</t>
  </si>
  <si>
    <t>SINDICATO NACIONAL DE LOS TRABAJADORES DE LA SECRETARIA DE SALUD</t>
  </si>
  <si>
    <t>Alfredo Lewis</t>
  </si>
  <si>
    <t>Profesor Edmundo Gamez Orozco</t>
  </si>
  <si>
    <t>General Ignacio Zaragoza</t>
  </si>
  <si>
    <t>PRESIDENCIA.SNTSA@GMAIL.COM</t>
  </si>
  <si>
    <t>WWW.SINDICATO5550808000DESALUD.ORG.MX</t>
  </si>
  <si>
    <t>SINDICATO NACIONAL DE TRABAJADORES DE LA SECRETARIA DE SALUD SECCION 38</t>
  </si>
  <si>
    <t>GESTORIA DEL SINDICATO NACIONAL DE TRABAJADORES DE LA EDUCACIoN SECCIsN 1 IS S S TE</t>
  </si>
  <si>
    <t>SINDICATO NACIONAL DE TRABAJADORES DE LA EDUCACIDN SECCIUN 1</t>
  </si>
  <si>
    <t>UNI0N DE COOPROPIETARIOS</t>
  </si>
  <si>
    <t>UNION DE COOPROPIETARIOS AC</t>
  </si>
  <si>
    <t>ASOCIACION SIERRA FRIA</t>
  </si>
  <si>
    <t>AGENCIA PARA EL DESARROLLO INTEGRAL AGROPECUARIO DE PEQUEsAS Y MEDIANAS EMPRESAS</t>
  </si>
  <si>
    <t>AGENCIA PARA EL DESARROLLO INTEGRAL AGROPECUARIO DE PEQUEsAS Y MEDIANAS EMPRESAS SC</t>
  </si>
  <si>
    <t>ADYAPYME@HOTMAIL.COM</t>
  </si>
  <si>
    <t>GASUCEN</t>
  </si>
  <si>
    <t>GASOLINERO UNIDO DEL CENTRO AC</t>
  </si>
  <si>
    <t>COATZACOALCOS</t>
  </si>
  <si>
    <t>GASUCEN@HOTMAIL.COM</t>
  </si>
  <si>
    <t>COLECTIVO DE EDUCACION PARA LA PAZ</t>
  </si>
  <si>
    <t>COLECTIVO DE EDUCACION PARA LA PAZ AC</t>
  </si>
  <si>
    <t>PEDRO GARCMA ROJAS</t>
  </si>
  <si>
    <t>COLECTIVO.EDUPAZ@YAHOO.COM.MX</t>
  </si>
  <si>
    <t>CENTRO DE CAPACITACION PARA EL DESARROLLO COMUNITARIO</t>
  </si>
  <si>
    <t>CENTRO DE CAPACITACION PARA EL DESARROLLO COMUNITARIO AC</t>
  </si>
  <si>
    <t>MARCELAROARO@GMAIL.COM</t>
  </si>
  <si>
    <t>GIMNASIO MARLIC</t>
  </si>
  <si>
    <t>GIMNASIO MARLIC AC</t>
  </si>
  <si>
    <t>CASA DE GESTION</t>
  </si>
  <si>
    <t>SINDICATO NACIONAL DE TRBAJADORES DE LA SECRETARIA DE SALUD</t>
  </si>
  <si>
    <t>SAN JOSM</t>
  </si>
  <si>
    <t>HOGAR DEL ANCIANO</t>
  </si>
  <si>
    <t>Asilos y otras residencias del sector privado para el cuidado de ancianos</t>
  </si>
  <si>
    <t>ALIANZA PARA LOS DESAMPARADOS SA DE CV</t>
  </si>
  <si>
    <t>ARROYO LOS ARELLANO</t>
  </si>
  <si>
    <t>ALIDESAMPARADOS@HOTMAIL.COM</t>
  </si>
  <si>
    <t>CASA DEL NI0O VILLA DE LA ASUCION</t>
  </si>
  <si>
    <t>Orfanatos y otras residencias de asistencia social del sector privado</t>
  </si>
  <si>
    <t>CASA DEL NI0O VILLA DE LA ASUNCION AC</t>
  </si>
  <si>
    <t>DELFINO ARAUJO</t>
  </si>
  <si>
    <t>MAYOR PABLO J</t>
  </si>
  <si>
    <t>CASA DE SALUD</t>
  </si>
  <si>
    <t>TONY.NO1@LIVE.COM</t>
  </si>
  <si>
    <t>CENTRO CRECER MIRAVALLE</t>
  </si>
  <si>
    <t>ESTANCIA INFANTIL HAKUNA MATATA</t>
  </si>
  <si>
    <t>FELIPE RU</t>
  </si>
  <si>
    <t>SHARENYCASTA@HOTMAIL.COM</t>
  </si>
  <si>
    <t>CENDI PAPALOTE</t>
  </si>
  <si>
    <t>COMUNIDAD INFANTIL PAPALOTE SC</t>
  </si>
  <si>
    <t>CENDIPAPALOTE_2012@HOTMAIL.COM</t>
  </si>
  <si>
    <t>ESTANCIA INFANTIL PICCOLINES</t>
  </si>
  <si>
    <t>ROMA</t>
  </si>
  <si>
    <t>HAMBURGO</t>
  </si>
  <si>
    <t>JARDINES TIEMPO</t>
  </si>
  <si>
    <t>JARDINES DEL TIEMPO SA DE CV</t>
  </si>
  <si>
    <t>PANTEON DE LA ASUNCION</t>
  </si>
  <si>
    <t>SECRETARIA DE SERVICIOS PUBLICOS DE GOBIERNO MUN</t>
  </si>
  <si>
    <t>BARTOLO MACIAS</t>
  </si>
  <si>
    <t>CEMENTERIO JARDINES</t>
  </si>
  <si>
    <t>CEMENTERIO JARDINES ETERNOS SA</t>
  </si>
  <si>
    <t>RAFAEL VOZQUEZ</t>
  </si>
  <si>
    <t>JARDINESETERNOS@HOTMAIL.COM</t>
  </si>
  <si>
    <t>FUNERARIA JARDINES ETERNOS</t>
  </si>
  <si>
    <t>SERVICIOS FUNERARIOS ESPECIALES SA DE CV</t>
  </si>
  <si>
    <t>JARDINESET2000@HOTMAIL.COM</t>
  </si>
  <si>
    <t>CENTRO CRECER SAN MARCOS</t>
  </si>
  <si>
    <t>CRREAD MICH AC DEL SAGRADO CORAZON</t>
  </si>
  <si>
    <t>GRUPO AA 24 HORAS CHOLULA</t>
  </si>
  <si>
    <t>ALCOHOLICOS ANONIMOS</t>
  </si>
  <si>
    <t>GRUPO LIBERTAD DE ALCOHOLICOS ANONIMOS</t>
  </si>
  <si>
    <t>ALCOH LICOS ANONIMOS AC</t>
  </si>
  <si>
    <t>GRUPO BUEN REMEDIO DE ALCOHOLICOS ANONIMOS</t>
  </si>
  <si>
    <t>GRUPO BUEN REMEDIO DEALCOHOLICOS ANONIMOS AC</t>
  </si>
  <si>
    <t>DOBLE AA GRUPO DIAS SIN HUELLA</t>
  </si>
  <si>
    <t>CENTRAL MEXICANA DE SERVICIOS GENERALES DE AA</t>
  </si>
  <si>
    <t>MIGUEL CNGEL</t>
  </si>
  <si>
    <t>GRUPO GAYOSSO</t>
  </si>
  <si>
    <t>GRUPO GAYOSSO SA DE CV</t>
  </si>
  <si>
    <t>Vistahermosa</t>
  </si>
  <si>
    <t>Montebello</t>
  </si>
  <si>
    <t>Miraflores</t>
  </si>
  <si>
    <t>MCASTRO@GAYOSSO.COM</t>
  </si>
  <si>
    <t>WWW.GAYOSSO.COM</t>
  </si>
  <si>
    <t>PANTEON LA ASUNCION</t>
  </si>
  <si>
    <t>Administracion de cementerios pertenecientes al sector prblico</t>
  </si>
  <si>
    <t>SECRETARLA DE SERVICIOS P0BLICOS DE GOBIERNO MUNICIPAL</t>
  </si>
  <si>
    <t>OFICINA DE ATENCION DEL SENADOR TOlO MARTIN DEL CAMPO</t>
  </si>
  <si>
    <t>CASA DE ASISTENCIA REYNOSO ESCALANTE</t>
  </si>
  <si>
    <t>GUARDERIA ORDINARIA</t>
  </si>
  <si>
    <t>MARIA.GUTIERREZPA@IMSS.GOB.MX</t>
  </si>
  <si>
    <t>WWW.IMSS.COM.MX</t>
  </si>
  <si>
    <t>GRUPO EJECUTIVO OFICINA DE SERVICIOS GENERALES</t>
  </si>
  <si>
    <t>ALCOHOLICOS ANONIMOS PRIMERO LA SANACION</t>
  </si>
  <si>
    <t>SEGUNDA PRIVADA SAN MARCOS</t>
  </si>
  <si>
    <t>FUENTE DE LAS CIBELES</t>
  </si>
  <si>
    <t>FUNERARIA CAPILLAS TAMAYO</t>
  </si>
  <si>
    <t>CAPILLLASTAMAYO1@GMAIL.COM</t>
  </si>
  <si>
    <t>SINDICATO NACIONAL DE TRABAJADORES DEL SEGURO SOCIAL SECCICN XXI</t>
  </si>
  <si>
    <t>SINDICATO NACIONAL DE TRABAJADORES DEL SEGURO SOCIAL</t>
  </si>
  <si>
    <t>FACTURASTESO.XXI@GMAIL.COM</t>
  </si>
  <si>
    <t>ALAS DE COLORES</t>
  </si>
  <si>
    <t>CALLE DE LOS VALADEZ</t>
  </si>
  <si>
    <t>ALASD_COLORES@HOTMAIL.COM</t>
  </si>
  <si>
    <t>CLUB ROTARIO AGUASCALIENTES FILANTROPICO</t>
  </si>
  <si>
    <t>CLUB ROTARIO AGUASCALIENTES FILANTROPICO AC</t>
  </si>
  <si>
    <t>HERNANDO MARTELL</t>
  </si>
  <si>
    <t>ROT_AGS@HOTMAIL.COM</t>
  </si>
  <si>
    <t>CASA DE GESTION SOCIAL</t>
  </si>
  <si>
    <t>CASA HOGAR DEL ABUELO CUICA-CALLI</t>
  </si>
  <si>
    <t>MAGDAGTZ3@HOTMAIL.COM</t>
  </si>
  <si>
    <t>COMEDOR COMUNITARIO DE PARROQUIA TRES AVE MARIA</t>
  </si>
  <si>
    <t>DIOSESIS DE AGUASCALIENTES AR</t>
  </si>
  <si>
    <t>ESTANCIA INFANTIL CHORCHOLINES</t>
  </si>
  <si>
    <t>YAMBAL0284@YAHOO.COM.MX</t>
  </si>
  <si>
    <t>ESTANCIA INFANTIL TONATIUH</t>
  </si>
  <si>
    <t>SALON DE USOS MULTIPLES</t>
  </si>
  <si>
    <t>JESUS SOTELO INCLAN</t>
  </si>
  <si>
    <t>CENTRO GERONTOLOGICO DIF ESTATAL</t>
  </si>
  <si>
    <t>REPLBLICA DE PARAGUAY</t>
  </si>
  <si>
    <t>GUILLERMINA.ALTAMIRA@AGUASCLAIENTES.GOB.MX</t>
  </si>
  <si>
    <t>WWW.GOBIERNODEAGUASCALIENTES.GOB.MX</t>
  </si>
  <si>
    <t>COMEDOR MUNICIPAL COPUSI</t>
  </si>
  <si>
    <t>CENTRO DE ASISTENCIA SOCIAL PARA NIaOS NIoAS ADOLECENTES MIGRANTES NO ACOMPAcADOS</t>
  </si>
  <si>
    <t>Refugios temporales comunitarios del sector publico</t>
  </si>
  <si>
    <t>DIF GOBIERNO DEL ESTADO</t>
  </si>
  <si>
    <t>CENTRO DE DESARROLLO INFANTIL DIF ESTATAL</t>
  </si>
  <si>
    <t>SEDIF.AGUASCALIENTES@AGUASCALIENTES..GOB.MX</t>
  </si>
  <si>
    <t>WWW.AGAUSCALIENTES.GOB.MX/DIF</t>
  </si>
  <si>
    <t>ESTANCIA DE BIENESTAR Y DESARROLLO INFANTIL NnMERO 21</t>
  </si>
  <si>
    <t>EBDI21AGS@ISSSTE.GOB.MX</t>
  </si>
  <si>
    <t>SONRISA MAGICA</t>
  </si>
  <si>
    <t>SONRISAMAGICA2009@HOTMAIL.COM</t>
  </si>
  <si>
    <t>CENTRO DE REHABILITACI0N CIDA</t>
  </si>
  <si>
    <t>CENTRO DE INTEGRACION PARA DROGADICTOS Y ALCOHOLICOS AC</t>
  </si>
  <si>
    <t>CIDA_MUJERES@HOTMAIL.COM</t>
  </si>
  <si>
    <t>ALCOHOLICOS ANONIMOS GRUPO GENESSIS AA</t>
  </si>
  <si>
    <t>CENTRAL MEXICANA DE SERVICIOS GENERALES AA</t>
  </si>
  <si>
    <t>GRUPO AL ANON AMANECER</t>
  </si>
  <si>
    <t>DIEGO FERNONDEZ VILLA</t>
  </si>
  <si>
    <t>GRUPO DE ALCOHOLICOS ANONIMOS 10 DE AGOSTO</t>
  </si>
  <si>
    <t>GRUPO DE ALCOHOLICOS ANONIMOS 10 DE AGOSTO AC</t>
  </si>
  <si>
    <t>GRUPOS DE FAMILIA AL ANON</t>
  </si>
  <si>
    <t>SERVICIOS GENERALES PARA FAMILIARES DE ALCOHOLICOS AL ANON AC</t>
  </si>
  <si>
    <t>ALCOHOLICOS ANONIMOS GRUPO ESPA</t>
  </si>
  <si>
    <t>GRUPO ESPASA AC</t>
  </si>
  <si>
    <t>GRUPO DE FAMILIA DE AL ANON</t>
  </si>
  <si>
    <t>CENTRAL ME3XICANA DE SERVICIOS GENERALES DE ALCOHOLICOS ANONIMOS AC</t>
  </si>
  <si>
    <t>ASOCIACION CIVIL DE ALCOHOLICOS ANONIMOS</t>
  </si>
  <si>
    <t>ASOCIACION CIVIL ALCOHOLICOS ANONIMOS AC</t>
  </si>
  <si>
    <t>CENTRO DE INTEGRACION PARA DROGADICTOS Y ALCOHOLICOS</t>
  </si>
  <si>
    <t>INSTITUTO CO EDUCACION CO AGUASCALIENTES</t>
  </si>
  <si>
    <t>SIDA_AGUASCALIENTES@HOTMAIL.COM</t>
  </si>
  <si>
    <t>GRUPO RENACER DE TRAGONES ANONIMOS</t>
  </si>
  <si>
    <t>ASOCIACION PARA PERSONAS CON PROBLEMAS DE OBESIDAD AC</t>
  </si>
  <si>
    <t>WWW.TRAGONESANONIMOS.COM</t>
  </si>
  <si>
    <t>GRUPO DOCTOR SILKWORTH ALCOHOLICOS ANONIMOS</t>
  </si>
  <si>
    <t>GRUPO DOCTOR SILKWORTH ALCOHOLICOS ANONIMOS AC</t>
  </si>
  <si>
    <t>PLAZA</t>
  </si>
  <si>
    <t>DRSILKWORTH4482@GMAIL.COM</t>
  </si>
  <si>
    <t>CENTRAL MEXICANA DE SERVICIOS GENERALES DE AA AC</t>
  </si>
  <si>
    <t>VILLA JARDIN</t>
  </si>
  <si>
    <t>OFICINA-INTERGRUPAL-AA-AGS@HOTMAIL.COM</t>
  </si>
  <si>
    <t>RECINTO FUNERARIO LOS ENCINOS</t>
  </si>
  <si>
    <t>RECINTO FUNERARIO LOS ENCINOS S DE RL DE CV</t>
  </si>
  <si>
    <t>79MELY07@MAIL.COM</t>
  </si>
  <si>
    <t>ASOCIACION MEXICANA DE HOTELES Y MOTELES DE AGUASCALIENTES</t>
  </si>
  <si>
    <t>ASOCIACION MEXICANA DE HOTELES Y MOTELES DE AGUASCALIENTES AC</t>
  </si>
  <si>
    <t>GERENCIA@HOTELESENAGUASCALIENTES.COM.MX</t>
  </si>
  <si>
    <t>WWW.HOTELESENAGUASCALIENTES.COM</t>
  </si>
  <si>
    <t>CONDOMINOS DEL CENTRO COMERCIAL EL DORADO</t>
  </si>
  <si>
    <t>CCCELDORADO82@HOTMAIL.COM</t>
  </si>
  <si>
    <t>ALIANZA DE COMERCIANTES Y PRESTADORES DE SERVICIOS</t>
  </si>
  <si>
    <t>ALIANZA DE COMERCIANTES Y PRESTADORES DE SERVICIOS SC</t>
  </si>
  <si>
    <t>C1MARA NACIONAL DEL AUTOTRANSPORTE DE CARGA</t>
  </si>
  <si>
    <t>BAHIA</t>
  </si>
  <si>
    <t>AGUASCALIENTES@CANACAR.COM.MX</t>
  </si>
  <si>
    <t>WWW.CANACAR.COM.MX</t>
  </si>
  <si>
    <t>UNION CAMPECINA DEMOCRATICA</t>
  </si>
  <si>
    <t>REPUBLICA DE CUBA</t>
  </si>
  <si>
    <t>UCD.AGS@HOTMAIL.COM</t>
  </si>
  <si>
    <t>ASEFIMEX</t>
  </si>
  <si>
    <t>ASOCIASION DE EMPACADORES DE FRUTAS IRRADIADAS DE MEXICO AC</t>
  </si>
  <si>
    <t>REPUBLICA DE HAITI</t>
  </si>
  <si>
    <t>OFICINA@ASEFIMEX.COM.MX</t>
  </si>
  <si>
    <t>ASEFIMEX.COM.MX</t>
  </si>
  <si>
    <t>ASOCIACION MEXICANA DE DISTRIBUIDORES DE AUTOMOTORES</t>
  </si>
  <si>
    <t>ASOCIACION MEXICANA DE DISTRIBUIDORES DE AUTOMOTORES AGUASCALIENTES AC</t>
  </si>
  <si>
    <t>APERALESL@AMDA.MX</t>
  </si>
  <si>
    <t>SINDICATO DE AUTOTRANSPORTES</t>
  </si>
  <si>
    <t>SINDICATO DE AUTOTRANSPORTES SA DE CV</t>
  </si>
  <si>
    <t>SINDICATO NACIONAL DE TRABAJADORES DEL MEDIO AMBIENTE Y RECURSOS NATURALES</t>
  </si>
  <si>
    <t>DESPACHO JURIDICO SIN NOMBRE</t>
  </si>
  <si>
    <t>ASOCIACION DE MAESTROS JUBILADOS Y PENSIONADOS AC</t>
  </si>
  <si>
    <t>JUBILADOSDEAGUASCALIENTES1993@HOTMAIL.COM</t>
  </si>
  <si>
    <t>UNION DE TRABAJADORES DE LA CONSTRUCCION Y CONEXOS DEL ESTADO DE AGUASCALIENTES</t>
  </si>
  <si>
    <t>SINDICATO DE BANCOMER</t>
  </si>
  <si>
    <t>SINDICATO NACIONAL BBVA BANCOMER DE EMPREADOS DE LOS SERVICIOS DE LA BANCA Y CREDITO Y ACTIVIDADES FINANCIERAS RELACIONADAS</t>
  </si>
  <si>
    <t>SNAEBBAGUASCALINTES@YAHOO.COM.MX</t>
  </si>
  <si>
    <t>ASOCIACION MEXICANA DE AYUDA A NIeOS CON CANCER DE AGUASCALIENTES</t>
  </si>
  <si>
    <t>ASOCIACION MEXICANA DE AYUDA A NIeOS CON CANCER DE AGUASCALIENTES AC</t>
  </si>
  <si>
    <t>YUKLN</t>
  </si>
  <si>
    <t>AMANCAGS@HOTMAIL.COM</t>
  </si>
  <si>
    <t>GRUPO DE ENFERMOS CON PROBLEMAS RENALES</t>
  </si>
  <si>
    <t>ENFERMOSRENALES@YAHOO.COM.MX</t>
  </si>
  <si>
    <t>AUTOVALORACION DINAMICA</t>
  </si>
  <si>
    <t>GRUPO INFINISER SA</t>
  </si>
  <si>
    <t>REPLBLICA DOMINICANA</t>
  </si>
  <si>
    <t>WWW.ELINICIODETUVIDA.COM</t>
  </si>
  <si>
    <t>FUNDACI3N INTERVIVE</t>
  </si>
  <si>
    <t>FUNDACI3N INTERVIVE AC</t>
  </si>
  <si>
    <t>INTERVIVE2018@HOTMAIL.COM</t>
  </si>
  <si>
    <t>CENTRO PARA LA INTEGRACION DE LAS TERAPIAS ALTERNATIVAS</t>
  </si>
  <si>
    <t>CENTRO PARA LA INTEGRACION DE LAS TERAPIAS ALTERNATIVAS SC</t>
  </si>
  <si>
    <t>CITA.AC@GMAIL.COM</t>
  </si>
  <si>
    <t>WWW.CITAAC.COM</t>
  </si>
  <si>
    <t>LA SAGRADA ALIANZA</t>
  </si>
  <si>
    <t>COALICION DE TAXISTAS DE AGUASCALIENTES</t>
  </si>
  <si>
    <t>COALICION DE TAXISTAS DE AGUASCALIENTES AC</t>
  </si>
  <si>
    <t>LICENCIADO JESSS REYES HEROLES</t>
  </si>
  <si>
    <t>COALICIONDETAXISTASDEAGS@HOTMAIL.COM</t>
  </si>
  <si>
    <t>FUNDACION EMANUEL MEXICO</t>
  </si>
  <si>
    <t>FUNDACION EMANUEL MEXICO AC</t>
  </si>
  <si>
    <t>ESTANCIA GERIATRICA VILLAS JUAN PABLO</t>
  </si>
  <si>
    <t>GRUPO LENGUAJE DEL CORAZON ALCOHOLICOS ANONIMOS</t>
  </si>
  <si>
    <t>AGRUPACION DE CONCESIONARIOS Y OPERADORES DE TAXIS DE AGUASCALIENTES</t>
  </si>
  <si>
    <t>AGRUPACION DE CONCESIONARIOS Y OPERADORES DE TAXIS DE AGUASCALIENTES AC</t>
  </si>
  <si>
    <t>TULA</t>
  </si>
  <si>
    <t>ACOTA_1@YAHOO.COM.MX</t>
  </si>
  <si>
    <t>ASOCIACION DE CONDOMINOS RINCONADA DEL PARQUE</t>
  </si>
  <si>
    <t>ASOCIACION DE CONDOMINOS RINCONADA DEL PARQUE AC</t>
  </si>
  <si>
    <t>COTO</t>
  </si>
  <si>
    <t>PASEO DE SAN MARCOS</t>
  </si>
  <si>
    <t>RINCONADADELPARQUE@HOTMAIL.COM</t>
  </si>
  <si>
    <t>DIF ESTATAL CENTRO DE DESARROLLO DE LA COMUNIDAD DE PIRULES</t>
  </si>
  <si>
    <t>ORQUIDEAS</t>
  </si>
  <si>
    <t>CASA DE RETIRO DE ANCIANITAS SAN VICENTE</t>
  </si>
  <si>
    <t>MISIONERAS EUCARISTICAS DE JESUS INFANTE Y NUESTRA SE ORA DE FATIMA AR</t>
  </si>
  <si>
    <t>ROSA.MARIA770@YAHOO.COM</t>
  </si>
  <si>
    <t>ESTANCIA DE VIDA DE NUESTRA SEEORA DE GUADALUPE</t>
  </si>
  <si>
    <t>CASA HOGAR DIVINO MAESTRO</t>
  </si>
  <si>
    <t>CASA HOGAR DIVINO MAESTRO AC</t>
  </si>
  <si>
    <t>WALAS1308@GMAIL.COM</t>
  </si>
  <si>
    <t>ASILO Y CASA DE DESCANSO LA SAGRADA FAMILIA</t>
  </si>
  <si>
    <t>ASILO Y CASA DE DESCANSO SAN JOSE AC</t>
  </si>
  <si>
    <t>ALBERGUE ALAS QUE PROTEGEN FUNDACION</t>
  </si>
  <si>
    <t>FUNDACION ALAS QUE PROTEGEN</t>
  </si>
  <si>
    <t>ALASQUEPROTEGEN@HOTMAIL.COM</t>
  </si>
  <si>
    <t>CASA DE ASITENCIA INFANTIL NUESTRA SE ORA DE LA ASUNCION DE AGUASCALIENTES</t>
  </si>
  <si>
    <t>CASA DE ASITENCIA INFANTIL NUESTRA SE ORA DE LA ASUNCION DE AGUASCALIENTES AC</t>
  </si>
  <si>
    <t>MEJA50129@GMAIL.COM</t>
  </si>
  <si>
    <t>NI0OS POR SIEMPRE</t>
  </si>
  <si>
    <t>ROLOHER_03@HOTMAIL.COM</t>
  </si>
  <si>
    <t>MUJERES PARA LA LIBERTAD Y UN BIENESTAR PARA TODOS</t>
  </si>
  <si>
    <t>MUJERES PARA LA LIBERTAD Y UN BIENESTAR PARA TODOS AC</t>
  </si>
  <si>
    <t>ALBERGUE HOSPITAL MIGUEL HIDALGO AACAFIQ</t>
  </si>
  <si>
    <t>Refugios temporales comunitarios del sector privado</t>
  </si>
  <si>
    <t>AACAFIQ AC</t>
  </si>
  <si>
    <t>AACAFIQ@HOTMAIL.COM</t>
  </si>
  <si>
    <t>MANCOMUNIDAD DE LA AMERICA INDIA SOLAR DE AGUASCALIENTES</t>
  </si>
  <si>
    <t>MANCOMUNIDAD DE LA AMERICA INDIA SOLAR DE AGUASCALIENTES AC</t>
  </si>
  <si>
    <t>RESIDENCIAL HORNEDO</t>
  </si>
  <si>
    <t>CENTRO DE ATENCI2N INTEGRAL DE LA MUJER CAIM</t>
  </si>
  <si>
    <t>LILIA.MARIN@AGUASCALIENTES.GOB.MX</t>
  </si>
  <si>
    <t>CENTRO CRECER LA SALUD</t>
  </si>
  <si>
    <t>ESTADO DE AGUASCALIENTES</t>
  </si>
  <si>
    <t>ESTANCIA INFANTIL CHAVITOS SEDESOL NO. 3936</t>
  </si>
  <si>
    <t>CHAVITOS_11@HOTMAIL.COM</t>
  </si>
  <si>
    <t>ESTANCIA INFANTIL EL REHILETE</t>
  </si>
  <si>
    <t>PRIVADA EULALIO GUTIERREZ</t>
  </si>
  <si>
    <t>EULALIO GUTILRREZ</t>
  </si>
  <si>
    <t>MIRIAM.RODRIGUEZ@GMAIL.COM</t>
  </si>
  <si>
    <t>CONQUISTA</t>
  </si>
  <si>
    <t>Rene Descartes</t>
  </si>
  <si>
    <t>Seguro Social</t>
  </si>
  <si>
    <t>AlbLniz</t>
  </si>
  <si>
    <t>ARACELIRAMIREZM200@GMAIL.COM</t>
  </si>
  <si>
    <t>ESTANCIA INFANTIL APRENDE</t>
  </si>
  <si>
    <t>ESTANCIAAPRENDE@HOTMAIL.COM</t>
  </si>
  <si>
    <t>ESTANCIA INFANTIL AGUASCALIENTES</t>
  </si>
  <si>
    <t>ESTANCIA INFANTIL AGUASCALIENTES AC</t>
  </si>
  <si>
    <t>EIA-001@HOTMAIL.COM</t>
  </si>
  <si>
    <t>GUARDERIA ROTARIA</t>
  </si>
  <si>
    <t>GUARDERIA ROTARIA AC</t>
  </si>
  <si>
    <t>ROTARIAPRIMO@HOTMAIL.COM</t>
  </si>
  <si>
    <t>ESTANCIA INFANTIL TRENECITO ENCANTADO</t>
  </si>
  <si>
    <t>NILDA.OLIVI.BERNAL@GMAIL.COM</t>
  </si>
  <si>
    <t>CENTRO DE DESARROLLO INDIGENA</t>
  </si>
  <si>
    <t>SISTEMA PARA EL DESARROLLO INTEGRAL DE LA FAMILIA</t>
  </si>
  <si>
    <t>SALON DE USOS MULTIPLES SAN FERNANDO</t>
  </si>
  <si>
    <t>CLUB DEL RECUERDO Y CONVIVENCIA EL LLANITO</t>
  </si>
  <si>
    <t>DEPARTAMENTO DE ADULTOS MAYORES DESARROLLO INTEGRAL DE LA FAMILIA</t>
  </si>
  <si>
    <t>CONSEJO ESTATAL DE PERSONAS CON DISCAPACIDAD EN EL ESTADO DE AGUASCALIENTES A C</t>
  </si>
  <si>
    <t>EL GOBIERNO</t>
  </si>
  <si>
    <t>GUARDERIA PEQUE7OS AMIGOS</t>
  </si>
  <si>
    <t>ESTANCIA INFANTIL APRENDIENDO Y JUGANDO</t>
  </si>
  <si>
    <t>COBREROS</t>
  </si>
  <si>
    <t>MAR.VERITO@HOTMAL.COM</t>
  </si>
  <si>
    <t>ESTANCIA INFANTIL BACKYARDIGANS</t>
  </si>
  <si>
    <t>PRIVADA JOSE MARIN IGLESIAS</t>
  </si>
  <si>
    <t>ANGELICA09.27@HOTMAIL.ES</t>
  </si>
  <si>
    <t>ESTANCIA INFANTIL SEMILLITAS</t>
  </si>
  <si>
    <t>VPASTENP@GMAIL.COM</t>
  </si>
  <si>
    <t>CRIOS</t>
  </si>
  <si>
    <t>CENDCRIOS@HOTMAIL.COM</t>
  </si>
  <si>
    <t>PANTE8N DE LA SALUD</t>
  </si>
  <si>
    <t>MUNICIPIO DE LA CIUDAD DE AGUASCALIENTES</t>
  </si>
  <si>
    <t>GRUPO ALCOHOLICOS ANONIMOS LA GRAN FAMILIA</t>
  </si>
  <si>
    <t>GRUPO ALCOHOLICOS ANONIMOS LA GRAN FAMILIA AC</t>
  </si>
  <si>
    <t>LLEGAMOS A CREER</t>
  </si>
  <si>
    <t>QUINTA DE LA LUNA</t>
  </si>
  <si>
    <t>CENTRO DE RECUPERACION Y REHABILITACION</t>
  </si>
  <si>
    <t>CRREAD ZONA 1 AC</t>
  </si>
  <si>
    <t>CRREADAGSZONAUNO@HOTMAIL.ES</t>
  </si>
  <si>
    <t>GRUPO DE AA EL IRLANDES</t>
  </si>
  <si>
    <t>C ENTRAL MEXICANA DE SERVICIOS GENERALES ALCOHOLICOS ANONIMOS SA DE CV</t>
  </si>
  <si>
    <t>UN SUE2O TRAGONES ANONIMOS</t>
  </si>
  <si>
    <t>GRUPO JOVENES AGUASCALIENTES DE ALCOHOLICOS Y DROGADICTOS ANONIMOS</t>
  </si>
  <si>
    <t>ALCOHOLICOS ANONIMOS GRUPO ACRO</t>
  </si>
  <si>
    <t>ALCOHOLICOS ANONIMOS GRUPO ACRO AC</t>
  </si>
  <si>
    <t>GRUPO GUERREROS EN RENOVACION 4 Y 5 PASO</t>
  </si>
  <si>
    <t>GRUPO GUERREROS EN RENOVACION 4 Y 5 PASO SA</t>
  </si>
  <si>
    <t>GRUPO EJECUTIVOS ALCOHOLICOS ANONIMOS</t>
  </si>
  <si>
    <t>GRUPO EJECUTIVOS ALCHOLICOS ANONIMOS</t>
  </si>
  <si>
    <t>GRUPO CENTRO DE ALCOHOLICOS ANONIMOS</t>
  </si>
  <si>
    <t>RIO SANTIAGO</t>
  </si>
  <si>
    <t>GRUPO JOVENES ALEGRIA DE ALCOHOLICOS Y DROGADICTOS</t>
  </si>
  <si>
    <t>JOVENES ALCOHOLICOS ANONIMOS</t>
  </si>
  <si>
    <t>CASA DE FORMACION DEL INSTITUTO SANTA MARIANA DE JESUS</t>
  </si>
  <si>
    <t>GRUPO SERENIDAD AGUASCALIENTES DE TRAGONES ANpNIMOS 24 HORAS</t>
  </si>
  <si>
    <t>H MUNICIPIO AGUASCALIENTES</t>
  </si>
  <si>
    <t>GRUPO EJECUTIVO ALANON</t>
  </si>
  <si>
    <t>GRUPOS DE FAMILIA ALANON ALATEEN AC</t>
  </si>
  <si>
    <t>COMITE DE AREA AGUASCALIENTES DE SERVICIOS GENERALES DE ALCOHOLICOS ANONIMOS</t>
  </si>
  <si>
    <t>COMITE DE ARE AGUASCALIENTES DE ALCOHOLICOS ANONIMOS AC</t>
  </si>
  <si>
    <t>AGUASCALIENTES@AAMEXICO.ORG.MX</t>
  </si>
  <si>
    <t>AA.ORG.MX</t>
  </si>
  <si>
    <t>GRUPO UN NUEVO COMIENZO</t>
  </si>
  <si>
    <t>GRUPOS@ALANON.MX</t>
  </si>
  <si>
    <t>APRENDIENDO AMAR</t>
  </si>
  <si>
    <t>CENTRAL MEXICANA DE SERVICIOS GENERALES DE LOS GRUPOS FAMILIARES AL ANON AC</t>
  </si>
  <si>
    <t>GRUPO CAMBIO DE VIDA</t>
  </si>
  <si>
    <t>DOCTOR JESTS DEAZ DE LEEN</t>
  </si>
  <si>
    <t>GRUPO CENTRO DE AUTOAYUDA NEUROTICOS ANONIMOS</t>
  </si>
  <si>
    <t>GRUPO CENTRO DE AUTO AYUDA NEUROTICOS ANONIMOS AC</t>
  </si>
  <si>
    <t>GENERAL JOSU MARAA ARTEAGA</t>
  </si>
  <si>
    <t>FUNERARIA HEROE DE NACOZARI</t>
  </si>
  <si>
    <t>SANTA_CRUZKAREN@HOTMAIL.COM</t>
  </si>
  <si>
    <t>NASER DE ANTEQUERA SA DE CV</t>
  </si>
  <si>
    <t>Durango</t>
  </si>
  <si>
    <t>Privada No. 344</t>
  </si>
  <si>
    <t>Licenciado Francisco Primo Verdad</t>
  </si>
  <si>
    <t>CONTACTO@NASER.COM.MX</t>
  </si>
  <si>
    <t>WWW.NASER.COM.MX</t>
  </si>
  <si>
    <t>FUNERARIA PROTECTO DECO</t>
  </si>
  <si>
    <t>INMOBILIDARIA ESPECIALIZADA DE BIENES RAICES SA DE CV</t>
  </si>
  <si>
    <t>CROSALES@GRUPUDECO.COM</t>
  </si>
  <si>
    <t>WWW.PROTECTODECO.COM</t>
  </si>
  <si>
    <t>CUTSA</t>
  </si>
  <si>
    <t>CONCESIONARIOS UNIDOS AC</t>
  </si>
  <si>
    <t>CONSTITUCIAN</t>
  </si>
  <si>
    <t>TAXISTAS UNIDOS DE AGUASCALIENTES</t>
  </si>
  <si>
    <t>TAXISTAS UNIDOS DE AGUASCALIENTES AC</t>
  </si>
  <si>
    <t>J. ENCARNACION GUERRERO</t>
  </si>
  <si>
    <t>TAXISTASAGS@HOTMAIL.COM</t>
  </si>
  <si>
    <t>BA0OS PUBLICOS</t>
  </si>
  <si>
    <t>UNION COMERCIAL</t>
  </si>
  <si>
    <t>UNION POPULAR REVOLUCIONARIA</t>
  </si>
  <si>
    <t>UNION POPULAR REVOLUCIONARIA AC</t>
  </si>
  <si>
    <t>AGRUPACION Y PROTECCION DE TAXISTAS DE AGS</t>
  </si>
  <si>
    <t>AGRUPACION Y PROTECCION DE TAXISTAS DE AGS AC</t>
  </si>
  <si>
    <t>A.P.T.A@HOTMAIL.COM</t>
  </si>
  <si>
    <t>SINDICATO DE TRABAJADORES DE EMPRESAS DE SERVICIOS MAQUILADORAS TRANSPORTES DEL RAMO DE ALIMENTOS E INDUSTRIAS EN GENERAL DEL ESTADO DE AGUASCALIENTE</t>
  </si>
  <si>
    <t>SINDICATO DE TRABAJADORES DEL ESTADO DE AGUASCALIENTES</t>
  </si>
  <si>
    <t>SINDICATO DEL ISSTE</t>
  </si>
  <si>
    <t>ISSTE</t>
  </si>
  <si>
    <t>SECCION VII AGUASCALIENTES</t>
  </si>
  <si>
    <t>SINDICATO NACIONAL DE TRABAJADORES DEL ISSSTE</t>
  </si>
  <si>
    <t>Diana</t>
  </si>
  <si>
    <t>Maestro Miguel Meneses</t>
  </si>
  <si>
    <t>Amatto</t>
  </si>
  <si>
    <t>UNIDAD.TRASPARENCIA.SENTISSSTE@GMAIL.COM</t>
  </si>
  <si>
    <t>WWW.SATISSSTE.MX</t>
  </si>
  <si>
    <t>SUTEMA</t>
  </si>
  <si>
    <t>SINDICATO UNICO DE TRABAJADORES ESTATALES Y MUNICIPALES DE AGUASCALIENTES</t>
  </si>
  <si>
    <t>SUTEMA.TRANSPARENCIA@OUTLOOK.COM</t>
  </si>
  <si>
    <t>SINDICATO DE TRABAJADORES DE LA MUSICA DEL ESTADO DE AGUASCALIENTES Y CONEXOS FTA</t>
  </si>
  <si>
    <t>SINDICATO DE TRABAJADORES DE LA UNIVERSIDAD AUTONOMA DE AGUASCALIENTES</t>
  </si>
  <si>
    <t>SGSTUAA@HOTMAIL.COM</t>
  </si>
  <si>
    <t>SINDICATO PENCIONADOY Y JUBILADOS POR EL ESTADO FSTSE</t>
  </si>
  <si>
    <t>JOSL MARMA MORELOS Y PAVAN</t>
  </si>
  <si>
    <t>JUBILADOS.PENCIONADOSFSTSE@HOTMAIL.COM</t>
  </si>
  <si>
    <t>COLEGIO DE NOTARIOS DEL ESTADO DE AGUSCALIENTES</t>
  </si>
  <si>
    <t>Asociaciones y organizaciones de profesionistas</t>
  </si>
  <si>
    <t>COLEGIO DE NOTARIOS DEL ESTADO DE AGUASCALIENTES AC</t>
  </si>
  <si>
    <t>NOTARIOSCOLEGIOAGS@HOTMAIL.COM</t>
  </si>
  <si>
    <t>ASOCIACI3N DE INGENIEROS CONSULTORES</t>
  </si>
  <si>
    <t>ASOCIACI3N DE INGENIEROS CONSULTORES SC</t>
  </si>
  <si>
    <t>CARLOS.ARREGUIN@AICMEXICANA.COM</t>
  </si>
  <si>
    <t>WWW.AICMEXICANA.COM</t>
  </si>
  <si>
    <t>INMOBILIARIA AMPI</t>
  </si>
  <si>
    <t>ASOCIACION MEXICANA DE PROFESIONALES INMOBILIARIOS SECCION CIUDAD DE AGUASCALIENTES AC</t>
  </si>
  <si>
    <t>MUJER CONTEMPORANEA</t>
  </si>
  <si>
    <t>MUJER CONTEMPORANEA AC</t>
  </si>
  <si>
    <t>CONTEMPORANEA_AGUASCALIENTES@HOTMAIL.COM</t>
  </si>
  <si>
    <t>MUJERES JEFAS DE FAMILIAS</t>
  </si>
  <si>
    <t>MUJERES JEFAS DE FAMILIA AC</t>
  </si>
  <si>
    <t>MUJERESJEFASDEFAMILIA@GMAIL.COM</t>
  </si>
  <si>
    <t>VOLUNTARIAS VICENTINAS AC</t>
  </si>
  <si>
    <t>DOCTOR JESRS DRAZ DE LEcN</t>
  </si>
  <si>
    <t>ASOCIACION DE CONDAMINIOS PORTAREAL</t>
  </si>
  <si>
    <t>ASOCIACION DE CONDOMINIOS PORTAREAL</t>
  </si>
  <si>
    <t>RDCARLOS77@GMAIL.COM</t>
  </si>
  <si>
    <t>CENTRO DE ESTUDIOS GRAN LOGIA DEL ESTADO DE AGUASCALIENTES</t>
  </si>
  <si>
    <t>ORGANIZACION CULTURAL Y DESARROLLO SOCIAL SUSTENTABLE AC</t>
  </si>
  <si>
    <t>ASOCIACION DE MILITARES RETIRADOS RADICADOS EN EL ESTADO DE AGUASCALIENTES</t>
  </si>
  <si>
    <t>ASOCIACION DE MILITARES RETIRADOS RADICADOS EN EL ESTADO DE AGUASCALIENTES AC</t>
  </si>
  <si>
    <t>MARLA CONCEPCION AGUAYO</t>
  </si>
  <si>
    <t>JUNTOS EN EL CAMINO DE LA ESPERANZA</t>
  </si>
  <si>
    <t>JUNTOS EN EL CAMINO DE LA ESPERANZA AC</t>
  </si>
  <si>
    <t>PROLONGACIAN COS</t>
  </si>
  <si>
    <t>JUNTOS_EN_EL_CAMINO@YAHOO.COM.MX</t>
  </si>
  <si>
    <t>AUGUSTA GRAN FRATERNIDAD UNIVERSAL DR SERGE RAYNAUD DE LA FERRIERE Y DR JOSE MANUEL ESTRADA VAZQUEZ</t>
  </si>
  <si>
    <t>AUGUSTA GRAN FRATERNIDAD UNIVERSAL AC</t>
  </si>
  <si>
    <t>ELEC.GPENCISO@YAHOO.COM</t>
  </si>
  <si>
    <t>KIMAKOOL</t>
  </si>
  <si>
    <t>KIMAKOOL AC</t>
  </si>
  <si>
    <t>NENETACH@HOTMAIL.COM</t>
  </si>
  <si>
    <t>VENCOMERCIO</t>
  </si>
  <si>
    <t>VENCOMERCIO AC</t>
  </si>
  <si>
    <t>LAZOS FILIAL AGUASCALIENTES</t>
  </si>
  <si>
    <t>Gabriela Mistral</t>
  </si>
  <si>
    <t>AlbVniz</t>
  </si>
  <si>
    <t>Heroico Colegio Militar</t>
  </si>
  <si>
    <t>ATENCIONAPADRINOS@LAZOS.ORG.MX</t>
  </si>
  <si>
    <t>WWW.LAZOS.ORG.MX</t>
  </si>
  <si>
    <t>FUNDACION BOLO</t>
  </si>
  <si>
    <t>FUNDACION BOLO AC</t>
  </si>
  <si>
    <t>FUNDACIONBOLO@HOTMAIL.COM</t>
  </si>
  <si>
    <t>ACADEMIA DE LA PURISIMA</t>
  </si>
  <si>
    <t>PARROQUIA LA PURISIMA AR</t>
  </si>
  <si>
    <t>ASOCIACI2N MUJER CONTEMPORANEA</t>
  </si>
  <si>
    <t>ASOCIACI2N MUJER CONTEMPORANEA AC</t>
  </si>
  <si>
    <t>GENERAL OLVARO OBREGiN</t>
  </si>
  <si>
    <t>COMISION ESTATAL DE ARBITRAJE MEDICO PARA EL ESTADO DE AGUASCALIENTES</t>
  </si>
  <si>
    <t>WWW.AGUASCALIENTES.GOB.MX/COESAMED</t>
  </si>
  <si>
    <t>CONDOMINIO EL CHALET DOUGLAS</t>
  </si>
  <si>
    <t>CONDOMINIO EL CHALET DOUGLAS AC</t>
  </si>
  <si>
    <t>CONSEJO COORDINADOR DE OSC DE MEXICO</t>
  </si>
  <si>
    <t>CONSEJO COORDINADOR DE OSC DE MEXICO AC</t>
  </si>
  <si>
    <t>COSCAC.AGS@GMAIL.COM</t>
  </si>
  <si>
    <t>CASA DE GESTION SOCIAL MORENA</t>
  </si>
  <si>
    <t>DOCTOR JES S DLAZ DE LE N</t>
  </si>
  <si>
    <t>FUNDACION TEPOZCALI</t>
  </si>
  <si>
    <t>FUNDACION TEPOZCALI AC</t>
  </si>
  <si>
    <t>FUNDACION POR UN MUNDO DIGNO Y SUSTENTABLE</t>
  </si>
  <si>
    <t>FUNDACION POR UN MUNDO DIGNO Y SUSTENTABLE AC</t>
  </si>
  <si>
    <t>FUNDACIONMUNDI@YAHOO.COM</t>
  </si>
  <si>
    <t>ASOCIACION GEOFILOSOFICA DE ESTUDIOS ANTROPOLOGICOS Y CULTURALES</t>
  </si>
  <si>
    <t>ACPICAZO@GMAIL.COM.MX</t>
  </si>
  <si>
    <t>AGEAC.ORG</t>
  </si>
  <si>
    <t>FRENTE DE ASOCIACIONES Y CIUDADANOS EN BUSCA DE UN BIEN COMUN</t>
  </si>
  <si>
    <t>FRENTE DE AOCIAQCIONES Y CIUDADANOS EN BUSCA DE UN BIEN COMUN AC</t>
  </si>
  <si>
    <t>REFUGIO.ALFARO@GMAIL.COM</t>
  </si>
  <si>
    <t>UNION DE INVIDENTES DE AGUASCALIENTES</t>
  </si>
  <si>
    <t>UNION DE INVIDENTES DE AGUASCALIENTES AC</t>
  </si>
  <si>
    <t>JOSEFA ORTIZ DE DOMnNGUEZ</t>
  </si>
  <si>
    <t>UNION.D.INVIDENTES@GMAIL.COM</t>
  </si>
  <si>
    <t>COLECTIVO DE HOMBRES LIBRES DE VIOLENCIA</t>
  </si>
  <si>
    <t>COLECTIVO DE HOMBRES LIBRES DE VIOLENCIA AC</t>
  </si>
  <si>
    <t>INQUILINOS Y COLONOS ASOCIADOS</t>
  </si>
  <si>
    <t>INQUILINOS Y COLONOS ASOCIADOS AC</t>
  </si>
  <si>
    <t>ASILO ROSA MARIA</t>
  </si>
  <si>
    <t>ASILO DE NUESTRA SE0ORA DE GUADALUPE</t>
  </si>
  <si>
    <t>INSTITUTO CU EDUCACION CU AGUASCALIENTES</t>
  </si>
  <si>
    <t>RAFAEL GARCAA MACNAS</t>
  </si>
  <si>
    <t>ASILO DE ANCIANITOS</t>
  </si>
  <si>
    <t>CASA DE DESCANSO Y ASILO DE ANCIANAS AC</t>
  </si>
  <si>
    <t>ALBERGUE VOLUNTARIAS VICENTINAS DE AGUASCALIENTES</t>
  </si>
  <si>
    <t>VOLUNTARIAS VICENTINAS DE AGUASCALIENTES AC</t>
  </si>
  <si>
    <t>FUNDACION TIA CHITA CASA PICOLA</t>
  </si>
  <si>
    <t>ANAHUAC</t>
  </si>
  <si>
    <t>CENTROS DE INTEGRACION JUVENIL</t>
  </si>
  <si>
    <t>CENTROS DE INTEGRACION JUVENIL AC</t>
  </si>
  <si>
    <t>CIJAGUASCALIENTES@CIJ.GOB.MX</t>
  </si>
  <si>
    <t>WWW.CIJ.GOB.MX</t>
  </si>
  <si>
    <t>ASOCIACION DE COLABORACION MUTUA</t>
  </si>
  <si>
    <t>ASOCIACION DE COLABORACION MUTU AC</t>
  </si>
  <si>
    <t>ACOLABORACION@GMAIL.COM</t>
  </si>
  <si>
    <t>CARITAS DE AGUASCALIENTES</t>
  </si>
  <si>
    <t>I MUEDCIPIO DE AGUASCALIENTES</t>
  </si>
  <si>
    <t>CECATI NO 172</t>
  </si>
  <si>
    <t>SEP</t>
  </si>
  <si>
    <t>LICENCIADO ADOLFO LoPEZ MATEOS PONIENTE</t>
  </si>
  <si>
    <t>JOSN F. ELIZONDO</t>
  </si>
  <si>
    <t>IGNACIO T. CHNVEZ</t>
  </si>
  <si>
    <t>ESTRELLA2LOPEZ@HOTMAIL.COM</t>
  </si>
  <si>
    <t>CENTRO INFANTIL LUDOTECA ESTRELLITAS</t>
  </si>
  <si>
    <t>CLAUDIACORTES4@HOTMAIL.COM</t>
  </si>
  <si>
    <t>CENDI LA JULIANA</t>
  </si>
  <si>
    <t>CENDI LA JULIANA SC</t>
  </si>
  <si>
    <t>MANUEL DE AUSTRI</t>
  </si>
  <si>
    <t>MIGUEL DE CERVANTES SAAVEDRA NORTE</t>
  </si>
  <si>
    <t>julianaleon103@hotmail.com</t>
  </si>
  <si>
    <t>CENTRO COMUNITARIO INEPJA</t>
  </si>
  <si>
    <t>INEPJA</t>
  </si>
  <si>
    <t>ESTANCIA DE DIA CASA DEL ABUELO</t>
  </si>
  <si>
    <t>DIF GOBIERNO ESTATAL</t>
  </si>
  <si>
    <t>PROCURADURIA DE LA DEFENSA DEL MENOR</t>
  </si>
  <si>
    <t>CASA DEL PENSIONADO ISPEA</t>
  </si>
  <si>
    <t>CENTRO DE INTEGRACION DEL ADULTO MAYOR GALENA</t>
  </si>
  <si>
    <t>DESARROLLO INTEGRAL DE LA FAMILIA MUNICIPAL</t>
  </si>
  <si>
    <t>CASA CLUB DE LA TERCERA EDAD NUMERO 5</t>
  </si>
  <si>
    <t>H AYUNTAMIENTO CONSTITUCIONAL DEL MUNICIPIO DE AGUASCALIENTES</t>
  </si>
  <si>
    <t>PRIVADA DEFENSORES DE LA REPUBLICA</t>
  </si>
  <si>
    <t>CENTRO DE DESARROLLO INFANTIL SAN MARCOS</t>
  </si>
  <si>
    <t>PROFESOR ALEJANDRO TOPETE DEL VALLE</t>
  </si>
  <si>
    <t>ESTANCIA INTEGRADORA LAS PALOMAS</t>
  </si>
  <si>
    <t>SEDESOL GOBIERNO FEDERAL</t>
  </si>
  <si>
    <t>INSTITUTOCARRUSEL@YAHOO.COM.MX</t>
  </si>
  <si>
    <t>ESTANCIA PRINCIPITOS</t>
  </si>
  <si>
    <t>ESTANCIA INFANTIL PRINCIPITOS</t>
  </si>
  <si>
    <t>LETY-PRINCIPITOS@HOTMAIL.COM</t>
  </si>
  <si>
    <t>GRUPO DESPERTAR NEUROTICOS ANONIMOS</t>
  </si>
  <si>
    <t>ASOCIACION CIVIL NEUROTICOS ANONIMOS</t>
  </si>
  <si>
    <t>GRUPO HUMILDAD</t>
  </si>
  <si>
    <t>NEUROTICOS ANDNIMOS AC</t>
  </si>
  <si>
    <t>COMUNIDAD TERAPEUTICA</t>
  </si>
  <si>
    <t>NEUROTICO ANONIMOS GRUPO LIBERTAD</t>
  </si>
  <si>
    <t>NEUROTICOS ANONIMOS SC</t>
  </si>
  <si>
    <t>COMITE ESTATAL DE NEUROTICOS ANONIMOS</t>
  </si>
  <si>
    <t>NACOMITEESTATALAGS@HOTMAIL.COM</t>
  </si>
  <si>
    <t>WWW.NEUROTICOS-ANONIMOS.ORG.MX</t>
  </si>
  <si>
    <t>FUNERARIA LA GLORIA</t>
  </si>
  <si>
    <t>WWW.ISSSSPEA.GOB.MX/EMPRESAS/FUNERARIAS</t>
  </si>
  <si>
    <t>FUNERALES LA PAZ</t>
  </si>
  <si>
    <t>EXHIBICION Y BODEGA DE ATAUDES</t>
  </si>
  <si>
    <t>FUNERARIA CARRILLO</t>
  </si>
  <si>
    <t>FUNERARIA CARRILLO S DE RL</t>
  </si>
  <si>
    <t>Corregidora</t>
  </si>
  <si>
    <t>Mayo de 1812</t>
  </si>
  <si>
    <t>Caudillos</t>
  </si>
  <si>
    <t>FUNERARIA_CARRILLO@HOTAIL.COM</t>
  </si>
  <si>
    <t>WWW.FUNERARIACARRILLO.COM.MX</t>
  </si>
  <si>
    <t>SERVICIOS FUNERARIOS MARMOT</t>
  </si>
  <si>
    <t>SERVICIOS FUNERARIOS MARMOT SA DE CV</t>
  </si>
  <si>
    <t>GERENCIA@FUNERALESARRIAGA.MX</t>
  </si>
  <si>
    <t>FUNERALES ARRIAGA</t>
  </si>
  <si>
    <t>SERVICIO FUNERARIOS MARMOT SA DE CV</t>
  </si>
  <si>
    <t>FUNERALRIA.ARREAGA@GMAIL.COM</t>
  </si>
  <si>
    <t>IGNACION T CAVEZ</t>
  </si>
  <si>
    <t>CP.JOSEOROZCO@OULLT.COM</t>
  </si>
  <si>
    <t>WWW.FUNERARIASARRIAGA.MX</t>
  </si>
  <si>
    <t>FUNERARIA LATINOAMERICANA</t>
  </si>
  <si>
    <t>SERVIFUN DEL CENTRO SA DE CV</t>
  </si>
  <si>
    <t>JOSL F. ELIZONDO</t>
  </si>
  <si>
    <t>ESTACIONAMIENTO CAPILLAS ARRIAGA</t>
  </si>
  <si>
    <t>CP.JOSEOROZCOP@OULOT.COM</t>
  </si>
  <si>
    <t>LATINNOAMERICANA RECINTO FUNERARIA</t>
  </si>
  <si>
    <t>IGNACIO T. CHOVEZ</t>
  </si>
  <si>
    <t>LATINOAMERICAN.GERENNCIA@GMAIL.COM</t>
  </si>
  <si>
    <t>SERVICIO DEL CENTRO SA DE CV</t>
  </si>
  <si>
    <t>CAMARA NACIONAL DE LA INDUSTRIA DE LA INFORMACION DELEGACION AGUASCALIENTES</t>
  </si>
  <si>
    <t>CAMARA NACIONAL DE LA INDUSTRIA DE LA TRANSFORMACION</t>
  </si>
  <si>
    <t>CONSEJO DE PRODUCTORES DE DURAZNO DE AGUASCALIENTES</t>
  </si>
  <si>
    <t>CONSEJO DE PRODUCTORES DE DURAZNO DE AGUASCALIENTES AC</t>
  </si>
  <si>
    <t>DURAZNOAGUASCALIENTES@GMAIL.COM</t>
  </si>
  <si>
    <t>COLEGIO DE ARQUITECTOS DEL ESTADO DE AGUASCALIENTES</t>
  </si>
  <si>
    <t>COLEGIO DE ARQUITECTOS DEL ESTADO DE AGUASCALIENTES AC</t>
  </si>
  <si>
    <t>COLARQAGSAC@GMAIL.COM</t>
  </si>
  <si>
    <t>WWW.COLEGIOARQAGS.COM</t>
  </si>
  <si>
    <t>CENTRO DE ESTUDIOS DIFERENCIADOS</t>
  </si>
  <si>
    <t>FRENTE ESTATAL DE ORGANIZACIONES INDEPENDIENTES</t>
  </si>
  <si>
    <t>FRENTE ESTATAL DE ORGANIZACIONES INDEPENDIENTES AC</t>
  </si>
  <si>
    <t>ENRIQUE FERNADEZ LEDESMA</t>
  </si>
  <si>
    <t>F.E.O.I._2008@HOTMAIL.COM</t>
  </si>
  <si>
    <t>CENTRO SOCIAL CULTURAL DE AGUASCALIENTES</t>
  </si>
  <si>
    <t>CENTRO SOCIAL CULTURAL DE AGS AC</t>
  </si>
  <si>
    <t>CENTRO SOCIAL NAVARRETE</t>
  </si>
  <si>
    <t>CENTRO SOCIAL NAVARRETE AC</t>
  </si>
  <si>
    <t>CENTROSOCIALNAVARRETE@GMAIL.COM</t>
  </si>
  <si>
    <t>INSTITUTO MEXICANO DE ESTUDIOS Y POSGRADOS IMEPP</t>
  </si>
  <si>
    <t>IMEPP AC</t>
  </si>
  <si>
    <t>KAREN.IMEPP@HOTMAIL.COM</t>
  </si>
  <si>
    <t>ORIENTADORES DE LA SALUD NATURISTA DR ARNULFO VELASCO RODRIGUEZ</t>
  </si>
  <si>
    <t>ORIENTADORES DE LA SALUD NATURISTA DR ARNULFO VELASCO RODRIGUEZ SC</t>
  </si>
  <si>
    <t>CENTRAL MEXICANA DE SERVICIO GENERALES DE AA OFICINA INTERGRUPAL DE AA EN AGUASCALIENTES</t>
  </si>
  <si>
    <t>CENTRAL MEXICANA DE SERVICIOS GENERALES DE AA OFICINA INTERGRUPAL DE AA EN AGUASCALIENTES</t>
  </si>
  <si>
    <t>OBSERVATORIO DIOCESANO DE AGUASCALIENTES</t>
  </si>
  <si>
    <t>SECRETARIAODA@OBSEAGS.ORG.MX</t>
  </si>
  <si>
    <t>TLANEMANI</t>
  </si>
  <si>
    <t>TLANEMANI AC</t>
  </si>
  <si>
    <t>TLANEMANI.AC@GMAIL.COM</t>
  </si>
  <si>
    <t>FUNDOWN</t>
  </si>
  <si>
    <t>FUNDOWN AC</t>
  </si>
  <si>
    <t>ASOCIACION DE LUCHA CONTRA EL CANCER DE AGUASCALIENTES</t>
  </si>
  <si>
    <t>ASOCIACION DE LUCHA CONTRA EL CANCER DE AGUASCALIENTES AC</t>
  </si>
  <si>
    <t>ALCCA5@YAHOO.COM.MX</t>
  </si>
  <si>
    <t>ACIUAA</t>
  </si>
  <si>
    <t>ASOCIACION DE CATEDRATICOS E INVESTIGADORES</t>
  </si>
  <si>
    <t>LUDIVINA GARCRA</t>
  </si>
  <si>
    <t>GRUPO 24 HORAS SAN MARCOS ALCOHOLICOS AMONIMOS</t>
  </si>
  <si>
    <t>GRUPO 24 HORAS SAN MARCOS ALCOHOLICOS AMONIMOS AC</t>
  </si>
  <si>
    <t>DIRECCION DE PANTEONES LA CRUZ Y LOS ANGELES</t>
  </si>
  <si>
    <t>Administracion de cementerios pertenecientes al sector psblico</t>
  </si>
  <si>
    <t>ASOCIACION DE MIGRANTES ORGANIZADOS</t>
  </si>
  <si>
    <t>EDUARDOPEOC@HOTMAIL.COM</t>
  </si>
  <si>
    <t>CENTRO CULTURAL ANGEL</t>
  </si>
  <si>
    <t>MUJERES POR LA LIBERTAD AC</t>
  </si>
  <si>
    <t>UPPDAC</t>
  </si>
  <si>
    <t>UPPDAC SC</t>
  </si>
  <si>
    <t>CENTRO DE DESARROLLO INFANTIL JUGANDO</t>
  </si>
  <si>
    <t>CENTRO DE DESARROLO INFANTIL JUGANDO SC</t>
  </si>
  <si>
    <t>PRIVADA AGUASCALIENTES</t>
  </si>
  <si>
    <t>CENDI-JUGANDOSC@YAJOO.COM.MX</t>
  </si>
  <si>
    <t>DEARROLLADORA EDUCATIVA</t>
  </si>
  <si>
    <t>DESARROLLADORA EDUCATIVA AC</t>
  </si>
  <si>
    <t>CENDI_JUGANDOSC@YAHOO.COM.MX</t>
  </si>
  <si>
    <t>AGRUPACION DE CONCESIONARIOS DE AGUASCALIENTES</t>
  </si>
  <si>
    <t>AGRUPACION DE CONCESIONARIOS DE AGUASCALIENTES SC</t>
  </si>
  <si>
    <t>COMEDOR INFANTIL GOTAS DE AMOR</t>
  </si>
  <si>
    <t>GOTAS DE AMOR AC</t>
  </si>
  <si>
    <t>ESTANCIA INFANTIL</t>
  </si>
  <si>
    <t>JOSE LUIS ESCOBAR CHAVEZ</t>
  </si>
  <si>
    <t>CENTRO DE BIENESTAR Y DESARROLLO SOCIAL J. GPE. PERALTA GlMEZ.</t>
  </si>
  <si>
    <t>GOBIERNO ESTATAL SEDESO</t>
  </si>
  <si>
    <t>CATEDRRTICOS</t>
  </si>
  <si>
    <t>ESTANCIA INFANTIL BURBUJAS SEDESOL</t>
  </si>
  <si>
    <t>CASA DE ATENCI7N INFANTIL VISTAS DE ORIENTE CON AMOR</t>
  </si>
  <si>
    <t>MACHUPICCHU 105</t>
  </si>
  <si>
    <t>PROCERES DE LA ENSEoANZA</t>
  </si>
  <si>
    <t>MACHUPICHU</t>
  </si>
  <si>
    <t>MACHUPICCHU 103</t>
  </si>
  <si>
    <t>GRUPO MI MEJOR CAMINO ALCOHOLICOS ANONIMOS</t>
  </si>
  <si>
    <t>CENTRAL MEXICANA DE SERVICIOS GENERALES</t>
  </si>
  <si>
    <t>ALCOHOLICOS ANONIMOS DISTRITO XXI</t>
  </si>
  <si>
    <t>GRUPO MI ULTIMA ESPERANZA ALCOHOLICOS ANONIMOS</t>
  </si>
  <si>
    <t>UNION CAMPESINA DEMOCRATICA AC</t>
  </si>
  <si>
    <t>UNION DE CONCESIONARIOS TAXISTAS DE AGUASCALIENTES</t>
  </si>
  <si>
    <t>UNION DE CONCESIONARIOS TAXISTAS DE AGUASCALIENTES AC</t>
  </si>
  <si>
    <t>MORACHAVEZPANCH@HOTMAIL.COM</t>
  </si>
  <si>
    <t>AA</t>
  </si>
  <si>
    <t>CENTRAL MEXICANA ALCOHOLICOS ANONIMOS AC</t>
  </si>
  <si>
    <t>CENTRAL MEXICANA DE ALCOHOLICOS AANONIMOS AC</t>
  </si>
  <si>
    <t>SALVADOR RAMIREZ MARTIN DEL CAMPO</t>
  </si>
  <si>
    <t>ISABEL JIMANEZ D AZ</t>
  </si>
  <si>
    <t>FUNDACION EMANUEL</t>
  </si>
  <si>
    <t>FUNDACION EMANUEL IAP</t>
  </si>
  <si>
    <t>HACIENDA DE CHINAMECA</t>
  </si>
  <si>
    <t>HACIENDA DE TETLAPAYAC</t>
  </si>
  <si>
    <t>null</t>
  </si>
  <si>
    <t>FUNDACION.EMMANUEL@HOTMAIL.COM</t>
  </si>
  <si>
    <t>WWW.FUNDACION-EMMANUEL.COM</t>
  </si>
  <si>
    <t>C MUCUCIPIO DE AGUASCALIENTES</t>
  </si>
  <si>
    <t>ESTANCIA INFANTIL CAPULLO</t>
  </si>
  <si>
    <t>CULTURA TOLTECA</t>
  </si>
  <si>
    <t>CULTURA ZAPOTECA</t>
  </si>
  <si>
    <t>ESTANCIA INFANTIL LOS PATITOS</t>
  </si>
  <si>
    <t>CULTURA OTOMI 435</t>
  </si>
  <si>
    <t>CULTURA OTOMI 423</t>
  </si>
  <si>
    <t>ESTANCIA INFANTIL DE BIENESTAR INFANTILANDIA</t>
  </si>
  <si>
    <t>CORDINADOR ESTATAL DE ORGANIZACIONES SOCIALES</t>
  </si>
  <si>
    <t>CORDINADOR ESTATAL AC</t>
  </si>
  <si>
    <t>CULTURA OTOMI 432</t>
  </si>
  <si>
    <t>CULTURA GUAYCURAS</t>
  </si>
  <si>
    <t>CHIDRENS S CUP</t>
  </si>
  <si>
    <t>FUNDACION INTEGRAL DE LOS NI</t>
  </si>
  <si>
    <t>GRUPO DESPERTAR AGUASCALIENTES</t>
  </si>
  <si>
    <t>GRUPO AMOR Y SERVICIO SIGUIENDO UNA LUZ 4TO Y 5TO PASO</t>
  </si>
  <si>
    <t>GRUPO AMOR Y SERVICIO AC</t>
  </si>
  <si>
    <t>GRUPO 27 DE FEBRERO DE SERVICIOS GENERALES DE ALOHOLICOS ANONIMOS</t>
  </si>
  <si>
    <t>ESTANCIA INFANTIL DUENDES Y HADAS</t>
  </si>
  <si>
    <t>CERRO DE ALTAMIRA</t>
  </si>
  <si>
    <t>CERRO DEL PINAL</t>
  </si>
  <si>
    <t>CERRO DE LA ARDILLA</t>
  </si>
  <si>
    <t>CERRO DEL PINAR</t>
  </si>
  <si>
    <t>ELIZAYLEN@HOTMAIL.COM</t>
  </si>
  <si>
    <t>ESTANCIA INFANTIL MIS PRIMEROS PASOS</t>
  </si>
  <si>
    <t>SEDESOL</t>
  </si>
  <si>
    <t>AMBROSIO VERaSTEGUI GUERRERO</t>
  </si>
  <si>
    <t>MIS.PRIMEROSPASOS@HOTMAIL.COM</t>
  </si>
  <si>
    <t>GUARDERIA CHURI CHURIN FUN FLAYS</t>
  </si>
  <si>
    <t>ALCOHOLICOS ANONIMOS SOLO POR HOY</t>
  </si>
  <si>
    <t>OFICINA-INTEGRUPAL-AA-AGS@HOTMAIL.COM</t>
  </si>
  <si>
    <t>ESTANCIA INFANTIL SONRISAS TIERNAS</t>
  </si>
  <si>
    <t>CENTRO DE DESARROLLO COMUNITARIO RODOLFO LANDEROS CEDECO</t>
  </si>
  <si>
    <t>DIF GOBIERNO MUNICIPAL DE AGUASCALIENTES</t>
  </si>
  <si>
    <t>MARIA ANTONIETA ALVAREZ</t>
  </si>
  <si>
    <t>PAULA DE J. JIMENEZ DE YAaEZ</t>
  </si>
  <si>
    <t>MARLA ANTONIETA NLVAREZ</t>
  </si>
  <si>
    <t>COMEDOR ESCOLAR</t>
  </si>
  <si>
    <t>ASOCIACION DE PADRES DE FAMILIA</t>
  </si>
  <si>
    <t>VIDRIEROS</t>
  </si>
  <si>
    <t>GUARDERIA CEDESOL EL EDEN</t>
  </si>
  <si>
    <t>ESTANCIA INFANTIL SUE0OS Y CARAMELOS</t>
  </si>
  <si>
    <t>LAS ADJUNTAS</t>
  </si>
  <si>
    <t>CENTRO DE PSICOTERAPIA INFANTIL CIELO CLARO</t>
  </si>
  <si>
    <t>ASOCIACION DE FAMILIARES Y AMIGOS DE PACIENTES</t>
  </si>
  <si>
    <t>GRUPO ENCIENDE UNA LUZ AGUASCALIENTES CUARTO Y QUINTO PASO</t>
  </si>
  <si>
    <t>PAULA DE J. JIMENEZ DE YA EZ</t>
  </si>
  <si>
    <t>PAULA DE J. JIMGNEZ DE Y AEZ</t>
  </si>
  <si>
    <t>ASOCIACI2NN CIVIL MUJERES TURNER DE MsXICO</t>
  </si>
  <si>
    <t>ASOCIACI2NN CIVIL MUJERES TURNER DE MsXICO AC</t>
  </si>
  <si>
    <t>NINASMUJERESTURNER@GMAIL.COM</t>
  </si>
  <si>
    <t>OFICINA DE ENLACE</t>
  </si>
  <si>
    <t>CONVENCIEN DE 1914 ORIENTE</t>
  </si>
  <si>
    <t>ESTANCIA INFANTIL EL TESORO DE MAMA</t>
  </si>
  <si>
    <t>FUNDACION FASAP</t>
  </si>
  <si>
    <t>FUNDACION DE APOYOS SOCIALES A ADULTOS MAYORES PREVENCION RENAL Y SALUD</t>
  </si>
  <si>
    <t>FUNDACIONFASAP@GMAIL.COM</t>
  </si>
  <si>
    <t>CLUB DE LA TERCERA EDAD</t>
  </si>
  <si>
    <t>SALON COMUNITARIO DE RESIDENTES DEL INFONAVIT OJO DE AGUA</t>
  </si>
  <si>
    <t>ESTANCIA INFANTIL CAPULLITOS</t>
  </si>
  <si>
    <t>CAI ALMENDRITA</t>
  </si>
  <si>
    <t>CENDIALMENDRITA@HOTMAIL.COM</t>
  </si>
  <si>
    <t>ESTANCIA DE BIENESTAR Y DESARROLLO INFANTIL NUMERO 102</t>
  </si>
  <si>
    <t>GRACIELA.ALVAREZ@ISSSTE.GOB.MX</t>
  </si>
  <si>
    <t>WWW.GOB.MX.ISSSTE</t>
  </si>
  <si>
    <t>CENTRAL MEXICANA DE SERVICIOS MUNDIALES DE ALCOHOLICOS ANONIMOS</t>
  </si>
  <si>
    <t>CENTRAL MEXICANA DE SERVICIOS MUNDIALES DE ALCOHOLICOS ANONIMOS AC</t>
  </si>
  <si>
    <t>OLIVOS</t>
  </si>
  <si>
    <t>LIMON</t>
  </si>
  <si>
    <t>GRUPO PRIMER PASO</t>
  </si>
  <si>
    <t>GRUPO DESPERTAR</t>
  </si>
  <si>
    <t>GRUPO DESPERTAR AC</t>
  </si>
  <si>
    <t>COMUNICACIONES Y TRANSPORTES</t>
  </si>
  <si>
    <t>FEDERACI1N DE TRABAJADORES DEL ESTADO DE AGUASCALIENTES CTM</t>
  </si>
  <si>
    <t>FEDERACI1N DE TRABAJADORES DEL ESTADO DE AGUASCALIENTES CTM AC</t>
  </si>
  <si>
    <t>AGUSTIN LOERA Y CHAVEZ</t>
  </si>
  <si>
    <t>AGUSTNN LOERA Y CHAVEZ</t>
  </si>
  <si>
    <t>SMONTES8677@HOTMAIL.COM</t>
  </si>
  <si>
    <t>COLEGIO DE INGENIEROS MECANICOS Y ELECTRICISTAS DE</t>
  </si>
  <si>
    <t>COLEGIO DE INGENIEROS MECANICOS Y ELECTRICISTAS DE AC</t>
  </si>
  <si>
    <t>CIMEAGS@GMAIL.COM</t>
  </si>
  <si>
    <t>WWW.CIMEAGS.COM.MX</t>
  </si>
  <si>
    <t>ASOCIACION DE CONDOMINOS DE PLAZA KRISTAL</t>
  </si>
  <si>
    <t>ASOCIACION DE CONDOMINOS DE PLAZA KRISTAL AC</t>
  </si>
  <si>
    <t>PLAZAKRISTALAGS@HOTMAIL.COM</t>
  </si>
  <si>
    <t>ACCES</t>
  </si>
  <si>
    <t>ACCES AC</t>
  </si>
  <si>
    <t>SALON DE LA TERCERA EDAD CORAZeN DE MARIA</t>
  </si>
  <si>
    <t>SALON DE LA COMUNIDAD AC</t>
  </si>
  <si>
    <t>ASOCIACI2N DE RESIDENTES DE LA UNIDAD HABITACIONAL IV CENTENARIO.</t>
  </si>
  <si>
    <t>ASOCIACION DE RESIDENTES DE LA UNIDAD HABITACIONAL IV CENTENARIO</t>
  </si>
  <si>
    <t>CASA DE PAZ</t>
  </si>
  <si>
    <t>CASA DE PAZ AC</t>
  </si>
  <si>
    <t>CASADEPAZ_@HOTMAIL.COM</t>
  </si>
  <si>
    <t>VIFAC AGUASCALIENTES</t>
  </si>
  <si>
    <t>VIFAC AGUASCALIENTES AC</t>
  </si>
  <si>
    <t>CAMINO DEL MEZQUITE</t>
  </si>
  <si>
    <t>AGUASCALIENTES@VIFAC.ORG</t>
  </si>
  <si>
    <t>WWW.VIFAC.ORG</t>
  </si>
  <si>
    <t>ORFANATORIO CASIMIRA ARTEAGA HOGAR DE LA NI A ASOCIACION PROTECTORA DE LA INFANCIA DE AGUASCALIENTES</t>
  </si>
  <si>
    <t>ORFANATORIO CASIMIRA ARTEAGA HOGAR DE LA NI A ASOCIACION PROTECTORA DE LA INFANCIA DE AGUASCALIENTES AC</t>
  </si>
  <si>
    <t>MAGALLANES</t>
  </si>
  <si>
    <t>HOGAR-CASIMIRA@YAHOO.COM.MX</t>
  </si>
  <si>
    <t>ESTANCIACANACON0002@GMAIL.COM</t>
  </si>
  <si>
    <t>GUARDERIA MANY TIME</t>
  </si>
  <si>
    <t>CENTRO DE DESARROYO INFANTIL CENDI</t>
  </si>
  <si>
    <t>ESTANCIA INFANTIL PEQUES</t>
  </si>
  <si>
    <t>MARISOLGONZALEZVELASCO934@GMAIL.COM</t>
  </si>
  <si>
    <t>CASA DE ATENCION INFANTIL CLUB DE PEQUES</t>
  </si>
  <si>
    <t>ESTANCIA INFANT1L CRAYOL0N</t>
  </si>
  <si>
    <t>CARLOS MAREA DE BUSTAMANTE</t>
  </si>
  <si>
    <t>ESTANCIA INFANTIL KIDS</t>
  </si>
  <si>
    <t>ESTRELLA</t>
  </si>
  <si>
    <t>CONSTELACION</t>
  </si>
  <si>
    <t>ALBORADA</t>
  </si>
  <si>
    <t>CENTRO CRECER JESUS TERAN</t>
  </si>
  <si>
    <t>ANTONIO NAVA CASTILLO</t>
  </si>
  <si>
    <t>DIF-CASA DEL ADOLESCENTE</t>
  </si>
  <si>
    <t>CASA CLUB TERCERA EDAD ETERNA JUVENTUD</t>
  </si>
  <si>
    <t>GOBIERNO MUNICIPAL</t>
  </si>
  <si>
    <t>ESTANCIA DE BIENESTAR INFANTIL INSTITUTO DE SEGURIDAD Y SERVICIOS SOCIALES PARA LOS SERVIDORES PUBLICOS DEL ESTADO DE AGUASCALIENTES -</t>
  </si>
  <si>
    <t>ESTANCIA DE BIENESTAR INFANTIL I S S S P E A</t>
  </si>
  <si>
    <t>EBI@AGUASCALIENTES.GOB.MX</t>
  </si>
  <si>
    <t>WWW.ISSSSPEA.GOB.MX</t>
  </si>
  <si>
    <t>ESTANCIA INFANTIL PAPALOTE</t>
  </si>
  <si>
    <t>VIVERO DE SAN JOSE</t>
  </si>
  <si>
    <t>ESTANCIA INFANTIL MANITAS VERDES</t>
  </si>
  <si>
    <t>M_AGU@LIVE.COM.MX</t>
  </si>
  <si>
    <t>ESTANCIA INFANTIL JARDINES</t>
  </si>
  <si>
    <t>FABY_RAN24@HOTMAIL.COM</t>
  </si>
  <si>
    <t>NEUROTICOS ANONIMOS</t>
  </si>
  <si>
    <t>VIVERO DEL ALTIPLANO</t>
  </si>
  <si>
    <t>BVAGUASCALIENTES@HOTMAIL.COM</t>
  </si>
  <si>
    <t>NUEVA ILUCI0N</t>
  </si>
  <si>
    <t>ALCOH LICOS AN3NIMOS</t>
  </si>
  <si>
    <t>9-5</t>
  </si>
  <si>
    <t>CENTRO DE REHABILITACION SANACION DEL ALMA</t>
  </si>
  <si>
    <t>CENTRO DE REHABILITACION SANACION DEL ALMA AC</t>
  </si>
  <si>
    <t>UNIDAD DE SERVICIO DE RECUPERACISN GRUPO 8 DE AGOSTO</t>
  </si>
  <si>
    <t>JOSL MAR A LICEAGA</t>
  </si>
  <si>
    <t>GRUPOS DE FAMILIA AL ANON AC</t>
  </si>
  <si>
    <t>MAUSOLEOS LA PIEDAD</t>
  </si>
  <si>
    <t>MAUSOLEOS LA PIEDAD SA DE CV</t>
  </si>
  <si>
    <t>CAMARA NACIONAL DEL COMERCIO SERVICIOS Y TURISMO DE AGUASCALIENTES</t>
  </si>
  <si>
    <t>CAMARA NACIONAL DE COMERCIO SERVICIOS Y TURISMO DE AGUASCALIENTES</t>
  </si>
  <si>
    <t>DIRECCIONP@CANCACOAGUASCALIENTES.COM.MX</t>
  </si>
  <si>
    <t>WWW.CANACOAGUASCALIENTES.COM</t>
  </si>
  <si>
    <t>CENTRO DE VERIFICACION VEHICULAR 7</t>
  </si>
  <si>
    <t>MULTIVERIFICACIONES DEL CENTRO S DE RL DE CV</t>
  </si>
  <si>
    <t>VERIFICACION07@OUTLOOK.COM</t>
  </si>
  <si>
    <t>WWW.MULTIVERIFICAIONESDELCENTRO.COM</t>
  </si>
  <si>
    <t>OFICINA DE TALLER DE DESARROLLO HUMANO</t>
  </si>
  <si>
    <t>PAULINO MARTINEZ</t>
  </si>
  <si>
    <t>ROQUE GONZELEZ</t>
  </si>
  <si>
    <t>COLECTIVO SERGAY DE AGUASCALIENTES</t>
  </si>
  <si>
    <t>COLECTIVO SERGAY DE AGUASCALIENTES AC</t>
  </si>
  <si>
    <t>INFO@SERGAYAGS.COM</t>
  </si>
  <si>
    <t>NEUROTICOS ANONIMOS DESPERTAR ESPIRITUAL</t>
  </si>
  <si>
    <t>ESTANCIA INFANTILCHIQUITITOS SEDESOL</t>
  </si>
  <si>
    <t>CRREAD ZONA 1</t>
  </si>
  <si>
    <t>CENTRO DE RECUPERACION Y REHABILITACION PARA ENFERMOS DE ALCOHOLISMO Y DROGADICCION ZONA 1 AC</t>
  </si>
  <si>
    <t>CRREADAGSZONA1@HOTMAIL.ES</t>
  </si>
  <si>
    <t>CENTRO CRECER SOLIDARIDAD IV</t>
  </si>
  <si>
    <t>CARLOS MARLA DE BUSTAMANTE</t>
  </si>
  <si>
    <t>CARL GUSTAV JUNG CENTRAL MEXICANA DE SERVICIOS GENERALES DE ALCOHOLICOS ANONIMOS SC</t>
  </si>
  <si>
    <t>SALON DE EVENTOS DEL SINDICATO UNICO DE TRABAJADORES ELECTRICISTAS DE LA REPUBLICA MEXICANA SUTEM</t>
  </si>
  <si>
    <t>SINDICATO UNICO DE TRABAJADORES ELECTRICISTAS DE LA REPEBLICA MEXICANA</t>
  </si>
  <si>
    <t>EL ROTARIO AC</t>
  </si>
  <si>
    <t>B. AZUL DE LANDEROS</t>
  </si>
  <si>
    <t>LAZARO MALDONADO DEL RIO</t>
  </si>
  <si>
    <t>BERNARDINO CARREON A.</t>
  </si>
  <si>
    <t>PASO A PASO CON EL</t>
  </si>
  <si>
    <t>Centros del sector privado dedicados a la atencion y cuidado diurno de ancianos y discapacitados</t>
  </si>
  <si>
    <t>FRANZ LISZT</t>
  </si>
  <si>
    <t>JUAN SEBASTIAN BACH</t>
  </si>
  <si>
    <t>PASOAPASACONEL@HOTMAIL.COM</t>
  </si>
  <si>
    <t>CHILDRENS CUP</t>
  </si>
  <si>
    <t>D MUFRCIPIO DE AGUASCALIENTES</t>
  </si>
  <si>
    <t>CIRCUITO DE LA MOLIENDA</t>
  </si>
  <si>
    <t>CENTRO COMUNITARIO</t>
  </si>
  <si>
    <t>CIRCUITO DE LA RECOLECCION</t>
  </si>
  <si>
    <t>DESTILERIA</t>
  </si>
  <si>
    <t>CIRCUITO DE LA CAVA</t>
  </si>
  <si>
    <t>CIRCUITO DE LOS ALM</t>
  </si>
  <si>
    <t>ESTANCIA INFANTIL ALEGRIA</t>
  </si>
  <si>
    <t>CENTRO DE DESARROLLO INFANTIL TERNURA</t>
  </si>
  <si>
    <t>CENTRO DE DESARROLLO INFANTIL TERNURA SC</t>
  </si>
  <si>
    <t>MISION</t>
  </si>
  <si>
    <t>SALON DE ADULTOS MAYORES</t>
  </si>
  <si>
    <t>Asilos y otras residencias del sector publico para el cuidado de ancianos</t>
  </si>
  <si>
    <t>CENTRO CRECER CONSTITUCION</t>
  </si>
  <si>
    <t>WWW.AGUASCALIENTES.GOB.MX/SEDESO</t>
  </si>
  <si>
    <t>ESTANCIA INFANTIL MICKEY MOUSE</t>
  </si>
  <si>
    <t>SEDESOL FEDERAL</t>
  </si>
  <si>
    <t>EMPERADOR</t>
  </si>
  <si>
    <t>CENDI MINI PEQUES</t>
  </si>
  <si>
    <t>MINIPEQUES2018@HOTMAIL.COM</t>
  </si>
  <si>
    <t>ESTANCIA INFANTIL PARTICULAR HAPPY KIDS</t>
  </si>
  <si>
    <t>CATEQUISTAS</t>
  </si>
  <si>
    <t>HAPPYKITS_AGS@GMAIL.COM</t>
  </si>
  <si>
    <t>GRUPO GRAN FUTURO</t>
  </si>
  <si>
    <t>GRUPO GRAN FUTUURO AC</t>
  </si>
  <si>
    <t>SERVICIOSGENERALES@AAMEXICO.ORG.MX</t>
  </si>
  <si>
    <t>GRUPO DE AYUDA ALANON</t>
  </si>
  <si>
    <t>CENTRAL MEXICANA DE SERVICIOS GENERALES DE LOS GRUPOS DE FAMILIA ALANON AC</t>
  </si>
  <si>
    <t>CENTRO DE REHABILITACION DE ALCOHOLISMO Y DROGADICCION MI UNICO CAMINO</t>
  </si>
  <si>
    <t>CENTRO DE REHABILITACION DE ALCOHOLISMO Y DROGADICCION MI UNICO CAMINO AC</t>
  </si>
  <si>
    <t>MIUNICOCAMINOAA@HOTMAIL.COM</t>
  </si>
  <si>
    <t>GRUPO AL ANON VIDA Y MISION</t>
  </si>
  <si>
    <t>GRUPO AL ANON VIDA Y MISION AC</t>
  </si>
  <si>
    <t>CORONEL ROQUE GONZALEZ GARZA</t>
  </si>
  <si>
    <t>SINDICATO UNICO DE TRABAJADORES DE FIESTAS Y PALENQUES</t>
  </si>
  <si>
    <t>CONFEDERACION DE TRABAJADORES DE MEXICO</t>
  </si>
  <si>
    <t>GRITO DE LIBERTAD</t>
  </si>
  <si>
    <t>CAMPANA DE LA LIBERTAD</t>
  </si>
  <si>
    <t>LA ESPERANZA</t>
  </si>
  <si>
    <t>ADMINISTRACION DEL FRACCIONAMIENTO BOSQUES DEL PRADO ORIENTE</t>
  </si>
  <si>
    <t>ASOCIACION DE COLONOS DEL FRACCIONAMIENTO BOSQUES DEL PRADO ORIENTE AC</t>
  </si>
  <si>
    <t>PASEO DEL ROBLE</t>
  </si>
  <si>
    <t>PASEO DE LOS BOSQUES</t>
  </si>
  <si>
    <t>FRANCISCO DE PELANDA</t>
  </si>
  <si>
    <t>ASOCIACION_BDPO2014@AUTLOOK.COM</t>
  </si>
  <si>
    <t>ESTANCIA INFANTIL KAROL</t>
  </si>
  <si>
    <t>FERNAN CABALLERO</t>
  </si>
  <si>
    <t>AVENIDA DE LA CONVENCIpN ORIENTE</t>
  </si>
  <si>
    <t>ESTANCIA DE DIA DE ADULTOS MAYORES SEGUNDA ETAPA</t>
  </si>
  <si>
    <t>H AYUNTAMIENTO</t>
  </si>
  <si>
    <t>AREA A</t>
  </si>
  <si>
    <t>ESTANCIA INFANTIL RORROS</t>
  </si>
  <si>
    <t>CAMINO AL CoBANO</t>
  </si>
  <si>
    <t>ARACELI_BUTIC@HOTMAIL.COM</t>
  </si>
  <si>
    <t>ESTANCIA INFANTIL LA CASITA DE LOS PEQUES</t>
  </si>
  <si>
    <t>OLMO</t>
  </si>
  <si>
    <t>SUANPRMA@GMAIL.COM</t>
  </si>
  <si>
    <t>GRUPO DE ALCOHOLICOS ANONIMOS GUERREROS DEL SUR AGUASCALIENTES</t>
  </si>
  <si>
    <t>GRUPO DE ALCOHOLICOS ANONIMOS GRUPO ESTRELLA</t>
  </si>
  <si>
    <t>GRUPO CENTRO AGUASCALIENTES</t>
  </si>
  <si>
    <t>NUEVA ANDALUCIA COTO RECIDENCIAL ADMINISTRACION</t>
  </si>
  <si>
    <t>VIRGEN DE LOURDES</t>
  </si>
  <si>
    <t>VIRGEN DE FATIMA</t>
  </si>
  <si>
    <t>VIRGEN DE GUADALUPE</t>
  </si>
  <si>
    <t>VIRGEN DEL ROCIO</t>
  </si>
  <si>
    <t>FRANCISCO GONZALEZ LEON</t>
  </si>
  <si>
    <t>ESTACIA INFANTIN CARITA DE ANGEL</t>
  </si>
  <si>
    <t>CARITA DE ANGEL</t>
  </si>
  <si>
    <t>PRIMERA PRIVADA EMILIANO ZAPATA</t>
  </si>
  <si>
    <t>AZUCID2002@HOTMAIL.COM</t>
  </si>
  <si>
    <t>SINDICATO NACIONAL DE LA SECRETARIA DE BIENESTAR</t>
  </si>
  <si>
    <t>CURSOS DE SUPERACION Y DESARROLLO HUMANO DESCUBRIMIENTO VITAL</t>
  </si>
  <si>
    <t>DESCUBRIMIENTO VITAL SC</t>
  </si>
  <si>
    <t>DESCUBRIMIENTOVITAL@HOTMAIL.COM</t>
  </si>
  <si>
    <t>WWW.SERYO.COM.MX</t>
  </si>
  <si>
    <t>COMUNA</t>
  </si>
  <si>
    <t>JESUS DURON</t>
  </si>
  <si>
    <t>ESTANISLAO DIAZ SORIA</t>
  </si>
  <si>
    <t>FELIPE COSIO GUTIERREZ DE VELAZCO</t>
  </si>
  <si>
    <t>BERNARDINO OLVAREZ</t>
  </si>
  <si>
    <t>FUNDACION TRES LEGADOS</t>
  </si>
  <si>
    <t>LAS VEGAS</t>
  </si>
  <si>
    <t>CHICAGO</t>
  </si>
  <si>
    <t>GRUPOS DE FAMILIA ALANON UNA LUZ EN MI CAMINO</t>
  </si>
  <si>
    <t>GRUPOS DE FAMILIA ALANON AC</t>
  </si>
  <si>
    <t>ESTANCIA INFANTIL TRIANGULOS Y COLORES</t>
  </si>
  <si>
    <t>JUAN BAUTISTA DE CONDE</t>
  </si>
  <si>
    <t>ESTANCIA INFANTIL EL TREN DEL SABER</t>
  </si>
  <si>
    <t>CENTRO DE ATENCION A ACREDITADOS DEL INFONAVIT</t>
  </si>
  <si>
    <t>LUEVANO GOMEZ Y ASOCIADOS SC</t>
  </si>
  <si>
    <t>LUEVANOGOMEZ_AGS@HOTMAIL.COM</t>
  </si>
  <si>
    <t>ISAKII POLLOO</t>
  </si>
  <si>
    <t>CELESTINO LEPEZ SZNCHEZ</t>
  </si>
  <si>
    <t>ESTANCIA FROG S BABY</t>
  </si>
  <si>
    <t>JULIO VILLASEAOR NORMAN</t>
  </si>
  <si>
    <t>ESTANCIA INFANTIL MUNDO MAGICO</t>
  </si>
  <si>
    <t>REFUGIO CARDONA</t>
  </si>
  <si>
    <t>JOSL CONTRERAS ESPARZA</t>
  </si>
  <si>
    <t>UNIDAD DE ATENCION INTEGRAL DE LAS VIOLENCIAS DE GENERO Y FAMILIAR</t>
  </si>
  <si>
    <t>INSTITUTO MUNICIPAL DE LA MUJER</t>
  </si>
  <si>
    <t>GRUPO VOLVER A EMPEZAR CUARTO Y QUINTO PASO</t>
  </si>
  <si>
    <t>GRUPO HARRY TIBUT</t>
  </si>
  <si>
    <t>CENTRAL MEXICANA DE SERVICIOS GENERALES DE AA SC</t>
  </si>
  <si>
    <t>MANUEL BOSQUES CHAVEZ</t>
  </si>
  <si>
    <t>MANUEL BOSQUES CHRVEZ</t>
  </si>
  <si>
    <t>CENTRO DE MEDITACION Y REFLEXION</t>
  </si>
  <si>
    <t>ALCOHOLICOS ANONIMOS GRUPO LA MONTAhA</t>
  </si>
  <si>
    <t>CENTRAL MEXICANA DE SERVICIOS GENERALES DE ALCOHOLICOS ANONIMOS GRUPO LA MONTAdA AC</t>
  </si>
  <si>
    <t>MARLA DEL CARMEN MARTEN DEL CAMPO</t>
  </si>
  <si>
    <t>GRUPO NUEVA FAMILIA UNIDAD DE SERVICIO DE RECUPERACION ALCOHOLICOS ANONIMOS</t>
  </si>
  <si>
    <t>GRUPO NUEVA FAMILIA UNIDAD DE SERVICIO DE RECUPERACION ALCOHOLICOS ANONIMOS AC</t>
  </si>
  <si>
    <t>GRUPO NUEVA PROVIDENCIA</t>
  </si>
  <si>
    <t>CELESTINO LOPEZ SANCHEZ</t>
  </si>
  <si>
    <t>SALVADOR RANGEL LOPEZ</t>
  </si>
  <si>
    <t>CLUB CONQUISTADORES</t>
  </si>
  <si>
    <t>CLUB CONQUISTADORES AGUASCALIENTES AC</t>
  </si>
  <si>
    <t>JULIO VILLASEEOR NORMAN</t>
  </si>
  <si>
    <t>MIMISUA4@HOTMAIL.COM</t>
  </si>
  <si>
    <t>DELEGACION MUNICIPAL VILLAS</t>
  </si>
  <si>
    <t>COMEDOR SAN PANTALEON</t>
  </si>
  <si>
    <t>PALMIRA</t>
  </si>
  <si>
    <t>PALMACEAS</t>
  </si>
  <si>
    <t>ESTANCIA INFANTIL VANESSA</t>
  </si>
  <si>
    <t>PALMA DATILERA</t>
  </si>
  <si>
    <t>ESTANCIA INFANTIL SERAFIN</t>
  </si>
  <si>
    <t>SEGUNDA PROCEDES DE LA ENSEdANZA</t>
  </si>
  <si>
    <t>VILLA MARTHA</t>
  </si>
  <si>
    <t>AVERJEF_86@HOTMAIL.COM</t>
  </si>
  <si>
    <t>CENTRO CRECER MUJERES ILUSTRES</t>
  </si>
  <si>
    <t>SECRETARIA DE BIENESTAR Y DESARROLLO SOCIAL DEL GOBIERNO DEL ESTADO DE AGUASCALIENTES</t>
  </si>
  <si>
    <t>ANGELA PERALTA</t>
  </si>
  <si>
    <t>WWW.AGUASCALIENTES.GOB.MX/SEBIDESO</t>
  </si>
  <si>
    <t>ESTANCIA INFANTIL ARCOIRIS DISNEY</t>
  </si>
  <si>
    <t>ARQUITECTO ADAMO BOARI</t>
  </si>
  <si>
    <t>ARQUITECTO RICARDO LEGORRETA</t>
  </si>
  <si>
    <t>ARE_ARCOIRISDISNEY@OUTLOOK.COM</t>
  </si>
  <si>
    <t>ESCUELA DE INGLES QUICK LEARNING</t>
  </si>
  <si>
    <t>QUICK LEARNING</t>
  </si>
  <si>
    <t>FLOR DE NOCHEBUENA</t>
  </si>
  <si>
    <t>ESTANCIA INFANTIL AMIGUITOS</t>
  </si>
  <si>
    <t>CARMELILLA_145@HOTMAIL.COM</t>
  </si>
  <si>
    <t>ESTANCIA INFANTIL YAGO Y SUS AMIGOS</t>
  </si>
  <si>
    <t>ZILANIHC@GMAIL.COM</t>
  </si>
  <si>
    <t>ESTANCIA INFANTIL MI ANGELITO</t>
  </si>
  <si>
    <t>ESTANCIA INFANTIL PAQUITO</t>
  </si>
  <si>
    <t>LOMA DE MARFIL</t>
  </si>
  <si>
    <t>C. DE LA ALIANZA</t>
  </si>
  <si>
    <t>LOMA HUASTECA</t>
  </si>
  <si>
    <t>LOMA DEL ORIENTE</t>
  </si>
  <si>
    <t>ESTANCIA INFANTIL MAFALDA</t>
  </si>
  <si>
    <t>LOMA DIAMANTE</t>
  </si>
  <si>
    <t>LOMA DEL SUR</t>
  </si>
  <si>
    <t>ESTANCIA INFANTIL CAPRICHITOS</t>
  </si>
  <si>
    <t>MARLA DOLORES JIMcNEZ Y MURO</t>
  </si>
  <si>
    <t>ESTANCIA INFANTIL JUGETILANDIA</t>
  </si>
  <si>
    <t>AJEDRECISTAS 206</t>
  </si>
  <si>
    <t>CALLE DEL DEPORTE CIENCIA</t>
  </si>
  <si>
    <t>AJEDRECISTAS 212</t>
  </si>
  <si>
    <t>SILVIAZOJUGUETILANDIA@HOTMAIL.COM</t>
  </si>
  <si>
    <t>ESTANCIA INTEGRADORA PADRE TOXO</t>
  </si>
  <si>
    <t>ESTANCIA_INTEGRADORA@LIVE.COM</t>
  </si>
  <si>
    <t>JOVENES NUEVA LUZ AA</t>
  </si>
  <si>
    <t>PROYECTOS LABORATORIO Y CONSTRUCCION</t>
  </si>
  <si>
    <t>PROYECTO LABORATORIO Y CONSTRUCCION SA DE CV</t>
  </si>
  <si>
    <t>ANGELITOS DOWN</t>
  </si>
  <si>
    <t>L ES Y A</t>
  </si>
  <si>
    <t>VISTA DE LA MONTARA</t>
  </si>
  <si>
    <t>CASAS Y ALBUERGUES DE INTEGRACIpN FAMILIAR</t>
  </si>
  <si>
    <t>MESON DEL BUEN SAMARITANO AC</t>
  </si>
  <si>
    <t>MANUEL GOMEZ PEDROZA</t>
  </si>
  <si>
    <t>MESON DEL BUEN SAMARITANO</t>
  </si>
  <si>
    <t>BUENSAMARITANOAC@HOTMAIL.COM</t>
  </si>
  <si>
    <t>CASA HOGAR DULCE REFUGIO</t>
  </si>
  <si>
    <t>CASA HOGAR DULCE REFUGIO AC</t>
  </si>
  <si>
    <t>CENTRO DE CAPACITACION PARA OPERADORES DEL SPF</t>
  </si>
  <si>
    <t>INSTITUTO SU EDUCACION SU AGUASCALIENTES</t>
  </si>
  <si>
    <t>NI0OSAURIOS</t>
  </si>
  <si>
    <t>AJONJOLI</t>
  </si>
  <si>
    <t>CAI OJOCALIENTE 3 BAMBI ESTANCIA INFANTIL SEDESOL</t>
  </si>
  <si>
    <t>BAMBI.AGUAS@YAHOO.COM.MX</t>
  </si>
  <si>
    <t>ESTANCIA INFANTIL EL MUNDO DE CARAMELO</t>
  </si>
  <si>
    <t>LOS NEGRITOS</t>
  </si>
  <si>
    <t>CENTRO DE DESARROLLO INFANTIL CAPI</t>
  </si>
  <si>
    <t>CENTRO DE DESARROLLO INFANTIL CAPI SC</t>
  </si>
  <si>
    <t>AGUA POTABLE</t>
  </si>
  <si>
    <t>JENICAPI@HOTMAIL.COM</t>
  </si>
  <si>
    <t>CAMPAMENTO RECREATIVO ALFREDO V BONFIL</t>
  </si>
  <si>
    <t>SISTEMA NACIONAL PARA EL DESARROLLO INTEGRAL DE LA FAMILIA</t>
  </si>
  <si>
    <t>Ojocaliente</t>
  </si>
  <si>
    <t>Las Norias</t>
  </si>
  <si>
    <t>San Francisco de los Viveros</t>
  </si>
  <si>
    <t>WWW.DIF.CDMX.GOB.MX</t>
  </si>
  <si>
    <t>ESTANCIA DE BIENESTAR Y DESARROLLO INFANTIL 92</t>
  </si>
  <si>
    <t>MARTHAROSAPALOMINOTOPETE@ISSSTE.GOB.MX</t>
  </si>
  <si>
    <t>WWW.ISSSTE.GOB.MX</t>
  </si>
  <si>
    <t>GRUPO NUEVA ILUSI0N 4 Y 5 PASO</t>
  </si>
  <si>
    <t>GRUPO MAYORIA DE EDAD</t>
  </si>
  <si>
    <t>CENTRAL MEXICANA DE SERVICIOS GENERALES DE ALCOHOLICOS ANONIMOS SC</t>
  </si>
  <si>
    <t>CENTRAL MEXICANA DEALCOHOLICOS ANONIMOS DE SERVICIOS GENERALES</t>
  </si>
  <si>
    <t>CENTRAL MEXICANA DE ALCOHOLICOS ANONIMOS DE SERVICIOS GENERALES AC</t>
  </si>
  <si>
    <t>EL HUANUSCO</t>
  </si>
  <si>
    <t>GRUPO UNIDOS OR UNA LIBERTAD 4Y 5 PASO</t>
  </si>
  <si>
    <t>FUNERALES AGUASCALIENTES</t>
  </si>
  <si>
    <t>FUNERALES AGUASCALIENTES SA DE CV</t>
  </si>
  <si>
    <t>FUNERARIA JARDINES DE ORIENTE</t>
  </si>
  <si>
    <t>FUNERARIA JARDINES DE ORIENTE SA DE CV</t>
  </si>
  <si>
    <t>SERVICIOS FUNERARIOS DEL ANGEL</t>
  </si>
  <si>
    <t>AGRUPACION UNIDA DE TAXISTAS Y OPERADORES DE AGUASCALIENTES</t>
  </si>
  <si>
    <t>AGRUPACION UNIDA DE TAXISTAS Y OPERADORES DE AGUACALIENTES AC</t>
  </si>
  <si>
    <t>CUAUHTXMOC</t>
  </si>
  <si>
    <t>CENTRAL CAMPESINA INDEPENDIENTE</t>
  </si>
  <si>
    <t>CENTRAL CAMPESINA INDEPENDIENTE AC</t>
  </si>
  <si>
    <t>CCIAGS@HOTMAIL.COM</t>
  </si>
  <si>
    <t>LIGA DE COMUNIDADES AGRARIA Y SINDICATOS DE AGUASCALIENTES</t>
  </si>
  <si>
    <t>FSTSE</t>
  </si>
  <si>
    <t>FEDERACI1N DE SINDICATOS DE TRABAJADORES AL SERVICIO DEL ESTADO</t>
  </si>
  <si>
    <t>WWW.GUIAFSTSE.COM</t>
  </si>
  <si>
    <t>SINDICATO NACIONAL DE TRABAJADORES DE LA EDUCACION SECCION 1</t>
  </si>
  <si>
    <t>SINDICATO NACIONAL DE TRABAJADORES DE LA EDUCACION</t>
  </si>
  <si>
    <t>WWW.SNTE.ORG.MX</t>
  </si>
  <si>
    <t>SAL0N DE USOS MULTIPLES OJOCALIENTE 3</t>
  </si>
  <si>
    <t>GOBIERNO DEL ESTADO DE AGUASCALIENTESGOBIERNO FEDERAL</t>
  </si>
  <si>
    <t>INTERNATIONAL TRADITIONAL KARATE DO GOJU RYU YUISHINKAN MEXICO</t>
  </si>
  <si>
    <t>ASOCIACIIN CIVIL DE ARTES DEPORTIVAS SC</t>
  </si>
  <si>
    <t>CASA DEL MAESTRO JUBILADO</t>
  </si>
  <si>
    <t>MAESTROS JUBILADOS Y PENSIONADOS DE AGUASCALIENTES AC</t>
  </si>
  <si>
    <t>OPERADORA DE ASOCIACIONES DE CONDOMINOS</t>
  </si>
  <si>
    <t>OPERADORA DE ASOCIACIONES DE CONDOMINOS AC</t>
  </si>
  <si>
    <t>ESTANCIA INFANTIL CRECIDENDO JUNTOS</t>
  </si>
  <si>
    <t>AA GRUPO LA SOLEDAD</t>
  </si>
  <si>
    <t>CENTRAL MEXICANA DE SERVICIOS GENERALES AA AC</t>
  </si>
  <si>
    <t>RESIDENCIA LOS ANGELES</t>
  </si>
  <si>
    <t>RESIDENCIASLOSANGELES.COM</t>
  </si>
  <si>
    <t>CENTRO DE DESARROLLO INFANTIL PEQUEaOS TRAVIESOS SC</t>
  </si>
  <si>
    <t>CERRADA DE LOS LAURELES PONIENTE</t>
  </si>
  <si>
    <t>PASEO DEL PORVENIR</t>
  </si>
  <si>
    <t>NUEVA DE ARABIA</t>
  </si>
  <si>
    <t>CERRADA DEL CIRCUITO ORIENTE</t>
  </si>
  <si>
    <t>CENDIPEQUETRAVIESOS@HOTMAIL.COM</t>
  </si>
  <si>
    <t>CASA DE ATENCION INFANTIL LOMA BONITA</t>
  </si>
  <si>
    <t>ARTICULO NUMERO 123</t>
  </si>
  <si>
    <t>ARTLCULO NNMERO 4</t>
  </si>
  <si>
    <t>ALCHOLICOS ANONIMOS SA</t>
  </si>
  <si>
    <t>ASOCIACION CONDOMINIOS BALJASH</t>
  </si>
  <si>
    <t>ASOCIACION CONDOMINIOS BALJASH AC</t>
  </si>
  <si>
    <t>LAGO BALJASH</t>
  </si>
  <si>
    <t>COTOLAGOBALJASH@GMAIL.COM</t>
  </si>
  <si>
    <t>ASOCIACION DE CONDOMINIOS DE LAGO GATUN</t>
  </si>
  <si>
    <t>ASOCIACION DE CONDOMINIOS DE LAGO GATUN AC</t>
  </si>
  <si>
    <t>LAGO CATUN</t>
  </si>
  <si>
    <t>ADMINISTRACION COTO ONEGA</t>
  </si>
  <si>
    <t>ASOCIACION DE CONDOMINIOS CALLE 1917 NUMERO 98 AC</t>
  </si>
  <si>
    <t>203 AL 223</t>
  </si>
  <si>
    <t>LAGO ONEGA</t>
  </si>
  <si>
    <t>27 AL 36</t>
  </si>
  <si>
    <t>ONEGA.ADMON@HOTMAIL.COM</t>
  </si>
  <si>
    <t>ADMINISTRACION LAGO GATUN</t>
  </si>
  <si>
    <t>ASOCIACION DE CONDOMINOS DEL LAGO GATUN AC</t>
  </si>
  <si>
    <t>LAGO_GATUN@HOTMAIL.COM</t>
  </si>
  <si>
    <t>RESIDENCIAL CANTERAS SAN AGUSTeN</t>
  </si>
  <si>
    <t>PASEO DE SAN AGUSTIN</t>
  </si>
  <si>
    <t>GLORIETA</t>
  </si>
  <si>
    <t>ADMINISTRACION LAGO CALAFQUEN</t>
  </si>
  <si>
    <t>CONDOMINIO LAGO CALAFQUEN AC</t>
  </si>
  <si>
    <t>LAGO CALAFQUEN</t>
  </si>
  <si>
    <t>LALOPARADA@HOTMAIL.COM</t>
  </si>
  <si>
    <t>ADMINISTRACION DE CONDOMINIOS</t>
  </si>
  <si>
    <t>CONDOMINIO RESIDENCIAL JARDINES DEL LAGO AC</t>
  </si>
  <si>
    <t>PASEO DEL LAGO</t>
  </si>
  <si>
    <t>LAGOJARDIN7@HOTMAIL.COM</t>
  </si>
  <si>
    <t>ASOCIACION DE CONDOMINIOS DE PORTACANTERAS</t>
  </si>
  <si>
    <t>ASOCIACION DE CONDOMINOS DE PORTA CANTERAS AC</t>
  </si>
  <si>
    <t>GLORIETA PORTA CANTERAS</t>
  </si>
  <si>
    <t>PORTA CANTERAS</t>
  </si>
  <si>
    <t>PORTACANTERAS2011@GMAIL.COM</t>
  </si>
  <si>
    <t>ABUELITOS FELICES</t>
  </si>
  <si>
    <t>ABUELITOS FELICES S DE SS</t>
  </si>
  <si>
    <t>ESTANCIA</t>
  </si>
  <si>
    <t>SIERRA FRIA</t>
  </si>
  <si>
    <t>SAN JULIRN</t>
  </si>
  <si>
    <t>ASILO JOSE GUADALUPE ALCALA</t>
  </si>
  <si>
    <t>ROSARIO</t>
  </si>
  <si>
    <t>JOSEGUADALUPE.ALCALA@YAHOO.COM</t>
  </si>
  <si>
    <t>FUNDACION AHORA</t>
  </si>
  <si>
    <t>CANALANT@AAHORA.ORG</t>
  </si>
  <si>
    <t>WWW.AAHORA.ORG</t>
  </si>
  <si>
    <t>San Juan de los Lagos</t>
  </si>
  <si>
    <t>Primera Cerrada San Juliin</t>
  </si>
  <si>
    <t>San Miguel el Alto</t>
  </si>
  <si>
    <t>DIDI LUDOTECA</t>
  </si>
  <si>
    <t>SAN MIGUEL EL ALTO 122</t>
  </si>
  <si>
    <t>SAN MIGUEL EL ALTO 132</t>
  </si>
  <si>
    <t>DIDILUDOTECAYSP@GMAIL.COM</t>
  </si>
  <si>
    <t>CENTRO DE ESTIMULACION TEMPRANA BABY CLUB</t>
  </si>
  <si>
    <t>COMUNIDAD EDUCATIVA YACANA</t>
  </si>
  <si>
    <t>CENTRO PEDAGOGICO YACANA SC</t>
  </si>
  <si>
    <t>ADMINISTRACION@YACANA.EDU.MX</t>
  </si>
  <si>
    <t>WWW.YACANA.EDU.MX</t>
  </si>
  <si>
    <t>MAGIC PLACE</t>
  </si>
  <si>
    <t>CERRO DEL LAUREL</t>
  </si>
  <si>
    <t>MAGICPLACE_KIDS@HOTMAIL.COM</t>
  </si>
  <si>
    <t>ESTANCIA INFANTIL CARRUSEL</t>
  </si>
  <si>
    <t>ESTANCIA INFANTIL PARVULITOS</t>
  </si>
  <si>
    <t>TROJES DE MATANCILLAS</t>
  </si>
  <si>
    <t>TROJES DE SAN CRISTOBAL</t>
  </si>
  <si>
    <t>LITTLE GYM ESTIMULACION TEMPRANA</t>
  </si>
  <si>
    <t>MONTENEGRO</t>
  </si>
  <si>
    <t>AGRICULTORES</t>
  </si>
  <si>
    <t>LITTLEGYMMI@LIVE.COM.MX</t>
  </si>
  <si>
    <t>SALON DE USOS MULTIPLES FATIMA</t>
  </si>
  <si>
    <t>SECRETAR A DE DESARROLLO SOCIAL</t>
  </si>
  <si>
    <t>MRE2707@GMAIL.COM</t>
  </si>
  <si>
    <t>CEDECO POCITOS</t>
  </si>
  <si>
    <t>WWW.SEDESO.GOM.MX</t>
  </si>
  <si>
    <t>DIF CEDECO</t>
  </si>
  <si>
    <t>GOBIERNO MUNICIPAL DE AGUASCALIENTE</t>
  </si>
  <si>
    <t>CENTRO DE DESARROLLO EDUCATIVO POCITOS</t>
  </si>
  <si>
    <t>EUGENIO GARZA  SADA</t>
  </si>
  <si>
    <t>PASEO DE LA ARBOLEDA</t>
  </si>
  <si>
    <t>CDE_POCITOS@HOTMAIL.COM</t>
  </si>
  <si>
    <t>DESCUBRIENDO A TIKI</t>
  </si>
  <si>
    <t>MONTES APALACHES</t>
  </si>
  <si>
    <t>CENTRO DE DESARROLLO INFANTIL KYNGO</t>
  </si>
  <si>
    <t>JUAN RAMEREZ</t>
  </si>
  <si>
    <t>ALCOH6LICOS AN9NIMOS</t>
  </si>
  <si>
    <t>CENTRAL MEXICANA DE ALCOHOLICOS ANONIMOS AC</t>
  </si>
  <si>
    <t>PRIMERA JES</t>
  </si>
  <si>
    <t>GRUPO DE RECUPERACI0N</t>
  </si>
  <si>
    <t>PRIMERA CERRADA SAN JULIaN</t>
  </si>
  <si>
    <t>GRUPO DE FAMILIA AL ANON SERENIDAD</t>
  </si>
  <si>
    <t>GRUPO DE FAMILIA ALL ANON SERENIDAD AC</t>
  </si>
  <si>
    <t>NUEVA VIDA</t>
  </si>
  <si>
    <t>FUNDACION CONVIVE FELIZ</t>
  </si>
  <si>
    <t>FUNDACION CONVIVE FELIZ AC</t>
  </si>
  <si>
    <t>ALCOHOLICOS ANONIMOS GRUPO TORRE PLAZA BOSQUES</t>
  </si>
  <si>
    <t>CASA DE REHABILITACION</t>
  </si>
  <si>
    <t>GRUPO EL SALVADOR</t>
  </si>
  <si>
    <t>CENTRO DE ALCOHOLICOS ANONIMOS AC</t>
  </si>
  <si>
    <t>LITTLE PET TU CREMATORIO</t>
  </si>
  <si>
    <t>WWW.LITTLEPET.COM.MX</t>
  </si>
  <si>
    <t>PANTEON SAN MARCOS</t>
  </si>
  <si>
    <t>AdministraciTn de cementerios pertenecientes al sector prblico</t>
  </si>
  <si>
    <t>CORONA</t>
  </si>
  <si>
    <t>FFABELA@AGS.GOB.MX</t>
  </si>
  <si>
    <t>OFICINAS UNION GANADERA REGIONAL DE AGUASCALIENTES</t>
  </si>
  <si>
    <t>UNION GANADERA REGIONAL DE AGUASCALIENTES</t>
  </si>
  <si>
    <t>UGRAGUASCALIENTES@HOTMAIL.COM</t>
  </si>
  <si>
    <t>ASOCIACI1N GANADERA LOCAL DE PORCICULTORES DE AGUASCALIENTES</t>
  </si>
  <si>
    <t>APORCICULTORESDEAG@HOTMAIL.COM</t>
  </si>
  <si>
    <t>OFICINAS DE LA ASOCIACION GANADERA LOCAL DE PRODUCTORES DE LECHE DEL MUNICIPIO DE AGUASCALIENTES</t>
  </si>
  <si>
    <t>ASOCIACION GANADERA LOCAL DE PRODUCTORES DE LECHE DEL MUNICIPIO DE AGUASCALIENTES</t>
  </si>
  <si>
    <t>AAGLPROLECHE@HOTMAIL.COM</t>
  </si>
  <si>
    <t>OFICINA ASOCIACION GANADERA LOCAL DE OVINOCULTORES Y CAPRINOCULTORES DE AGUASCALIENTES</t>
  </si>
  <si>
    <t>ASOCIACION GANADERA LOCAL DE OVINOCULTORES Y CAPRINOCULTORES DE AGUASCALIENTES</t>
  </si>
  <si>
    <t>AGLOYCA_AGS@YAHOO.COM</t>
  </si>
  <si>
    <t>CLUB ROTARIO SAN MARCOS</t>
  </si>
  <si>
    <t>CLUB ROTARIO SAN MARCOS AC</t>
  </si>
  <si>
    <t>PUNTA QUERENCIA</t>
  </si>
  <si>
    <t>LA QUERENCIA</t>
  </si>
  <si>
    <t>SOMOS VID</t>
  </si>
  <si>
    <t>SOMOS VID AC</t>
  </si>
  <si>
    <t>ASOCIACION DE PRO ASOCIACION DE AVICULTORES DE AGUASCALIENTES</t>
  </si>
  <si>
    <t>ASOCIACION DE AVICULTORES DE AGUASCALIENTES</t>
  </si>
  <si>
    <t>AVIAGS@YAHOO.COM</t>
  </si>
  <si>
    <t>APOYANDO AGUASCALIENTES</t>
  </si>
  <si>
    <t>APOYANDO AGUASCALIENTES AC</t>
  </si>
  <si>
    <t>ASOCIACION DE RESIDENTES Y COLONOS DEL FRACCIONAMIENTO CAMPESTRE LA HERRADURA</t>
  </si>
  <si>
    <t>ASOCIACION DE RESIDENTES Y COLONOS DEL FRACCIONAMIENTO CAMPESTRE LA HERRADURA AC</t>
  </si>
  <si>
    <t>LAS HUERTAS</t>
  </si>
  <si>
    <t>GILMOLINAAURORA@HOTMAIL.COM</t>
  </si>
  <si>
    <t>SINDICATO DE TRABAJADORES MANIOBRISTAS Y SIMILARES CTM</t>
  </si>
  <si>
    <t>SINDICATO DE TRABAJADORES MANIOBRISTAS Y SIMILARES CTM DEL ESTADO DE AGUASCALIENTES SC</t>
  </si>
  <si>
    <t>SOYA</t>
  </si>
  <si>
    <t>COMERCIALIZADORA DE SRVICIOS ADMINISTRATIVOS PRO-BUSINES</t>
  </si>
  <si>
    <t>C&amp;R COMERCIALIZADORA SA DE CV</t>
  </si>
  <si>
    <t>RECEPCIONAGS@PROBUSINESTH.COM.MX</t>
  </si>
  <si>
    <t>WWW.CYRASOCIADOS.COM.MX</t>
  </si>
  <si>
    <t>COMERCIALIZADORA DE SERVICIOS PRO BUSINESS</t>
  </si>
  <si>
    <t>RECEPCIONAGS@PROBUSINESSTH.COM.MX</t>
  </si>
  <si>
    <t>SINDICATO DE TRABAJADORES DE LA INDUSTRIA EMBOTELLADORA SECCION 325</t>
  </si>
  <si>
    <t>SINDICATO DE TRABAJADORES DE LA COCA COLA AC</t>
  </si>
  <si>
    <t>ADMINISTRADORA DEL CENTRO COMERCIAL AGROPECUARIO DE AGUASCALIENTES</t>
  </si>
  <si>
    <t>ADMINISTRADORA DEL CENTRO AGROPECUARIO DE AGUASCALIENTES AC</t>
  </si>
  <si>
    <t>RECEPCION@ADMONCCAGROPEAGS.COM</t>
  </si>
  <si>
    <t>BODEGA DE ALIMENTOS DE CARITAS DE AGUASCALIENTES</t>
  </si>
  <si>
    <t>BODEGA DE ALIMENTOS DE CARITAS DE AGUASCALIENTES AC</t>
  </si>
  <si>
    <t>FUNDACION JOSE MANUEL LOMELIN GUERRA</t>
  </si>
  <si>
    <t>FUNDACION JOSE MANUEL LOMELIN GUERRA AC</t>
  </si>
  <si>
    <t>MARLA DEL CARMEN MARTzN DEL CAMPO</t>
  </si>
  <si>
    <t>FUNDACION PRODUCE AGUASCALIENTES</t>
  </si>
  <si>
    <t>FUNDACION PRODUCE AGUASCALIENTES AC</t>
  </si>
  <si>
    <t>FPAGUASCALIENTES@GMAIL.COM</t>
  </si>
  <si>
    <t>PUNTO DE ATENCION SINIIGA</t>
  </si>
  <si>
    <t>CONFEDERACION NACIONAL GANADERA</t>
  </si>
  <si>
    <t>VAS.AGS@SINIIGA.ORG.MX</t>
  </si>
  <si>
    <t>WWW.SINIIGA.ORG.MX</t>
  </si>
  <si>
    <t>ADMINISTRACION DEL RESIDENCIAL LA PALOMA</t>
  </si>
  <si>
    <t>ASOCIACION DE CONDOMINOS DEL CONDOMINIO LA PALOMA AC</t>
  </si>
  <si>
    <t>AVENIDA DE LAS PALOMAS</t>
  </si>
  <si>
    <t>ALA AZUL</t>
  </si>
  <si>
    <t>LA_PALOMA@PRODIGI.NET.MX</t>
  </si>
  <si>
    <t>ASOCIACION DE CONDOMINOS PRIVANZA ANDALUZ</t>
  </si>
  <si>
    <t>ASOCIACION DE CONDOMINOS PRIVANZA ANDALUZ AC</t>
  </si>
  <si>
    <t>LA QUERENCIA 304</t>
  </si>
  <si>
    <t>ADMINISTRACIONMURALIA CENTRO</t>
  </si>
  <si>
    <t>ADMINISTRACION MURALIA CENTRO AC</t>
  </si>
  <si>
    <t>GENERAL IGNACIO ZARAGOZA NO. 103</t>
  </si>
  <si>
    <t>PROLONGACION IGNACIO ZARAGOZA</t>
  </si>
  <si>
    <t>PROLONGACION IGNACIO ZARAGOZA 103</t>
  </si>
  <si>
    <t>MURALIACENTRO@HOTMAIL.COM</t>
  </si>
  <si>
    <t>OFICINAS DE JAIME DEL CONDE</t>
  </si>
  <si>
    <t>DESARROLLO SAN FRANCISCO</t>
  </si>
  <si>
    <t>ASOCIACION DE CONDOMINOS DE LA TORRE I DEL CONJUNTO CONDOMINAL TERZETTO</t>
  </si>
  <si>
    <t>ASOCIACION DE CONOMINOS DE LA TORRE I DEL CONJUNTO CONDOMINAL TERZETTO AC</t>
  </si>
  <si>
    <t>TERZETTO@TERZETTO.COM.MX</t>
  </si>
  <si>
    <t>WWW.TERZETTO.COM</t>
  </si>
  <si>
    <t>ADMINISTRACI0N TROJES DE KRISTAL</t>
  </si>
  <si>
    <t>CONDOMINIO HORIZONTAL TROJES AC</t>
  </si>
  <si>
    <t>LICENCIADO MIGUEL DE LA MADRID HURTADO</t>
  </si>
  <si>
    <t>LAS TROJES</t>
  </si>
  <si>
    <t>LASTROJESDEKRISTTAL2@GMAIL.COM</t>
  </si>
  <si>
    <t>ASOCIACION DE CONDOMINOS TORRE PLAZA BOSQUES</t>
  </si>
  <si>
    <t>ASOCIACION DE CONDOMINOS TORRE PLAZA BOSQUES AC</t>
  </si>
  <si>
    <t>ADMINISTRACION@TORREPLAZABOSQUES.COM</t>
  </si>
  <si>
    <t>ADMINISTRACION DE ASOCIACION DE CONDOMIINOS DE TORRE PLAZA</t>
  </si>
  <si>
    <t>ADMINISTRACION DE ASOCIACION DE CONDOMINOS DE TORRE PLAZA AC</t>
  </si>
  <si>
    <t>FUNDACION MARATON AGUASCALIENTES</t>
  </si>
  <si>
    <t>FUNDACION MARATON AGUASCALIENTES AC</t>
  </si>
  <si>
    <t>MARATONAGUASCALIENTES@HOTMAIL.COM</t>
  </si>
  <si>
    <t>WWW.MARATONAGUASCALIENTRES.COM.MX</t>
  </si>
  <si>
    <t>ASOCIACION DE CONDOMINIOS DE PLAZA SANTA FE</t>
  </si>
  <si>
    <t>ASOCIACION DE CONDOMINOS DEL CENTRO COMERCIAL PLAZA SANTA FE AC</t>
  </si>
  <si>
    <t>SIERRA DE TEPOZTLgN</t>
  </si>
  <si>
    <t>PLAZASANTAFE@HOTMAIL.COM</t>
  </si>
  <si>
    <t>ASOCIACI3N DE COLONOS DE FRACCIONAMIENTO VERGELES</t>
  </si>
  <si>
    <t>ASOCIACION DE COLONOS DEL FRACCIONAMIENTO VERGELES AC</t>
  </si>
  <si>
    <t>VERGELESGRE@GMAIL.COM</t>
  </si>
  <si>
    <t>ASOCIACI1N DE COLONOS DEL CAMPESTRE SEGUNDA SECCISN</t>
  </si>
  <si>
    <t>ASOCIACI1N DE COLONOS DEL CAMPESTRE SEGUNDA SECCISN AC</t>
  </si>
  <si>
    <t>COLONOSCAMPESTRE@GMAIL.COM</t>
  </si>
  <si>
    <t>ASOCIACION MEXICANA DE FIBROSIS QUISTICA DE AGUASCALIENTES</t>
  </si>
  <si>
    <t>ASOCIACION MEXICANA DE FIBROSIS QUISTICA DE AGUASCALIENTES AC</t>
  </si>
  <si>
    <t>ASOC.FIBROSISQUISTICA@HOTMAIL.COM</t>
  </si>
  <si>
    <t>WWW.ASOCIACIONMEXICANADEFIBROSISQUISTICA.ORG.MX</t>
  </si>
  <si>
    <t>ADMINISTRACION LA ENRAMADARESIDENCIAL</t>
  </si>
  <si>
    <t>ADMINISTRACION LA ENRAMADA RESIDENCIAL</t>
  </si>
  <si>
    <t>LA ENRAMADA</t>
  </si>
  <si>
    <t>CERRADA DE LOS TULIPANES</t>
  </si>
  <si>
    <t>FRACCIONAMIENTO.LA.ENRAMADA@GMAIL.COM</t>
  </si>
  <si>
    <t>ADMINISTRACION DE ASOCIACION DE COLONOS PUERTA NAVARRA</t>
  </si>
  <si>
    <t>RESIDENCIALPUERTANAVARRA@HOTMAIL.COM</t>
  </si>
  <si>
    <t>ADMINISTRACION CONDOMINIO RANCHO SAN ANTONIO PRIMERA SECCION CONDOMINAL</t>
  </si>
  <si>
    <t>PASEO DE SAN ANTONIO</t>
  </si>
  <si>
    <t>LOS JARALES</t>
  </si>
  <si>
    <t>ASOCIACIN DE CONDOMINIOS DE RESIDENCIAL CAMPESTRE SANTA MARIA</t>
  </si>
  <si>
    <t>ASOCIACINN DE CONDOMINIOS AC</t>
  </si>
  <si>
    <t>CAMPESTRESANTAMARIA@HOTMAIL.COM</t>
  </si>
  <si>
    <t>ASOCIACION DE CONDOMINOS TORRE CAMPESTRE SANTA MARIA</t>
  </si>
  <si>
    <t>ASOCIACION DE CONDOMINOS TORRE CAMPESTRE AC</t>
  </si>
  <si>
    <t>TORRECAMPESTRE@HOTMAIL.COM</t>
  </si>
  <si>
    <t>CVE (1-609)</t>
  </si>
  <si>
    <t>UBICACIÓN DE SITIOS DE ASISTENCIA SOCIAL</t>
  </si>
  <si>
    <t>LA CLASIFICACIÓN DE ELEMENTOS ESTÁ BASADA EN EL SISTEMA NORMATIVO DE EQUIPAMIENTO URBANO DE LA SEDESOL FEDERAL, SUBSISTEMA ASISTENCIA SOCIAL.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</si>
</sst>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3">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0" borderId="0" xfId="0" applyNumberFormat="1"/>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dxf>
    <dxf>
      <numFmt numFmtId="165" formatCode="0.000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123265</xdr:colOff>
      <xdr:row>0</xdr:row>
      <xdr:rowOff>123264</xdr:rowOff>
    </xdr:from>
    <xdr:to>
      <xdr:col>2</xdr:col>
      <xdr:colOff>5105065</xdr:colOff>
      <xdr:row>1</xdr:row>
      <xdr:rowOff>526677</xdr:rowOff>
    </xdr:to>
    <xdr:grpSp>
      <xdr:nvGrpSpPr>
        <xdr:cNvPr id="3" name="Grupo 2"/>
        <xdr:cNvGrpSpPr/>
      </xdr:nvGrpSpPr>
      <xdr:grpSpPr>
        <a:xfrm>
          <a:off x="268941" y="123264"/>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610" totalsRowShown="0" headerRowDxfId="28">
  <autoFilter ref="A1:AB610"/>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G9" sqref="G9"/>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29"/>
      <c r="C1" s="29"/>
    </row>
    <row r="2" spans="2:4" ht="50.25" customHeight="1" thickBot="1">
      <c r="B2" s="29"/>
      <c r="C2" s="29"/>
    </row>
    <row r="3" spans="2:4" ht="18.75" thickBot="1">
      <c r="B3" s="30" t="s">
        <v>2603</v>
      </c>
      <c r="C3" s="31"/>
    </row>
    <row r="4" spans="2:4">
      <c r="B4" s="8"/>
      <c r="C4" s="8"/>
    </row>
    <row r="5" spans="2:4" ht="15.75">
      <c r="B5" s="32" t="s">
        <v>0</v>
      </c>
      <c r="C5" s="32"/>
      <c r="D5" s="9"/>
    </row>
    <row r="6" spans="2:4">
      <c r="B6" s="10" t="s">
        <v>2</v>
      </c>
      <c r="C6" s="11" t="s">
        <v>1043</v>
      </c>
    </row>
    <row r="7" spans="2:4" ht="24.75" customHeight="1">
      <c r="B7" s="10" t="s">
        <v>3</v>
      </c>
      <c r="C7" s="12" t="s">
        <v>1</v>
      </c>
    </row>
    <row r="8" spans="2:4">
      <c r="B8" s="10" t="s">
        <v>4</v>
      </c>
      <c r="C8" s="11" t="s">
        <v>5</v>
      </c>
    </row>
    <row r="9" spans="2:4">
      <c r="B9" s="10" t="s">
        <v>6</v>
      </c>
      <c r="C9" s="11" t="s">
        <v>7</v>
      </c>
    </row>
    <row r="10" spans="2:4">
      <c r="B10" s="10" t="s">
        <v>8</v>
      </c>
      <c r="C10" s="11" t="s">
        <v>998</v>
      </c>
    </row>
    <row r="11" spans="2:4">
      <c r="B11" s="10" t="s">
        <v>9</v>
      </c>
      <c r="C11" s="11" t="s">
        <v>997</v>
      </c>
    </row>
    <row r="12" spans="2:4">
      <c r="B12" s="10" t="s">
        <v>10</v>
      </c>
      <c r="C12" s="11" t="s">
        <v>11</v>
      </c>
    </row>
    <row r="13" spans="2:4" ht="39">
      <c r="B13" s="13" t="s">
        <v>12</v>
      </c>
      <c r="C13" s="12" t="s">
        <v>2604</v>
      </c>
    </row>
    <row r="14" spans="2:4">
      <c r="B14" s="8"/>
      <c r="C14" s="8"/>
    </row>
    <row r="15" spans="2:4" ht="16.5" thickBot="1">
      <c r="B15" s="32" t="s">
        <v>13</v>
      </c>
      <c r="C15" s="32"/>
    </row>
    <row r="16" spans="2:4" ht="18">
      <c r="B16" s="14" t="s">
        <v>14</v>
      </c>
      <c r="C16" s="15" t="s">
        <v>15</v>
      </c>
    </row>
    <row r="17" spans="2:12">
      <c r="B17" s="1" t="s">
        <v>16</v>
      </c>
      <c r="C17" s="2" t="s">
        <v>811</v>
      </c>
    </row>
    <row r="18" spans="2:12">
      <c r="B18" s="1" t="s">
        <v>17</v>
      </c>
      <c r="C18" s="3" t="s">
        <v>811</v>
      </c>
      <c r="G18"/>
      <c r="H18"/>
      <c r="I18"/>
      <c r="J18"/>
      <c r="K18"/>
    </row>
    <row r="19" spans="2:12">
      <c r="B19" s="1" t="s">
        <v>18</v>
      </c>
      <c r="C19" s="3" t="str">
        <f>VLOOKUP($C$21,ABASTO[#All],25,FALSE)</f>
        <v>POCITOS</v>
      </c>
      <c r="G19" s="23"/>
      <c r="H19" s="23"/>
      <c r="I19" s="24"/>
      <c r="J19" s="24"/>
      <c r="K19" s="25"/>
      <c r="L19" s="16"/>
    </row>
    <row r="20" spans="2:12">
      <c r="B20" s="1" t="s">
        <v>999</v>
      </c>
      <c r="C20" s="3" t="str">
        <f>VLOOKUP($C$21,ABASTO[#All],26,FALSE)</f>
        <v>(ZUFO)-UNIVERSIDAD</v>
      </c>
      <c r="G20" s="25"/>
      <c r="H20" s="16"/>
      <c r="I20" s="25"/>
      <c r="J20" s="25"/>
      <c r="K20" s="25"/>
      <c r="L20" s="16"/>
    </row>
    <row r="21" spans="2:12" ht="19.5">
      <c r="B21" s="26" t="s">
        <v>2602</v>
      </c>
      <c r="C21" s="27">
        <v>609</v>
      </c>
      <c r="G21" s="25"/>
      <c r="H21" s="25"/>
      <c r="I21" s="25"/>
      <c r="J21" s="25"/>
      <c r="K21" s="25"/>
      <c r="L21" s="16"/>
    </row>
    <row r="22" spans="2:12">
      <c r="B22" s="1" t="s">
        <v>1000</v>
      </c>
      <c r="C22" s="21" t="str">
        <f>VLOOKUP($C$21,ABASTO[#All],5,FALSE)</f>
        <v>ASOCIACION DE CONDOMINOS TORRE CAMPESTRE SANTA MARIA</v>
      </c>
      <c r="G22"/>
      <c r="H22"/>
      <c r="I22"/>
      <c r="J22"/>
      <c r="K22"/>
    </row>
    <row r="23" spans="2:12">
      <c r="B23" s="4" t="s">
        <v>1001</v>
      </c>
      <c r="C23" s="21" t="str">
        <f>VLOOKUP($C$21,ABASTO[#All],6,FALSE)</f>
        <v>Asociaciones y organizaciones civiles</v>
      </c>
    </row>
    <row r="24" spans="2:12">
      <c r="B24" s="1" t="s">
        <v>19</v>
      </c>
      <c r="C24" s="21">
        <f>VLOOKUP($C$21,ABASTO[#All],2,FALSE)</f>
        <v>813230</v>
      </c>
    </row>
    <row r="25" spans="2:12">
      <c r="B25" s="5" t="s">
        <v>1002</v>
      </c>
      <c r="C25" s="21" t="str">
        <f>VLOOKUP($C$21,ABASTO[#All],4,FALSE)</f>
        <v>PRIVADO</v>
      </c>
    </row>
    <row r="26" spans="2:12">
      <c r="B26" s="1" t="s">
        <v>1003</v>
      </c>
      <c r="C26" s="21" t="str">
        <f>VLOOKUP($C$21,ABASTO[#All],11,FALSE)</f>
        <v>6 a 10 personas</v>
      </c>
    </row>
    <row r="27" spans="2:12">
      <c r="B27" s="4" t="s">
        <v>1004</v>
      </c>
      <c r="C27" s="21" t="str">
        <f>VLOOKUP($C$21,ABASTO[#All],8,FALSE)</f>
        <v>RESIDENCIAL</v>
      </c>
    </row>
    <row r="28" spans="2:12">
      <c r="B28" s="1" t="s">
        <v>1006</v>
      </c>
      <c r="C28" s="21" t="str">
        <f>VLOOKUP($C$21,ABASTO[#All],13,FALSE)</f>
        <v>NINGUNO</v>
      </c>
    </row>
    <row r="29" spans="2:12">
      <c r="B29" s="1" t="s">
        <v>1005</v>
      </c>
      <c r="C29" s="21" t="str">
        <f>VLOOKUP($C$21,ABASTO[#All],12,FALSE)</f>
        <v>CALLE</v>
      </c>
    </row>
    <row r="30" spans="2:12">
      <c r="B30" s="4" t="s">
        <v>1007</v>
      </c>
      <c r="C30" s="21" t="str">
        <f>VLOOKUP($C$21,ABASTO[#All],22,FALSE)</f>
        <v>TORRECAMPESTRE@HOTMAIL.COM</v>
      </c>
    </row>
    <row r="31" spans="2:12">
      <c r="B31" s="1" t="s">
        <v>21</v>
      </c>
      <c r="C31" s="21">
        <f>VLOOKUP($C$21,ABASTO[#All],20,FALSE)</f>
        <v>45</v>
      </c>
    </row>
    <row r="32" spans="2:12">
      <c r="B32" s="4" t="s">
        <v>24</v>
      </c>
      <c r="C32" s="21">
        <f>VLOOKUP($C$21,ABASTO[#All],21,FALSE)</f>
        <v>0</v>
      </c>
    </row>
    <row r="33" spans="1:3">
      <c r="B33" s="1" t="s">
        <v>22</v>
      </c>
      <c r="C33" s="21">
        <f>VLOOKUP($C$21,ABASTO[#All],27,FALSE)</f>
        <v>776053.99547900003</v>
      </c>
    </row>
    <row r="34" spans="1:3" ht="15.75" thickBot="1">
      <c r="B34" s="6" t="s">
        <v>23</v>
      </c>
      <c r="C34" s="21">
        <f>VLOOKUP($C$21,ABASTO[#All],28,FALSE)</f>
        <v>2425720.3430699999</v>
      </c>
    </row>
    <row r="37" spans="1:3">
      <c r="A37" s="16"/>
      <c r="B37" s="16"/>
      <c r="C37" s="16"/>
    </row>
    <row r="38" spans="1:3">
      <c r="A38" s="16"/>
      <c r="B38" s="22"/>
      <c r="C38" s="16"/>
    </row>
    <row r="39" spans="1:3">
      <c r="A39" s="16"/>
      <c r="B39" s="16"/>
      <c r="C39" s="16"/>
    </row>
    <row r="40" spans="1:3">
      <c r="A40" s="16"/>
      <c r="B40" s="16"/>
      <c r="C40" s="16"/>
    </row>
  </sheetData>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DATOS_ASISTENCIA SOCIAL'!$A$2:$A$610</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0"/>
  <sheetViews>
    <sheetView zoomScale="85" zoomScaleNormal="85" workbookViewId="0">
      <selection activeCell="F593" sqref="F593"/>
    </sheetView>
  </sheetViews>
  <sheetFormatPr baseColWidth="10" defaultRowHeight="15"/>
  <cols>
    <col min="1" max="1" width="6.42578125" style="17" customWidth="1"/>
    <col min="2" max="2" width="10.5703125" style="17" customWidth="1"/>
    <col min="3" max="3" width="2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18" bestFit="1" customWidth="1"/>
    <col min="28" max="28" width="20" style="18" bestFit="1" customWidth="1"/>
  </cols>
  <sheetData>
    <row r="1" spans="1:28">
      <c r="A1" s="19" t="s">
        <v>996</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0" t="s">
        <v>50</v>
      </c>
      <c r="AB1" s="20" t="s">
        <v>51</v>
      </c>
    </row>
    <row r="2" spans="1:28">
      <c r="A2" s="17">
        <v>1</v>
      </c>
      <c r="B2" s="17">
        <v>624411</v>
      </c>
      <c r="C2" s="17" t="s">
        <v>1044</v>
      </c>
      <c r="D2" s="17" t="s">
        <v>52</v>
      </c>
      <c r="E2" s="17" t="s">
        <v>1045</v>
      </c>
      <c r="F2" s="17" t="s">
        <v>1046</v>
      </c>
      <c r="G2" s="17" t="s">
        <v>1047</v>
      </c>
      <c r="H2" s="17" t="s">
        <v>53</v>
      </c>
      <c r="I2" s="17">
        <v>20344</v>
      </c>
      <c r="J2" s="17" t="s">
        <v>54</v>
      </c>
      <c r="K2" s="17" t="s">
        <v>55</v>
      </c>
      <c r="L2" s="17" t="s">
        <v>20</v>
      </c>
      <c r="M2" s="17" t="s">
        <v>85</v>
      </c>
      <c r="O2" s="17" t="s">
        <v>1048</v>
      </c>
      <c r="Q2" s="17" t="s">
        <v>65</v>
      </c>
      <c r="R2" s="17" t="s">
        <v>20</v>
      </c>
      <c r="S2" s="17" t="s">
        <v>85</v>
      </c>
      <c r="T2" s="17">
        <v>109</v>
      </c>
      <c r="U2" s="18">
        <v>4493644818</v>
      </c>
      <c r="V2" s="17" t="s">
        <v>1049</v>
      </c>
      <c r="X2" s="17" t="s">
        <v>67</v>
      </c>
      <c r="Y2" s="17" t="s">
        <v>61</v>
      </c>
      <c r="Z2" s="17" t="s">
        <v>62</v>
      </c>
      <c r="AA2" s="28">
        <v>790925.96105499996</v>
      </c>
      <c r="AB2" s="28">
        <v>2416635.09057</v>
      </c>
    </row>
    <row r="3" spans="1:28">
      <c r="A3" s="17">
        <v>2</v>
      </c>
      <c r="B3" s="17">
        <v>624212</v>
      </c>
      <c r="C3" s="17" t="s">
        <v>1044</v>
      </c>
      <c r="D3" s="17" t="s">
        <v>1008</v>
      </c>
      <c r="E3" s="17" t="s">
        <v>1050</v>
      </c>
      <c r="F3" s="17" t="s">
        <v>1051</v>
      </c>
      <c r="G3" s="17" t="s">
        <v>1052</v>
      </c>
      <c r="H3" s="17" t="s">
        <v>53</v>
      </c>
      <c r="I3" s="17">
        <v>20344</v>
      </c>
      <c r="J3" s="17" t="s">
        <v>54</v>
      </c>
      <c r="K3" s="17" t="s">
        <v>55</v>
      </c>
      <c r="L3" s="17" t="s">
        <v>56</v>
      </c>
      <c r="M3" s="17" t="s">
        <v>57</v>
      </c>
      <c r="O3" s="17" t="s">
        <v>59</v>
      </c>
      <c r="P3" s="17" t="s">
        <v>20</v>
      </c>
      <c r="Q3" s="17" t="s">
        <v>59</v>
      </c>
      <c r="R3" s="17" t="s">
        <v>20</v>
      </c>
      <c r="S3" s="17" t="s">
        <v>85</v>
      </c>
      <c r="T3" s="17">
        <v>0</v>
      </c>
      <c r="U3" s="18">
        <v>4495427583</v>
      </c>
      <c r="X3" s="17" t="s">
        <v>60</v>
      </c>
      <c r="Y3" s="17" t="s">
        <v>61</v>
      </c>
      <c r="Z3" s="17" t="s">
        <v>62</v>
      </c>
      <c r="AA3" s="28">
        <v>790618.66168999998</v>
      </c>
      <c r="AB3" s="28">
        <v>2416416.6906599998</v>
      </c>
    </row>
    <row r="4" spans="1:28">
      <c r="A4" s="17">
        <v>3</v>
      </c>
      <c r="B4" s="17">
        <v>812322</v>
      </c>
      <c r="C4" s="17" t="s">
        <v>1044</v>
      </c>
      <c r="D4" s="17" t="s">
        <v>1008</v>
      </c>
      <c r="E4" s="17" t="s">
        <v>1053</v>
      </c>
      <c r="F4" s="17" t="s">
        <v>1054</v>
      </c>
      <c r="G4" s="17" t="s">
        <v>1055</v>
      </c>
      <c r="H4" s="17" t="s">
        <v>69</v>
      </c>
      <c r="I4" s="17">
        <v>20344</v>
      </c>
      <c r="J4" s="17" t="s">
        <v>54</v>
      </c>
      <c r="K4" s="17" t="s">
        <v>55</v>
      </c>
      <c r="L4" s="17" t="s">
        <v>56</v>
      </c>
      <c r="M4" s="17" t="s">
        <v>70</v>
      </c>
      <c r="N4" s="17" t="s">
        <v>20</v>
      </c>
      <c r="O4" s="17" t="s">
        <v>72</v>
      </c>
      <c r="P4" s="17" t="s">
        <v>56</v>
      </c>
      <c r="Q4" s="17" t="s">
        <v>57</v>
      </c>
      <c r="R4" s="17" t="s">
        <v>56</v>
      </c>
      <c r="S4" s="17" t="s">
        <v>194</v>
      </c>
      <c r="T4" s="17">
        <v>0</v>
      </c>
      <c r="U4" s="18">
        <v>0</v>
      </c>
      <c r="W4" s="17" t="s">
        <v>1023</v>
      </c>
      <c r="X4" s="17" t="s">
        <v>64</v>
      </c>
      <c r="Y4" s="17" t="s">
        <v>61</v>
      </c>
      <c r="Z4" s="17" t="s">
        <v>62</v>
      </c>
      <c r="AA4" s="28">
        <v>790409.59353900002</v>
      </c>
      <c r="AB4" s="28">
        <v>2417969.6661100001</v>
      </c>
    </row>
    <row r="5" spans="1:28">
      <c r="A5" s="17">
        <v>4</v>
      </c>
      <c r="B5" s="17">
        <v>812310</v>
      </c>
      <c r="C5" s="17" t="s">
        <v>1044</v>
      </c>
      <c r="D5" s="17" t="s">
        <v>52</v>
      </c>
      <c r="E5" s="17" t="s">
        <v>1056</v>
      </c>
      <c r="F5" s="17" t="s">
        <v>1057</v>
      </c>
      <c r="H5" s="17" t="s">
        <v>69</v>
      </c>
      <c r="I5" s="17">
        <v>20344</v>
      </c>
      <c r="J5" s="17" t="s">
        <v>54</v>
      </c>
      <c r="K5" s="17" t="s">
        <v>55</v>
      </c>
      <c r="L5" s="17" t="s">
        <v>56</v>
      </c>
      <c r="M5" s="17" t="s">
        <v>70</v>
      </c>
      <c r="N5" s="17" t="s">
        <v>20</v>
      </c>
      <c r="O5" s="17" t="s">
        <v>71</v>
      </c>
      <c r="P5" s="17" t="s">
        <v>20</v>
      </c>
      <c r="Q5" s="17" t="s">
        <v>74</v>
      </c>
      <c r="R5" s="17" t="s">
        <v>20</v>
      </c>
      <c r="S5" s="17" t="s">
        <v>75</v>
      </c>
      <c r="T5" s="17">
        <v>300</v>
      </c>
      <c r="U5" s="18">
        <v>0</v>
      </c>
      <c r="V5" s="17" t="s">
        <v>1058</v>
      </c>
      <c r="W5" s="17" t="s">
        <v>1059</v>
      </c>
      <c r="X5" s="17" t="s">
        <v>60</v>
      </c>
      <c r="Y5" s="17" t="s">
        <v>61</v>
      </c>
      <c r="Z5" s="17" t="s">
        <v>62</v>
      </c>
      <c r="AA5" s="28">
        <v>790557.41032400005</v>
      </c>
      <c r="AB5" s="28">
        <v>2418328.62194</v>
      </c>
    </row>
    <row r="6" spans="1:28">
      <c r="A6" s="17">
        <v>5</v>
      </c>
      <c r="B6" s="17">
        <v>813230</v>
      </c>
      <c r="C6" s="17" t="s">
        <v>1044</v>
      </c>
      <c r="D6" s="17" t="s">
        <v>52</v>
      </c>
      <c r="E6" s="17" t="s">
        <v>1060</v>
      </c>
      <c r="F6" s="17" t="s">
        <v>1061</v>
      </c>
      <c r="G6" s="17" t="s">
        <v>1062</v>
      </c>
      <c r="H6" s="17" t="s">
        <v>53</v>
      </c>
      <c r="I6" s="17">
        <v>20344</v>
      </c>
      <c r="J6" s="17" t="s">
        <v>54</v>
      </c>
      <c r="K6" s="17" t="s">
        <v>55</v>
      </c>
      <c r="L6" s="17" t="s">
        <v>56</v>
      </c>
      <c r="M6" s="17" t="s">
        <v>57</v>
      </c>
      <c r="O6" s="17" t="s">
        <v>59</v>
      </c>
      <c r="P6" s="17" t="s">
        <v>20</v>
      </c>
      <c r="Q6" s="17" t="s">
        <v>59</v>
      </c>
      <c r="R6" s="17" t="s">
        <v>20</v>
      </c>
      <c r="S6" s="17" t="s">
        <v>85</v>
      </c>
      <c r="T6" s="17">
        <v>0</v>
      </c>
      <c r="U6" s="18">
        <v>4492384157</v>
      </c>
      <c r="X6" s="17" t="s">
        <v>60</v>
      </c>
      <c r="Y6" s="17" t="s">
        <v>61</v>
      </c>
      <c r="Z6" s="17" t="s">
        <v>62</v>
      </c>
      <c r="AA6" s="28">
        <v>790618.59465600003</v>
      </c>
      <c r="AB6" s="28">
        <v>2416417.0185600002</v>
      </c>
    </row>
    <row r="7" spans="1:28">
      <c r="A7" s="17">
        <v>6</v>
      </c>
      <c r="B7" s="17">
        <v>624191</v>
      </c>
      <c r="C7" s="17" t="s">
        <v>1044</v>
      </c>
      <c r="D7" s="17" t="s">
        <v>52</v>
      </c>
      <c r="E7" s="17" t="s">
        <v>1063</v>
      </c>
      <c r="F7" s="17" t="s">
        <v>1064</v>
      </c>
      <c r="G7" s="17" t="s">
        <v>1065</v>
      </c>
      <c r="H7" s="17" t="s">
        <v>86</v>
      </c>
      <c r="I7" s="17">
        <v>20384</v>
      </c>
      <c r="J7" s="17" t="s">
        <v>54</v>
      </c>
      <c r="K7" s="17" t="s">
        <v>55</v>
      </c>
      <c r="L7" s="17" t="s">
        <v>20</v>
      </c>
      <c r="M7" s="17" t="s">
        <v>93</v>
      </c>
      <c r="N7" s="17" t="s">
        <v>20</v>
      </c>
      <c r="O7" s="17" t="s">
        <v>1066</v>
      </c>
      <c r="P7" s="17" t="s">
        <v>58</v>
      </c>
      <c r="Q7" s="17" t="s">
        <v>1067</v>
      </c>
      <c r="R7" s="17" t="s">
        <v>20</v>
      </c>
      <c r="S7" s="17" t="s">
        <v>93</v>
      </c>
      <c r="T7" s="17">
        <v>138</v>
      </c>
      <c r="U7" s="18">
        <v>0</v>
      </c>
      <c r="X7" s="17" t="s">
        <v>64</v>
      </c>
      <c r="Y7" s="17" t="s">
        <v>87</v>
      </c>
      <c r="Z7" s="17" t="s">
        <v>62</v>
      </c>
      <c r="AA7" s="28">
        <v>788508.02812499995</v>
      </c>
      <c r="AB7" s="28">
        <v>2420127.7745500002</v>
      </c>
    </row>
    <row r="8" spans="1:28">
      <c r="A8" s="17">
        <v>7</v>
      </c>
      <c r="B8" s="17">
        <v>813110</v>
      </c>
      <c r="C8" s="17" t="s">
        <v>1044</v>
      </c>
      <c r="D8" s="17" t="s">
        <v>52</v>
      </c>
      <c r="E8" s="17" t="s">
        <v>1068</v>
      </c>
      <c r="F8" s="17" t="s">
        <v>1069</v>
      </c>
      <c r="G8" s="17" t="s">
        <v>1070</v>
      </c>
      <c r="H8" s="17" t="s">
        <v>1071</v>
      </c>
      <c r="I8" s="17">
        <v>20384</v>
      </c>
      <c r="J8" s="17" t="s">
        <v>54</v>
      </c>
      <c r="K8" s="17" t="s">
        <v>78</v>
      </c>
      <c r="L8" s="17" t="s">
        <v>56</v>
      </c>
      <c r="M8" s="17" t="s">
        <v>1072</v>
      </c>
      <c r="N8" s="17" t="s">
        <v>56</v>
      </c>
      <c r="O8" s="17" t="s">
        <v>1073</v>
      </c>
      <c r="P8" s="17" t="s">
        <v>95</v>
      </c>
      <c r="Q8" s="17" t="s">
        <v>1074</v>
      </c>
      <c r="R8" s="17" t="s">
        <v>56</v>
      </c>
      <c r="S8" s="17" t="s">
        <v>94</v>
      </c>
      <c r="T8" s="17">
        <v>114</v>
      </c>
      <c r="U8" s="18">
        <v>0</v>
      </c>
      <c r="V8" s="17" t="s">
        <v>1075</v>
      </c>
      <c r="W8" s="17" t="s">
        <v>1076</v>
      </c>
      <c r="X8" s="17" t="s">
        <v>60</v>
      </c>
      <c r="Y8" s="17" t="s">
        <v>61</v>
      </c>
      <c r="Z8" s="17" t="s">
        <v>96</v>
      </c>
      <c r="AA8" s="28">
        <v>791762.41059800005</v>
      </c>
      <c r="AB8" s="28">
        <v>2420904.4336899999</v>
      </c>
    </row>
    <row r="9" spans="1:28">
      <c r="A9" s="17">
        <v>8</v>
      </c>
      <c r="B9" s="17">
        <v>624111</v>
      </c>
      <c r="C9" s="17" t="s">
        <v>1044</v>
      </c>
      <c r="D9" s="17" t="s">
        <v>52</v>
      </c>
      <c r="E9" s="17" t="s">
        <v>1077</v>
      </c>
      <c r="F9" s="17" t="s">
        <v>1078</v>
      </c>
      <c r="H9" s="17" t="s">
        <v>111</v>
      </c>
      <c r="I9" s="17">
        <v>20320</v>
      </c>
      <c r="J9" s="17" t="s">
        <v>54</v>
      </c>
      <c r="K9" s="17" t="s">
        <v>88</v>
      </c>
      <c r="L9" s="17" t="s">
        <v>20</v>
      </c>
      <c r="M9" s="17" t="s">
        <v>99</v>
      </c>
      <c r="N9" s="17" t="s">
        <v>20</v>
      </c>
      <c r="O9" s="17" t="s">
        <v>59</v>
      </c>
      <c r="P9" s="17" t="s">
        <v>20</v>
      </c>
      <c r="Q9" s="17" t="s">
        <v>98</v>
      </c>
      <c r="R9" s="17" t="s">
        <v>20</v>
      </c>
      <c r="S9" s="17" t="s">
        <v>99</v>
      </c>
      <c r="T9" s="17">
        <v>0</v>
      </c>
      <c r="U9" s="18">
        <v>4499112550</v>
      </c>
      <c r="X9" s="17" t="s">
        <v>60</v>
      </c>
      <c r="Y9" s="17" t="s">
        <v>87</v>
      </c>
      <c r="Z9" s="17" t="s">
        <v>96</v>
      </c>
      <c r="AA9" s="28">
        <v>789029.23599299998</v>
      </c>
      <c r="AB9" s="28">
        <v>2435469.6704299999</v>
      </c>
    </row>
    <row r="10" spans="1:28">
      <c r="A10" s="17">
        <v>9</v>
      </c>
      <c r="B10" s="17">
        <v>624211</v>
      </c>
      <c r="C10" s="17" t="s">
        <v>1044</v>
      </c>
      <c r="D10" s="17" t="s">
        <v>52</v>
      </c>
      <c r="E10" s="17" t="s">
        <v>1079</v>
      </c>
      <c r="F10" s="17" t="s">
        <v>1080</v>
      </c>
      <c r="G10" s="17" t="s">
        <v>1081</v>
      </c>
      <c r="H10" s="17" t="s">
        <v>69</v>
      </c>
      <c r="I10" s="17">
        <v>20320</v>
      </c>
      <c r="J10" s="17" t="s">
        <v>54</v>
      </c>
      <c r="K10" s="17" t="s">
        <v>63</v>
      </c>
      <c r="L10" s="17" t="s">
        <v>20</v>
      </c>
      <c r="M10" s="17" t="s">
        <v>105</v>
      </c>
      <c r="N10" s="17" t="s">
        <v>20</v>
      </c>
      <c r="O10" s="17" t="s">
        <v>107</v>
      </c>
      <c r="P10" s="17" t="s">
        <v>20</v>
      </c>
      <c r="Q10" s="17" t="s">
        <v>106</v>
      </c>
      <c r="R10" s="17" t="s">
        <v>20</v>
      </c>
      <c r="S10" s="17" t="s">
        <v>105</v>
      </c>
      <c r="T10" s="17">
        <v>107</v>
      </c>
      <c r="U10" s="18">
        <v>4491504274</v>
      </c>
      <c r="X10" s="17" t="s">
        <v>60</v>
      </c>
      <c r="Y10" s="17" t="s">
        <v>87</v>
      </c>
      <c r="Z10" s="17" t="s">
        <v>96</v>
      </c>
      <c r="AA10" s="28">
        <v>788814.420193</v>
      </c>
      <c r="AB10" s="28">
        <v>2435663.23599</v>
      </c>
    </row>
    <row r="11" spans="1:28">
      <c r="A11" s="17">
        <v>10</v>
      </c>
      <c r="B11" s="17">
        <v>624411</v>
      </c>
      <c r="C11" s="17" t="s">
        <v>1044</v>
      </c>
      <c r="D11" s="17" t="s">
        <v>52</v>
      </c>
      <c r="E11" s="17" t="s">
        <v>1082</v>
      </c>
      <c r="F11" s="17" t="s">
        <v>1046</v>
      </c>
      <c r="H11" s="17" t="s">
        <v>97</v>
      </c>
      <c r="I11" s="17">
        <v>20320</v>
      </c>
      <c r="J11" s="17" t="s">
        <v>54</v>
      </c>
      <c r="K11" s="17" t="s">
        <v>55</v>
      </c>
      <c r="L11" s="17" t="s">
        <v>20</v>
      </c>
      <c r="M11" s="17" t="s">
        <v>1083</v>
      </c>
      <c r="N11" s="17" t="s">
        <v>20</v>
      </c>
      <c r="O11" s="17" t="s">
        <v>101</v>
      </c>
      <c r="P11" s="17" t="s">
        <v>20</v>
      </c>
      <c r="Q11" s="17" t="s">
        <v>1084</v>
      </c>
      <c r="R11" s="17" t="s">
        <v>20</v>
      </c>
      <c r="S11" s="17" t="s">
        <v>1083</v>
      </c>
      <c r="T11" s="17">
        <v>142</v>
      </c>
      <c r="U11" s="18">
        <v>4492769226</v>
      </c>
      <c r="V11" s="17" t="s">
        <v>1085</v>
      </c>
      <c r="X11" s="17" t="s">
        <v>60</v>
      </c>
      <c r="Y11" s="17" t="s">
        <v>87</v>
      </c>
      <c r="Z11" s="17" t="s">
        <v>96</v>
      </c>
      <c r="AA11" s="28">
        <v>789409.75049200002</v>
      </c>
      <c r="AB11" s="28">
        <v>2435573.5529700001</v>
      </c>
    </row>
    <row r="12" spans="1:28">
      <c r="A12" s="17">
        <v>11</v>
      </c>
      <c r="B12" s="17">
        <v>623992</v>
      </c>
      <c r="C12" s="17" t="s">
        <v>1044</v>
      </c>
      <c r="D12" s="17" t="s">
        <v>1008</v>
      </c>
      <c r="E12" s="17" t="s">
        <v>1086</v>
      </c>
      <c r="F12" s="17" t="s">
        <v>1087</v>
      </c>
      <c r="G12" s="17" t="s">
        <v>349</v>
      </c>
      <c r="H12" s="17" t="s">
        <v>102</v>
      </c>
      <c r="I12" s="17">
        <v>20320</v>
      </c>
      <c r="J12" s="17" t="s">
        <v>54</v>
      </c>
      <c r="K12" s="17" t="s">
        <v>78</v>
      </c>
      <c r="L12" s="17" t="s">
        <v>20</v>
      </c>
      <c r="M12" s="17" t="s">
        <v>1011</v>
      </c>
      <c r="N12" s="17" t="s">
        <v>20</v>
      </c>
      <c r="O12" s="17" t="s">
        <v>100</v>
      </c>
      <c r="P12" s="17" t="s">
        <v>58</v>
      </c>
      <c r="Q12" s="17" t="s">
        <v>574</v>
      </c>
      <c r="R12" s="17" t="s">
        <v>20</v>
      </c>
      <c r="S12" s="17" t="s">
        <v>1011</v>
      </c>
      <c r="T12" s="17">
        <v>305</v>
      </c>
      <c r="U12" s="18">
        <v>0</v>
      </c>
      <c r="X12" s="17" t="s">
        <v>60</v>
      </c>
      <c r="Y12" s="17" t="s">
        <v>87</v>
      </c>
      <c r="Z12" s="17" t="s">
        <v>96</v>
      </c>
      <c r="AA12" s="28">
        <v>789066.18533300003</v>
      </c>
      <c r="AB12" s="28">
        <v>2435664.4865100002</v>
      </c>
    </row>
    <row r="13" spans="1:28">
      <c r="A13" s="17">
        <v>12</v>
      </c>
      <c r="B13" s="17">
        <v>624191</v>
      </c>
      <c r="C13" s="17" t="s">
        <v>1044</v>
      </c>
      <c r="D13" s="17" t="s">
        <v>52</v>
      </c>
      <c r="E13" s="17" t="s">
        <v>1088</v>
      </c>
      <c r="F13" s="17" t="s">
        <v>1064</v>
      </c>
      <c r="G13" s="17" t="s">
        <v>1089</v>
      </c>
      <c r="H13" s="17" t="s">
        <v>97</v>
      </c>
      <c r="I13" s="17">
        <v>20320</v>
      </c>
      <c r="J13" s="17" t="s">
        <v>54</v>
      </c>
      <c r="K13" s="17" t="s">
        <v>63</v>
      </c>
      <c r="L13" s="17" t="s">
        <v>56</v>
      </c>
      <c r="M13" s="17" t="s">
        <v>103</v>
      </c>
      <c r="N13" s="17" t="s">
        <v>20</v>
      </c>
      <c r="O13" s="17" t="s">
        <v>1090</v>
      </c>
      <c r="P13" s="17" t="s">
        <v>20</v>
      </c>
      <c r="Q13" s="17" t="s">
        <v>1091</v>
      </c>
      <c r="R13" s="17" t="s">
        <v>56</v>
      </c>
      <c r="S13" s="17" t="s">
        <v>1092</v>
      </c>
      <c r="T13" s="17">
        <v>112</v>
      </c>
      <c r="U13" s="18">
        <v>0</v>
      </c>
      <c r="X13" s="17" t="s">
        <v>64</v>
      </c>
      <c r="Y13" s="17" t="s">
        <v>87</v>
      </c>
      <c r="Z13" s="17" t="s">
        <v>96</v>
      </c>
      <c r="AA13" s="28">
        <v>788664.19201300002</v>
      </c>
      <c r="AB13" s="28">
        <v>2435165.9923299998</v>
      </c>
    </row>
    <row r="14" spans="1:28">
      <c r="A14" s="17">
        <v>13</v>
      </c>
      <c r="B14" s="17">
        <v>624212</v>
      </c>
      <c r="C14" s="17" t="s">
        <v>1044</v>
      </c>
      <c r="D14" s="17" t="s">
        <v>1008</v>
      </c>
      <c r="E14" s="17" t="s">
        <v>1093</v>
      </c>
      <c r="F14" s="17" t="s">
        <v>1051</v>
      </c>
      <c r="G14" s="17" t="s">
        <v>1034</v>
      </c>
      <c r="H14" s="17" t="s">
        <v>109</v>
      </c>
      <c r="I14" s="17">
        <v>20394</v>
      </c>
      <c r="J14" s="17" t="s">
        <v>54</v>
      </c>
      <c r="K14" s="17" t="s">
        <v>55</v>
      </c>
      <c r="L14" s="17" t="s">
        <v>58</v>
      </c>
      <c r="M14" s="17" t="s">
        <v>122</v>
      </c>
      <c r="N14" s="17" t="s">
        <v>1094</v>
      </c>
      <c r="O14" s="17" t="s">
        <v>422</v>
      </c>
      <c r="P14" s="17" t="s">
        <v>58</v>
      </c>
      <c r="Q14" s="17" t="s">
        <v>122</v>
      </c>
      <c r="R14" s="17" t="s">
        <v>20</v>
      </c>
      <c r="S14" s="17" t="s">
        <v>285</v>
      </c>
      <c r="T14" s="17">
        <v>0</v>
      </c>
      <c r="U14" s="18">
        <v>0</v>
      </c>
      <c r="X14" s="17" t="s">
        <v>60</v>
      </c>
      <c r="Y14" s="17" t="s">
        <v>61</v>
      </c>
      <c r="Z14" s="17" t="s">
        <v>118</v>
      </c>
      <c r="AA14" s="28">
        <v>785764.02121100004</v>
      </c>
      <c r="AB14" s="28">
        <v>2411316.9426199999</v>
      </c>
    </row>
    <row r="15" spans="1:28">
      <c r="A15" s="17">
        <v>14</v>
      </c>
      <c r="B15" s="17">
        <v>624212</v>
      </c>
      <c r="C15" s="17" t="s">
        <v>1044</v>
      </c>
      <c r="D15" s="17" t="s">
        <v>1008</v>
      </c>
      <c r="E15" s="17" t="s">
        <v>1095</v>
      </c>
      <c r="F15" s="17" t="s">
        <v>1051</v>
      </c>
      <c r="G15" s="17" t="s">
        <v>1096</v>
      </c>
      <c r="H15" s="17" t="s">
        <v>109</v>
      </c>
      <c r="I15" s="17">
        <v>20340</v>
      </c>
      <c r="J15" s="17" t="s">
        <v>54</v>
      </c>
      <c r="K15" s="17" t="s">
        <v>55</v>
      </c>
      <c r="L15" s="17" t="s">
        <v>20</v>
      </c>
      <c r="M15" s="17" t="s">
        <v>117</v>
      </c>
      <c r="N15" s="17" t="s">
        <v>20</v>
      </c>
      <c r="O15" s="17" t="s">
        <v>119</v>
      </c>
      <c r="Q15" s="17" t="s">
        <v>59</v>
      </c>
      <c r="R15" s="17" t="s">
        <v>20</v>
      </c>
      <c r="S15" s="17" t="s">
        <v>120</v>
      </c>
      <c r="T15" s="17">
        <v>0</v>
      </c>
      <c r="U15" s="18">
        <v>0</v>
      </c>
      <c r="X15" s="17" t="s">
        <v>60</v>
      </c>
      <c r="Y15" s="17" t="s">
        <v>61</v>
      </c>
      <c r="Z15" s="17" t="s">
        <v>118</v>
      </c>
      <c r="AA15" s="28">
        <v>782500.79927600001</v>
      </c>
      <c r="AB15" s="28">
        <v>2407707.4659199999</v>
      </c>
    </row>
    <row r="16" spans="1:28">
      <c r="A16" s="17">
        <v>15</v>
      </c>
      <c r="B16" s="17">
        <v>624212</v>
      </c>
      <c r="C16" s="17" t="s">
        <v>1044</v>
      </c>
      <c r="D16" s="17" t="s">
        <v>1008</v>
      </c>
      <c r="E16" s="17" t="s">
        <v>1095</v>
      </c>
      <c r="F16" s="17" t="s">
        <v>1051</v>
      </c>
      <c r="G16" s="17" t="s">
        <v>1097</v>
      </c>
      <c r="H16" s="17" t="s">
        <v>109</v>
      </c>
      <c r="I16" s="17">
        <v>20340</v>
      </c>
      <c r="J16" s="17" t="s">
        <v>54</v>
      </c>
      <c r="K16" s="17" t="s">
        <v>55</v>
      </c>
      <c r="L16" s="17" t="s">
        <v>20</v>
      </c>
      <c r="M16" s="17" t="s">
        <v>117</v>
      </c>
      <c r="N16" s="17" t="s">
        <v>20</v>
      </c>
      <c r="O16" s="17" t="s">
        <v>119</v>
      </c>
      <c r="Q16" s="17" t="s">
        <v>59</v>
      </c>
      <c r="R16" s="17" t="s">
        <v>20</v>
      </c>
      <c r="S16" s="17" t="s">
        <v>120</v>
      </c>
      <c r="T16" s="17">
        <v>0</v>
      </c>
      <c r="U16" s="18">
        <v>0</v>
      </c>
      <c r="X16" s="17" t="s">
        <v>60</v>
      </c>
      <c r="Y16" s="17" t="s">
        <v>61</v>
      </c>
      <c r="Z16" s="17" t="s">
        <v>118</v>
      </c>
      <c r="AA16" s="28">
        <v>782500.77565900004</v>
      </c>
      <c r="AB16" s="28">
        <v>2407706.92808</v>
      </c>
    </row>
    <row r="17" spans="1:28">
      <c r="A17" s="17">
        <v>16</v>
      </c>
      <c r="B17" s="17">
        <v>813230</v>
      </c>
      <c r="C17" s="17" t="s">
        <v>1044</v>
      </c>
      <c r="D17" s="17" t="s">
        <v>52</v>
      </c>
      <c r="E17" s="17" t="s">
        <v>1098</v>
      </c>
      <c r="F17" s="17" t="s">
        <v>1061</v>
      </c>
      <c r="G17" s="17" t="s">
        <v>1062</v>
      </c>
      <c r="H17" s="17" t="s">
        <v>109</v>
      </c>
      <c r="I17" s="17">
        <v>20340</v>
      </c>
      <c r="J17" s="17" t="s">
        <v>54</v>
      </c>
      <c r="K17" s="17" t="s">
        <v>55</v>
      </c>
      <c r="L17" s="17" t="s">
        <v>20</v>
      </c>
      <c r="M17" s="17" t="s">
        <v>121</v>
      </c>
      <c r="N17" s="17" t="s">
        <v>20</v>
      </c>
      <c r="O17" s="17" t="s">
        <v>117</v>
      </c>
      <c r="P17" s="17" t="s">
        <v>20</v>
      </c>
      <c r="Q17" s="17" t="s">
        <v>120</v>
      </c>
      <c r="R17" s="17" t="s">
        <v>1094</v>
      </c>
      <c r="S17" s="17" t="s">
        <v>1099</v>
      </c>
      <c r="T17" s="17">
        <v>0</v>
      </c>
      <c r="U17" s="18">
        <v>0</v>
      </c>
      <c r="X17" s="17" t="s">
        <v>60</v>
      </c>
      <c r="Y17" s="17" t="s">
        <v>61</v>
      </c>
      <c r="Z17" s="17" t="s">
        <v>118</v>
      </c>
      <c r="AA17" s="28">
        <v>782500.65182799997</v>
      </c>
      <c r="AB17" s="28">
        <v>2408022.0239499998</v>
      </c>
    </row>
    <row r="18" spans="1:28">
      <c r="A18" s="17">
        <v>17</v>
      </c>
      <c r="B18" s="17">
        <v>624411</v>
      </c>
      <c r="C18" s="17" t="s">
        <v>1044</v>
      </c>
      <c r="D18" s="17" t="s">
        <v>52</v>
      </c>
      <c r="E18" s="17" t="s">
        <v>1100</v>
      </c>
      <c r="F18" s="17" t="s">
        <v>1046</v>
      </c>
      <c r="H18" s="17" t="s">
        <v>109</v>
      </c>
      <c r="I18" s="17">
        <v>20340</v>
      </c>
      <c r="J18" s="17" t="s">
        <v>54</v>
      </c>
      <c r="K18" s="17" t="s">
        <v>55</v>
      </c>
      <c r="L18" s="17" t="s">
        <v>20</v>
      </c>
      <c r="M18" s="17" t="s">
        <v>128</v>
      </c>
      <c r="N18" s="17" t="s">
        <v>20</v>
      </c>
      <c r="O18" s="17" t="s">
        <v>71</v>
      </c>
      <c r="P18" s="17" t="s">
        <v>20</v>
      </c>
      <c r="Q18" s="17" t="s">
        <v>72</v>
      </c>
      <c r="R18" s="17" t="s">
        <v>20</v>
      </c>
      <c r="S18" s="17" t="s">
        <v>1101</v>
      </c>
      <c r="T18" s="17">
        <v>0</v>
      </c>
      <c r="U18" s="18">
        <v>4497696014</v>
      </c>
      <c r="X18" s="17" t="s">
        <v>60</v>
      </c>
      <c r="Y18" s="17" t="s">
        <v>124</v>
      </c>
      <c r="Z18" s="17" t="s">
        <v>118</v>
      </c>
      <c r="AA18" s="28">
        <v>782027.92546399997</v>
      </c>
      <c r="AB18" s="28">
        <v>2404792.9500600002</v>
      </c>
    </row>
    <row r="19" spans="1:28">
      <c r="A19" s="17">
        <v>18</v>
      </c>
      <c r="B19" s="17">
        <v>812322</v>
      </c>
      <c r="C19" s="17" t="s">
        <v>1044</v>
      </c>
      <c r="D19" s="17" t="s">
        <v>1008</v>
      </c>
      <c r="E19" s="17" t="s">
        <v>1102</v>
      </c>
      <c r="F19" s="17" t="s">
        <v>1054</v>
      </c>
      <c r="G19" s="17" t="s">
        <v>1009</v>
      </c>
      <c r="H19" s="17" t="s">
        <v>109</v>
      </c>
      <c r="I19" s="17">
        <v>20340</v>
      </c>
      <c r="J19" s="17" t="s">
        <v>54</v>
      </c>
      <c r="K19" s="17" t="s">
        <v>55</v>
      </c>
      <c r="L19" s="17" t="s">
        <v>20</v>
      </c>
      <c r="M19" s="17" t="s">
        <v>59</v>
      </c>
      <c r="N19" s="17" t="s">
        <v>20</v>
      </c>
      <c r="O19" s="17" t="s">
        <v>59</v>
      </c>
      <c r="P19" s="17" t="s">
        <v>20</v>
      </c>
      <c r="Q19" s="17" t="s">
        <v>59</v>
      </c>
      <c r="R19" s="17" t="s">
        <v>20</v>
      </c>
      <c r="S19" s="17" t="s">
        <v>59</v>
      </c>
      <c r="T19" s="17">
        <v>0</v>
      </c>
      <c r="U19" s="18">
        <v>0</v>
      </c>
      <c r="X19" s="17" t="s">
        <v>60</v>
      </c>
      <c r="Y19" s="17" t="s">
        <v>124</v>
      </c>
      <c r="Z19" s="17" t="s">
        <v>118</v>
      </c>
      <c r="AA19" s="28">
        <v>782136.24700600002</v>
      </c>
      <c r="AB19" s="28">
        <v>2405693.8422699999</v>
      </c>
    </row>
    <row r="20" spans="1:28">
      <c r="A20" s="17">
        <v>19</v>
      </c>
      <c r="B20" s="17">
        <v>624191</v>
      </c>
      <c r="C20" s="17" t="s">
        <v>1044</v>
      </c>
      <c r="D20" s="17" t="s">
        <v>52</v>
      </c>
      <c r="E20" s="17" t="s">
        <v>1103</v>
      </c>
      <c r="F20" s="17" t="s">
        <v>1064</v>
      </c>
      <c r="H20" s="17" t="s">
        <v>109</v>
      </c>
      <c r="I20" s="17">
        <v>20330</v>
      </c>
      <c r="J20" s="17" t="s">
        <v>54</v>
      </c>
      <c r="K20" s="17" t="s">
        <v>63</v>
      </c>
      <c r="L20" s="17" t="s">
        <v>20</v>
      </c>
      <c r="M20" s="17" t="s">
        <v>72</v>
      </c>
      <c r="N20" s="17" t="s">
        <v>20</v>
      </c>
      <c r="O20" s="17" t="s">
        <v>128</v>
      </c>
      <c r="P20" s="17" t="s">
        <v>20</v>
      </c>
      <c r="Q20" s="17" t="s">
        <v>137</v>
      </c>
      <c r="R20" s="17" t="s">
        <v>20</v>
      </c>
      <c r="S20" s="17" t="s">
        <v>71</v>
      </c>
      <c r="T20" s="17">
        <v>104</v>
      </c>
      <c r="U20" s="18">
        <v>0</v>
      </c>
      <c r="X20" s="17" t="s">
        <v>60</v>
      </c>
      <c r="Y20" s="17" t="s">
        <v>124</v>
      </c>
      <c r="Z20" s="17" t="s">
        <v>118</v>
      </c>
      <c r="AA20" s="28">
        <v>782180.91590300004</v>
      </c>
      <c r="AB20" s="28">
        <v>2404584.81323</v>
      </c>
    </row>
    <row r="21" spans="1:28">
      <c r="A21" s="17">
        <v>20</v>
      </c>
      <c r="B21" s="17">
        <v>813110</v>
      </c>
      <c r="C21" s="17" t="s">
        <v>1044</v>
      </c>
      <c r="D21" s="17" t="s">
        <v>52</v>
      </c>
      <c r="E21" s="17" t="s">
        <v>1104</v>
      </c>
      <c r="F21" s="17" t="s">
        <v>1069</v>
      </c>
      <c r="G21" s="17" t="s">
        <v>1104</v>
      </c>
      <c r="H21" s="17" t="s">
        <v>134</v>
      </c>
      <c r="I21" s="17">
        <v>20372</v>
      </c>
      <c r="J21" s="17" t="s">
        <v>54</v>
      </c>
      <c r="K21" s="17" t="s">
        <v>55</v>
      </c>
      <c r="M21" s="17" t="s">
        <v>59</v>
      </c>
      <c r="N21" s="17" t="s">
        <v>20</v>
      </c>
      <c r="O21" s="17" t="s">
        <v>136</v>
      </c>
      <c r="P21" s="17" t="s">
        <v>20</v>
      </c>
      <c r="Q21" s="17" t="s">
        <v>135</v>
      </c>
      <c r="R21" s="17" t="s">
        <v>20</v>
      </c>
      <c r="S21" s="17" t="s">
        <v>126</v>
      </c>
      <c r="T21" s="17">
        <v>0</v>
      </c>
      <c r="U21" s="18">
        <v>0</v>
      </c>
      <c r="X21" s="17" t="s">
        <v>60</v>
      </c>
      <c r="Y21" s="17" t="s">
        <v>124</v>
      </c>
      <c r="Z21" s="17" t="s">
        <v>118</v>
      </c>
      <c r="AA21" s="28">
        <v>773659.79357800004</v>
      </c>
      <c r="AB21" s="28">
        <v>2411558.8279499998</v>
      </c>
    </row>
    <row r="22" spans="1:28">
      <c r="A22" s="17">
        <v>21</v>
      </c>
      <c r="B22" s="17">
        <v>813110</v>
      </c>
      <c r="C22" s="17" t="s">
        <v>1044</v>
      </c>
      <c r="D22" s="17" t="s">
        <v>52</v>
      </c>
      <c r="E22" s="17" t="s">
        <v>1105</v>
      </c>
      <c r="F22" s="17" t="s">
        <v>1069</v>
      </c>
      <c r="G22" s="17" t="s">
        <v>1106</v>
      </c>
      <c r="H22" s="17" t="s">
        <v>134</v>
      </c>
      <c r="I22" s="17">
        <v>20372</v>
      </c>
      <c r="J22" s="17" t="s">
        <v>54</v>
      </c>
      <c r="K22" s="17" t="s">
        <v>55</v>
      </c>
      <c r="L22" s="17" t="s">
        <v>20</v>
      </c>
      <c r="M22" s="17" t="s">
        <v>135</v>
      </c>
      <c r="O22" s="17" t="s">
        <v>59</v>
      </c>
      <c r="P22" s="17" t="s">
        <v>20</v>
      </c>
      <c r="Q22" s="17" t="s">
        <v>126</v>
      </c>
      <c r="R22" s="17" t="s">
        <v>20</v>
      </c>
      <c r="S22" s="17" t="s">
        <v>136</v>
      </c>
      <c r="T22" s="17">
        <v>0</v>
      </c>
      <c r="U22" s="18">
        <v>0</v>
      </c>
      <c r="X22" s="17" t="s">
        <v>60</v>
      </c>
      <c r="Y22" s="17" t="s">
        <v>124</v>
      </c>
      <c r="Z22" s="17" t="s">
        <v>118</v>
      </c>
      <c r="AA22" s="28">
        <v>773720.59353800002</v>
      </c>
      <c r="AB22" s="28">
        <v>2411535.3595699999</v>
      </c>
    </row>
    <row r="23" spans="1:28">
      <c r="A23" s="17">
        <v>22</v>
      </c>
      <c r="B23" s="17">
        <v>813110</v>
      </c>
      <c r="C23" s="17" t="s">
        <v>1044</v>
      </c>
      <c r="D23" s="17" t="s">
        <v>52</v>
      </c>
      <c r="E23" s="17" t="s">
        <v>1107</v>
      </c>
      <c r="F23" s="17" t="s">
        <v>1069</v>
      </c>
      <c r="G23" s="17" t="s">
        <v>1108</v>
      </c>
      <c r="H23" s="17" t="s">
        <v>109</v>
      </c>
      <c r="I23" s="17">
        <v>20372</v>
      </c>
      <c r="J23" s="17" t="s">
        <v>54</v>
      </c>
      <c r="K23" s="17" t="s">
        <v>55</v>
      </c>
      <c r="L23" s="17" t="s">
        <v>56</v>
      </c>
      <c r="M23" s="17" t="s">
        <v>367</v>
      </c>
      <c r="N23" s="17" t="s">
        <v>20</v>
      </c>
      <c r="O23" s="17" t="s">
        <v>1109</v>
      </c>
      <c r="P23" s="17" t="s">
        <v>20</v>
      </c>
      <c r="Q23" s="17" t="s">
        <v>1110</v>
      </c>
      <c r="R23" s="17" t="s">
        <v>20</v>
      </c>
      <c r="S23" s="17" t="s">
        <v>136</v>
      </c>
      <c r="T23" s="17">
        <v>0</v>
      </c>
      <c r="U23" s="18">
        <v>0</v>
      </c>
      <c r="X23" s="17" t="s">
        <v>133</v>
      </c>
      <c r="Y23" s="17" t="s">
        <v>124</v>
      </c>
      <c r="Z23" s="17" t="s">
        <v>118</v>
      </c>
      <c r="AA23" s="28">
        <v>775708.68367299996</v>
      </c>
      <c r="AB23" s="28">
        <v>2410227.7169499998</v>
      </c>
    </row>
    <row r="24" spans="1:28">
      <c r="A24" s="17">
        <v>23</v>
      </c>
      <c r="B24" s="17">
        <v>813110</v>
      </c>
      <c r="C24" s="17" t="s">
        <v>1044</v>
      </c>
      <c r="D24" s="17" t="s">
        <v>52</v>
      </c>
      <c r="E24" s="17" t="s">
        <v>1111</v>
      </c>
      <c r="F24" s="17" t="s">
        <v>1069</v>
      </c>
      <c r="G24" s="17" t="s">
        <v>1111</v>
      </c>
      <c r="H24" s="17" t="s">
        <v>109</v>
      </c>
      <c r="I24" s="17">
        <v>20372</v>
      </c>
      <c r="J24" s="17" t="s">
        <v>54</v>
      </c>
      <c r="K24" s="17" t="s">
        <v>55</v>
      </c>
      <c r="L24" s="17" t="s">
        <v>20</v>
      </c>
      <c r="M24" s="17" t="s">
        <v>1109</v>
      </c>
      <c r="N24" s="17" t="s">
        <v>56</v>
      </c>
      <c r="O24" s="17" t="s">
        <v>367</v>
      </c>
      <c r="P24" s="17" t="s">
        <v>20</v>
      </c>
      <c r="Q24" s="17" t="s">
        <v>135</v>
      </c>
      <c r="R24" s="17" t="s">
        <v>20</v>
      </c>
      <c r="S24" s="17" t="s">
        <v>1112</v>
      </c>
      <c r="T24" s="17">
        <v>0</v>
      </c>
      <c r="U24" s="18">
        <v>0</v>
      </c>
      <c r="X24" s="17" t="s">
        <v>60</v>
      </c>
      <c r="Y24" s="17" t="s">
        <v>124</v>
      </c>
      <c r="Z24" s="17" t="s">
        <v>118</v>
      </c>
      <c r="AA24" s="28">
        <v>775671.54886400001</v>
      </c>
      <c r="AB24" s="28">
        <v>2410373.7072899998</v>
      </c>
    </row>
    <row r="25" spans="1:28">
      <c r="A25" s="17">
        <v>24</v>
      </c>
      <c r="B25" s="17">
        <v>813110</v>
      </c>
      <c r="C25" s="17" t="s">
        <v>1044</v>
      </c>
      <c r="D25" s="17" t="s">
        <v>52</v>
      </c>
      <c r="E25" s="17" t="s">
        <v>1113</v>
      </c>
      <c r="F25" s="17" t="s">
        <v>1069</v>
      </c>
      <c r="G25" s="17" t="s">
        <v>1114</v>
      </c>
      <c r="H25" s="17" t="s">
        <v>109</v>
      </c>
      <c r="I25" s="17">
        <v>20340</v>
      </c>
      <c r="J25" s="17" t="s">
        <v>54</v>
      </c>
      <c r="K25" s="17" t="s">
        <v>55</v>
      </c>
      <c r="L25" s="17" t="s">
        <v>20</v>
      </c>
      <c r="M25" s="17" t="s">
        <v>128</v>
      </c>
      <c r="N25" s="17" t="s">
        <v>20</v>
      </c>
      <c r="O25" s="17" t="s">
        <v>71</v>
      </c>
      <c r="P25" s="17" t="s">
        <v>20</v>
      </c>
      <c r="Q25" s="17" t="s">
        <v>72</v>
      </c>
      <c r="R25" s="17" t="s">
        <v>20</v>
      </c>
      <c r="S25" s="17" t="s">
        <v>1101</v>
      </c>
      <c r="T25" s="17">
        <v>0</v>
      </c>
      <c r="U25" s="18">
        <v>0</v>
      </c>
      <c r="X25" s="17" t="s">
        <v>60</v>
      </c>
      <c r="Y25" s="17" t="s">
        <v>124</v>
      </c>
      <c r="Z25" s="17" t="s">
        <v>118</v>
      </c>
      <c r="AA25" s="28">
        <v>782027.52638499998</v>
      </c>
      <c r="AB25" s="28">
        <v>2404792.97627</v>
      </c>
    </row>
    <row r="26" spans="1:28">
      <c r="A26" s="17">
        <v>25</v>
      </c>
      <c r="B26" s="17">
        <v>813230</v>
      </c>
      <c r="C26" s="17" t="s">
        <v>1044</v>
      </c>
      <c r="D26" s="17" t="s">
        <v>52</v>
      </c>
      <c r="E26" s="17" t="s">
        <v>1115</v>
      </c>
      <c r="F26" s="17" t="s">
        <v>1061</v>
      </c>
      <c r="G26" s="17" t="s">
        <v>1116</v>
      </c>
      <c r="H26" s="17" t="s">
        <v>109</v>
      </c>
      <c r="I26" s="17">
        <v>20340</v>
      </c>
      <c r="J26" s="17" t="s">
        <v>54</v>
      </c>
      <c r="K26" s="17" t="s">
        <v>55</v>
      </c>
      <c r="M26" s="17" t="s">
        <v>59</v>
      </c>
      <c r="N26" s="17" t="s">
        <v>20</v>
      </c>
      <c r="O26" s="17" t="s">
        <v>129</v>
      </c>
      <c r="P26" s="17" t="s">
        <v>20</v>
      </c>
      <c r="Q26" s="17" t="s">
        <v>130</v>
      </c>
      <c r="R26" s="17" t="s">
        <v>20</v>
      </c>
      <c r="S26" s="17" t="s">
        <v>59</v>
      </c>
      <c r="T26" s="17">
        <v>0</v>
      </c>
      <c r="U26" s="18">
        <v>0</v>
      </c>
      <c r="X26" s="17" t="s">
        <v>60</v>
      </c>
      <c r="Y26" s="17" t="s">
        <v>124</v>
      </c>
      <c r="Z26" s="17" t="s">
        <v>118</v>
      </c>
      <c r="AA26" s="28">
        <v>781977.74276599998</v>
      </c>
      <c r="AB26" s="28">
        <v>2405191.0963300001</v>
      </c>
    </row>
    <row r="27" spans="1:28">
      <c r="A27" s="17">
        <v>26</v>
      </c>
      <c r="B27" s="17">
        <v>624411</v>
      </c>
      <c r="C27" s="17" t="s">
        <v>1044</v>
      </c>
      <c r="D27" s="17" t="s">
        <v>52</v>
      </c>
      <c r="E27" s="17" t="s">
        <v>1117</v>
      </c>
      <c r="F27" s="17" t="s">
        <v>1046</v>
      </c>
      <c r="G27" s="17" t="s">
        <v>1118</v>
      </c>
      <c r="H27" s="17" t="s">
        <v>69</v>
      </c>
      <c r="I27" s="17">
        <v>20280</v>
      </c>
      <c r="J27" s="17" t="s">
        <v>54</v>
      </c>
      <c r="K27" s="17" t="s">
        <v>132</v>
      </c>
      <c r="L27" s="17" t="s">
        <v>56</v>
      </c>
      <c r="M27" s="17" t="s">
        <v>823</v>
      </c>
      <c r="N27" s="17" t="s">
        <v>20</v>
      </c>
      <c r="O27" s="17" t="s">
        <v>1119</v>
      </c>
      <c r="P27" s="17" t="s">
        <v>20</v>
      </c>
      <c r="Q27" s="17" t="s">
        <v>1120</v>
      </c>
      <c r="R27" s="17" t="s">
        <v>58</v>
      </c>
      <c r="S27" s="17" t="s">
        <v>1119</v>
      </c>
      <c r="T27" s="17">
        <v>93</v>
      </c>
      <c r="U27" s="18">
        <v>4499781807</v>
      </c>
      <c r="V27" s="17" t="s">
        <v>1121</v>
      </c>
      <c r="X27" s="17" t="s">
        <v>64</v>
      </c>
      <c r="Y27" s="17" t="s">
        <v>144</v>
      </c>
      <c r="Z27" s="17" t="s">
        <v>145</v>
      </c>
      <c r="AA27" s="28">
        <v>779577.75842800003</v>
      </c>
      <c r="AB27" s="28">
        <v>2419420.9142100001</v>
      </c>
    </row>
    <row r="28" spans="1:28">
      <c r="A28" s="17">
        <v>27</v>
      </c>
      <c r="B28" s="17">
        <v>624412</v>
      </c>
      <c r="C28" s="17" t="s">
        <v>1044</v>
      </c>
      <c r="D28" s="17" t="s">
        <v>1008</v>
      </c>
      <c r="E28" s="17" t="s">
        <v>1122</v>
      </c>
      <c r="F28" s="17" t="s">
        <v>1123</v>
      </c>
      <c r="H28" s="17" t="s">
        <v>104</v>
      </c>
      <c r="I28" s="17">
        <v>20280</v>
      </c>
      <c r="J28" s="17" t="s">
        <v>54</v>
      </c>
      <c r="K28" s="17" t="s">
        <v>63</v>
      </c>
      <c r="L28" s="17" t="s">
        <v>20</v>
      </c>
      <c r="M28" s="17" t="s">
        <v>167</v>
      </c>
      <c r="N28" s="17" t="s">
        <v>20</v>
      </c>
      <c r="O28" s="17" t="s">
        <v>91</v>
      </c>
      <c r="P28" s="17" t="s">
        <v>20</v>
      </c>
      <c r="Q28" s="17" t="s">
        <v>152</v>
      </c>
      <c r="R28" s="17" t="s">
        <v>58</v>
      </c>
      <c r="S28" s="17" t="s">
        <v>166</v>
      </c>
      <c r="T28" s="17">
        <v>153</v>
      </c>
      <c r="U28" s="18">
        <v>4499175982</v>
      </c>
      <c r="X28" s="17" t="s">
        <v>67</v>
      </c>
      <c r="Y28" s="17" t="s">
        <v>144</v>
      </c>
      <c r="Z28" s="17" t="s">
        <v>145</v>
      </c>
      <c r="AA28" s="28">
        <v>779342.83701000002</v>
      </c>
      <c r="AB28" s="28">
        <v>2419345.0433100001</v>
      </c>
    </row>
    <row r="29" spans="1:28">
      <c r="A29" s="17">
        <v>28</v>
      </c>
      <c r="B29" s="17">
        <v>624191</v>
      </c>
      <c r="C29" s="17" t="s">
        <v>1044</v>
      </c>
      <c r="D29" s="17" t="s">
        <v>52</v>
      </c>
      <c r="E29" s="17" t="s">
        <v>1124</v>
      </c>
      <c r="F29" s="17" t="s">
        <v>1064</v>
      </c>
      <c r="H29" s="17" t="s">
        <v>69</v>
      </c>
      <c r="I29" s="17">
        <v>20287</v>
      </c>
      <c r="J29" s="17" t="s">
        <v>54</v>
      </c>
      <c r="K29" s="17" t="s">
        <v>55</v>
      </c>
      <c r="L29" s="17" t="s">
        <v>20</v>
      </c>
      <c r="M29" s="17" t="s">
        <v>155</v>
      </c>
      <c r="N29" s="17" t="s">
        <v>56</v>
      </c>
      <c r="O29" s="17" t="s">
        <v>154</v>
      </c>
      <c r="P29" s="17" t="s">
        <v>20</v>
      </c>
      <c r="Q29" s="17" t="s">
        <v>164</v>
      </c>
      <c r="R29" s="17" t="s">
        <v>20</v>
      </c>
      <c r="S29" s="17" t="s">
        <v>174</v>
      </c>
      <c r="T29" s="17">
        <v>436</v>
      </c>
      <c r="U29" s="18">
        <v>4491256050</v>
      </c>
      <c r="X29" s="17" t="s">
        <v>64</v>
      </c>
      <c r="Y29" s="17" t="s">
        <v>144</v>
      </c>
      <c r="Z29" s="17" t="s">
        <v>145</v>
      </c>
      <c r="AA29" s="28">
        <v>778328.99054699996</v>
      </c>
      <c r="AB29" s="28">
        <v>2418994.07437</v>
      </c>
    </row>
    <row r="30" spans="1:28">
      <c r="A30" s="17">
        <v>29</v>
      </c>
      <c r="B30" s="17">
        <v>624191</v>
      </c>
      <c r="C30" s="17" t="s">
        <v>1044</v>
      </c>
      <c r="D30" s="17" t="s">
        <v>52</v>
      </c>
      <c r="E30" s="17" t="s">
        <v>1125</v>
      </c>
      <c r="F30" s="17" t="s">
        <v>1064</v>
      </c>
      <c r="G30" s="17" t="s">
        <v>1126</v>
      </c>
      <c r="H30" s="17" t="s">
        <v>69</v>
      </c>
      <c r="I30" s="17">
        <v>20289</v>
      </c>
      <c r="J30" s="17" t="s">
        <v>54</v>
      </c>
      <c r="K30" s="17" t="s">
        <v>63</v>
      </c>
      <c r="L30" s="17" t="s">
        <v>20</v>
      </c>
      <c r="M30" s="17" t="s">
        <v>158</v>
      </c>
      <c r="N30" s="17" t="s">
        <v>20</v>
      </c>
      <c r="O30" s="17" t="s">
        <v>169</v>
      </c>
      <c r="P30" s="17" t="s">
        <v>20</v>
      </c>
      <c r="Q30" s="17" t="s">
        <v>157</v>
      </c>
      <c r="R30" s="17" t="s">
        <v>56</v>
      </c>
      <c r="S30" s="17" t="s">
        <v>168</v>
      </c>
      <c r="T30" s="17">
        <v>130</v>
      </c>
      <c r="U30" s="18">
        <v>0</v>
      </c>
      <c r="X30" s="17" t="s">
        <v>67</v>
      </c>
      <c r="Y30" s="17" t="s">
        <v>144</v>
      </c>
      <c r="Z30" s="17" t="s">
        <v>145</v>
      </c>
      <c r="AA30" s="28">
        <v>779462.40946999996</v>
      </c>
      <c r="AB30" s="28">
        <v>2418912.3678299999</v>
      </c>
    </row>
    <row r="31" spans="1:28">
      <c r="A31" s="17">
        <v>30</v>
      </c>
      <c r="B31" s="17">
        <v>813230</v>
      </c>
      <c r="C31" s="17" t="s">
        <v>1044</v>
      </c>
      <c r="D31" s="17" t="s">
        <v>52</v>
      </c>
      <c r="E31" s="17" t="s">
        <v>1127</v>
      </c>
      <c r="F31" s="17" t="s">
        <v>1061</v>
      </c>
      <c r="G31" s="17" t="s">
        <v>1128</v>
      </c>
      <c r="H31" s="17" t="s">
        <v>69</v>
      </c>
      <c r="I31" s="17">
        <v>20280</v>
      </c>
      <c r="J31" s="17" t="s">
        <v>54</v>
      </c>
      <c r="K31" s="17" t="s">
        <v>63</v>
      </c>
      <c r="L31" s="17" t="s">
        <v>142</v>
      </c>
      <c r="M31" s="17" t="s">
        <v>143</v>
      </c>
      <c r="N31" s="17" t="s">
        <v>20</v>
      </c>
      <c r="O31" s="17" t="s">
        <v>151</v>
      </c>
      <c r="P31" s="17" t="s">
        <v>20</v>
      </c>
      <c r="Q31" s="17" t="s">
        <v>146</v>
      </c>
      <c r="R31" s="17" t="s">
        <v>20</v>
      </c>
      <c r="S31" s="17" t="s">
        <v>159</v>
      </c>
      <c r="T31" s="17">
        <v>611</v>
      </c>
      <c r="U31" s="18">
        <v>4498050726</v>
      </c>
      <c r="X31" s="17" t="s">
        <v>60</v>
      </c>
      <c r="Y31" s="17" t="s">
        <v>144</v>
      </c>
      <c r="Z31" s="17" t="s">
        <v>145</v>
      </c>
      <c r="AA31" s="28">
        <v>778961.61871299997</v>
      </c>
      <c r="AB31" s="28">
        <v>2419189.13797</v>
      </c>
    </row>
    <row r="32" spans="1:28">
      <c r="A32" s="17">
        <v>31</v>
      </c>
      <c r="B32" s="17">
        <v>624198</v>
      </c>
      <c r="C32" s="17" t="s">
        <v>1044</v>
      </c>
      <c r="D32" s="17" t="s">
        <v>52</v>
      </c>
      <c r="E32" s="17" t="s">
        <v>1129</v>
      </c>
      <c r="F32" s="17" t="s">
        <v>1130</v>
      </c>
      <c r="H32" s="17" t="s">
        <v>104</v>
      </c>
      <c r="I32" s="17">
        <v>20206</v>
      </c>
      <c r="J32" s="17" t="s">
        <v>54</v>
      </c>
      <c r="K32" s="17" t="s">
        <v>78</v>
      </c>
      <c r="L32" s="17" t="s">
        <v>20</v>
      </c>
      <c r="M32" s="17" t="s">
        <v>200</v>
      </c>
      <c r="N32" s="17" t="s">
        <v>20</v>
      </c>
      <c r="O32" s="17" t="s">
        <v>184</v>
      </c>
      <c r="P32" s="17" t="s">
        <v>20</v>
      </c>
      <c r="Q32" s="17" t="s">
        <v>185</v>
      </c>
      <c r="R32" s="17" t="s">
        <v>20</v>
      </c>
      <c r="S32" s="17" t="s">
        <v>188</v>
      </c>
      <c r="T32" s="17">
        <v>323</v>
      </c>
      <c r="U32" s="18">
        <v>0</v>
      </c>
      <c r="X32" s="17" t="s">
        <v>64</v>
      </c>
      <c r="Y32" s="17" t="s">
        <v>177</v>
      </c>
      <c r="Z32" s="17" t="s">
        <v>145</v>
      </c>
      <c r="AA32" s="28">
        <v>776982.15598100005</v>
      </c>
      <c r="AB32" s="28">
        <v>2418795.0634300001</v>
      </c>
    </row>
    <row r="33" spans="1:28">
      <c r="A33" s="17">
        <v>32</v>
      </c>
      <c r="B33" s="17">
        <v>624311</v>
      </c>
      <c r="C33" s="17" t="s">
        <v>1044</v>
      </c>
      <c r="D33" s="17" t="s">
        <v>52</v>
      </c>
      <c r="E33" s="17" t="s">
        <v>1131</v>
      </c>
      <c r="F33" s="17" t="s">
        <v>1132</v>
      </c>
      <c r="G33" s="17" t="s">
        <v>1133</v>
      </c>
      <c r="H33" s="17" t="s">
        <v>104</v>
      </c>
      <c r="I33" s="17">
        <v>20206</v>
      </c>
      <c r="J33" s="17" t="s">
        <v>54</v>
      </c>
      <c r="K33" s="17" t="s">
        <v>55</v>
      </c>
      <c r="L33" s="17" t="s">
        <v>20</v>
      </c>
      <c r="M33" s="17" t="s">
        <v>201</v>
      </c>
      <c r="N33" s="17" t="s">
        <v>20</v>
      </c>
      <c r="O33" s="17" t="s">
        <v>184</v>
      </c>
      <c r="P33" s="17" t="s">
        <v>20</v>
      </c>
      <c r="Q33" s="17" t="s">
        <v>185</v>
      </c>
      <c r="R33" s="17" t="s">
        <v>20</v>
      </c>
      <c r="S33" s="17" t="s">
        <v>200</v>
      </c>
      <c r="T33" s="17">
        <v>317</v>
      </c>
      <c r="U33" s="18">
        <v>0</v>
      </c>
      <c r="X33" s="17" t="s">
        <v>60</v>
      </c>
      <c r="Y33" s="17" t="s">
        <v>177</v>
      </c>
      <c r="Z33" s="17" t="s">
        <v>145</v>
      </c>
      <c r="AA33" s="28">
        <v>777039.55475400004</v>
      </c>
      <c r="AB33" s="28">
        <v>2418803.1373800002</v>
      </c>
    </row>
    <row r="34" spans="1:28">
      <c r="A34" s="17">
        <v>33</v>
      </c>
      <c r="B34" s="17">
        <v>624411</v>
      </c>
      <c r="C34" s="17" t="s">
        <v>1044</v>
      </c>
      <c r="D34" s="17" t="s">
        <v>52</v>
      </c>
      <c r="E34" s="17" t="s">
        <v>1134</v>
      </c>
      <c r="F34" s="17" t="s">
        <v>1046</v>
      </c>
      <c r="H34" s="17" t="s">
        <v>69</v>
      </c>
      <c r="I34" s="17">
        <v>20287</v>
      </c>
      <c r="J34" s="17" t="s">
        <v>54</v>
      </c>
      <c r="K34" s="17" t="s">
        <v>63</v>
      </c>
      <c r="L34" s="17" t="s">
        <v>20</v>
      </c>
      <c r="M34" s="17" t="s">
        <v>173</v>
      </c>
      <c r="N34" s="17" t="s">
        <v>20</v>
      </c>
      <c r="O34" s="17" t="s">
        <v>178</v>
      </c>
      <c r="P34" s="17" t="s">
        <v>20</v>
      </c>
      <c r="Q34" s="17" t="s">
        <v>195</v>
      </c>
      <c r="R34" s="17" t="s">
        <v>20</v>
      </c>
      <c r="S34" s="17" t="s">
        <v>149</v>
      </c>
      <c r="T34" s="17">
        <v>302</v>
      </c>
      <c r="U34" s="18">
        <v>4499131653</v>
      </c>
      <c r="X34" s="17" t="s">
        <v>64</v>
      </c>
      <c r="Y34" s="17" t="s">
        <v>177</v>
      </c>
      <c r="Z34" s="17" t="s">
        <v>145</v>
      </c>
      <c r="AA34" s="28">
        <v>777658.96354400006</v>
      </c>
      <c r="AB34" s="28">
        <v>2418734.1236299998</v>
      </c>
    </row>
    <row r="35" spans="1:28">
      <c r="A35" s="17">
        <v>34</v>
      </c>
      <c r="B35" s="17">
        <v>624411</v>
      </c>
      <c r="C35" s="17" t="s">
        <v>1044</v>
      </c>
      <c r="D35" s="17" t="s">
        <v>52</v>
      </c>
      <c r="E35" s="17" t="s">
        <v>1135</v>
      </c>
      <c r="F35" s="17" t="s">
        <v>1046</v>
      </c>
      <c r="G35" s="17" t="s">
        <v>1136</v>
      </c>
      <c r="H35" s="17" t="s">
        <v>69</v>
      </c>
      <c r="I35" s="17">
        <v>20280</v>
      </c>
      <c r="J35" s="17" t="s">
        <v>54</v>
      </c>
      <c r="K35" s="17" t="s">
        <v>55</v>
      </c>
      <c r="L35" s="17" t="s">
        <v>20</v>
      </c>
      <c r="M35" s="17" t="s">
        <v>181</v>
      </c>
      <c r="N35" s="17" t="s">
        <v>20</v>
      </c>
      <c r="O35" s="17" t="s">
        <v>182</v>
      </c>
      <c r="P35" s="17" t="s">
        <v>20</v>
      </c>
      <c r="Q35" s="17" t="s">
        <v>180</v>
      </c>
      <c r="R35" s="17" t="s">
        <v>56</v>
      </c>
      <c r="S35" s="17" t="s">
        <v>168</v>
      </c>
      <c r="T35" s="17">
        <v>310</v>
      </c>
      <c r="U35" s="18">
        <v>0</v>
      </c>
      <c r="X35" s="17" t="s">
        <v>60</v>
      </c>
      <c r="Y35" s="17" t="s">
        <v>177</v>
      </c>
      <c r="Z35" s="17" t="s">
        <v>145</v>
      </c>
      <c r="AA35" s="28">
        <v>779585.02060699998</v>
      </c>
      <c r="AB35" s="28">
        <v>2417935.3054399998</v>
      </c>
    </row>
    <row r="36" spans="1:28">
      <c r="A36" s="17">
        <v>35</v>
      </c>
      <c r="B36" s="17">
        <v>624411</v>
      </c>
      <c r="C36" s="17" t="s">
        <v>1044</v>
      </c>
      <c r="D36" s="17" t="s">
        <v>52</v>
      </c>
      <c r="E36" s="17" t="s">
        <v>1137</v>
      </c>
      <c r="F36" s="17" t="s">
        <v>1046</v>
      </c>
      <c r="H36" s="17" t="s">
        <v>104</v>
      </c>
      <c r="I36" s="17">
        <v>20206</v>
      </c>
      <c r="J36" s="17" t="s">
        <v>54</v>
      </c>
      <c r="K36" s="17" t="s">
        <v>55</v>
      </c>
      <c r="L36" s="17" t="s">
        <v>20</v>
      </c>
      <c r="M36" s="17" t="s">
        <v>209</v>
      </c>
      <c r="N36" s="17" t="s">
        <v>20</v>
      </c>
      <c r="O36" s="17" t="s">
        <v>184</v>
      </c>
      <c r="P36" s="17" t="s">
        <v>20</v>
      </c>
      <c r="Q36" s="17" t="s">
        <v>185</v>
      </c>
      <c r="R36" s="17" t="s">
        <v>20</v>
      </c>
      <c r="S36" s="17" t="s">
        <v>187</v>
      </c>
      <c r="T36" s="17">
        <v>363</v>
      </c>
      <c r="U36" s="18">
        <v>4491039487</v>
      </c>
      <c r="V36" s="17" t="s">
        <v>1138</v>
      </c>
      <c r="X36" s="17" t="s">
        <v>60</v>
      </c>
      <c r="Y36" s="17" t="s">
        <v>177</v>
      </c>
      <c r="Z36" s="17" t="s">
        <v>145</v>
      </c>
      <c r="AA36" s="28">
        <v>776887.280226</v>
      </c>
      <c r="AB36" s="28">
        <v>2418687.6800199999</v>
      </c>
    </row>
    <row r="37" spans="1:28">
      <c r="A37" s="17">
        <v>36</v>
      </c>
      <c r="B37" s="17">
        <v>624411</v>
      </c>
      <c r="C37" s="17" t="s">
        <v>1044</v>
      </c>
      <c r="D37" s="17" t="s">
        <v>52</v>
      </c>
      <c r="E37" s="17" t="s">
        <v>1139</v>
      </c>
      <c r="F37" s="17" t="s">
        <v>1046</v>
      </c>
      <c r="H37" s="17" t="s">
        <v>104</v>
      </c>
      <c r="I37" s="17">
        <v>20206</v>
      </c>
      <c r="J37" s="17" t="s">
        <v>54</v>
      </c>
      <c r="K37" s="17" t="s">
        <v>55</v>
      </c>
      <c r="L37" s="17" t="s">
        <v>20</v>
      </c>
      <c r="M37" s="17" t="s">
        <v>200</v>
      </c>
      <c r="N37" s="17" t="s">
        <v>20</v>
      </c>
      <c r="O37" s="17" t="s">
        <v>184</v>
      </c>
      <c r="P37" s="17" t="s">
        <v>20</v>
      </c>
      <c r="Q37" s="17" t="s">
        <v>185</v>
      </c>
      <c r="R37" s="17" t="s">
        <v>20</v>
      </c>
      <c r="S37" s="17" t="s">
        <v>188</v>
      </c>
      <c r="T37" s="17">
        <v>355</v>
      </c>
      <c r="U37" s="18">
        <v>0</v>
      </c>
      <c r="V37" s="17" t="s">
        <v>1140</v>
      </c>
      <c r="X37" s="17" t="s">
        <v>60</v>
      </c>
      <c r="Y37" s="17" t="s">
        <v>177</v>
      </c>
      <c r="Z37" s="17" t="s">
        <v>145</v>
      </c>
      <c r="AA37" s="28">
        <v>776944.35385900002</v>
      </c>
      <c r="AB37" s="28">
        <v>2418688.6098000002</v>
      </c>
    </row>
    <row r="38" spans="1:28">
      <c r="A38" s="17">
        <v>37</v>
      </c>
      <c r="B38" s="17">
        <v>624411</v>
      </c>
      <c r="C38" s="17" t="s">
        <v>1044</v>
      </c>
      <c r="D38" s="17" t="s">
        <v>52</v>
      </c>
      <c r="E38" s="17" t="s">
        <v>1141</v>
      </c>
      <c r="F38" s="17" t="s">
        <v>1046</v>
      </c>
      <c r="H38" s="17" t="s">
        <v>104</v>
      </c>
      <c r="I38" s="17">
        <v>20284</v>
      </c>
      <c r="J38" s="17" t="s">
        <v>54</v>
      </c>
      <c r="K38" s="17" t="s">
        <v>55</v>
      </c>
      <c r="L38" s="17" t="s">
        <v>20</v>
      </c>
      <c r="M38" s="17" t="s">
        <v>1142</v>
      </c>
      <c r="N38" s="17" t="s">
        <v>58</v>
      </c>
      <c r="O38" s="17" t="s">
        <v>191</v>
      </c>
      <c r="P38" s="17" t="s">
        <v>20</v>
      </c>
      <c r="Q38" s="17" t="s">
        <v>160</v>
      </c>
      <c r="R38" s="17" t="s">
        <v>20</v>
      </c>
      <c r="S38" s="17" t="s">
        <v>205</v>
      </c>
      <c r="T38" s="17">
        <v>121</v>
      </c>
      <c r="U38" s="18">
        <v>4499717529</v>
      </c>
      <c r="X38" s="17" t="s">
        <v>67</v>
      </c>
      <c r="Y38" s="17" t="s">
        <v>177</v>
      </c>
      <c r="Z38" s="17" t="s">
        <v>145</v>
      </c>
      <c r="AA38" s="28">
        <v>779136.13318700006</v>
      </c>
      <c r="AB38" s="28">
        <v>2417508.2837999999</v>
      </c>
    </row>
    <row r="39" spans="1:28">
      <c r="A39" s="17">
        <v>38</v>
      </c>
      <c r="B39" s="17">
        <v>812321</v>
      </c>
      <c r="C39" s="17" t="s">
        <v>1044</v>
      </c>
      <c r="D39" s="17" t="s">
        <v>52</v>
      </c>
      <c r="E39" s="17" t="s">
        <v>1143</v>
      </c>
      <c r="F39" s="17" t="s">
        <v>1144</v>
      </c>
      <c r="G39" s="17" t="s">
        <v>1145</v>
      </c>
      <c r="H39" s="17" t="s">
        <v>69</v>
      </c>
      <c r="I39" s="17">
        <v>20286</v>
      </c>
      <c r="J39" s="17" t="s">
        <v>54</v>
      </c>
      <c r="K39" s="17" t="s">
        <v>78</v>
      </c>
      <c r="L39" s="17" t="s">
        <v>56</v>
      </c>
      <c r="M39" s="17" t="s">
        <v>192</v>
      </c>
      <c r="N39" s="17" t="s">
        <v>20</v>
      </c>
      <c r="O39" s="17" t="s">
        <v>59</v>
      </c>
      <c r="P39" s="17" t="s">
        <v>58</v>
      </c>
      <c r="Q39" s="17" t="s">
        <v>59</v>
      </c>
      <c r="R39" s="17" t="s">
        <v>58</v>
      </c>
      <c r="S39" s="17" t="s">
        <v>59</v>
      </c>
      <c r="T39" s="17">
        <v>3306</v>
      </c>
      <c r="U39" s="18">
        <v>0</v>
      </c>
      <c r="V39" s="17" t="s">
        <v>1146</v>
      </c>
      <c r="W39" s="17" t="s">
        <v>1147</v>
      </c>
      <c r="X39" s="17" t="s">
        <v>67</v>
      </c>
      <c r="Y39" s="17" t="s">
        <v>177</v>
      </c>
      <c r="Z39" s="17" t="s">
        <v>145</v>
      </c>
      <c r="AA39" s="28">
        <v>777738.36416</v>
      </c>
      <c r="AB39" s="28">
        <v>2417952.02519</v>
      </c>
    </row>
    <row r="40" spans="1:28">
      <c r="A40" s="17">
        <v>39</v>
      </c>
      <c r="B40" s="17">
        <v>624112</v>
      </c>
      <c r="C40" s="17" t="s">
        <v>1044</v>
      </c>
      <c r="D40" s="17" t="s">
        <v>1008</v>
      </c>
      <c r="E40" s="17" t="s">
        <v>1148</v>
      </c>
      <c r="F40" s="17" t="s">
        <v>1149</v>
      </c>
      <c r="G40" s="17" t="s">
        <v>1035</v>
      </c>
      <c r="H40" s="17" t="s">
        <v>69</v>
      </c>
      <c r="I40" s="17">
        <v>20287</v>
      </c>
      <c r="J40" s="17" t="s">
        <v>54</v>
      </c>
      <c r="K40" s="17" t="s">
        <v>88</v>
      </c>
      <c r="L40" s="17" t="s">
        <v>20</v>
      </c>
      <c r="M40" s="17" t="s">
        <v>175</v>
      </c>
      <c r="N40" s="17" t="s">
        <v>56</v>
      </c>
      <c r="O40" s="17" t="s">
        <v>153</v>
      </c>
      <c r="P40" s="17" t="s">
        <v>20</v>
      </c>
      <c r="Q40" s="17" t="s">
        <v>218</v>
      </c>
      <c r="R40" s="17" t="s">
        <v>58</v>
      </c>
      <c r="S40" s="17" t="s">
        <v>1150</v>
      </c>
      <c r="T40" s="17">
        <v>0</v>
      </c>
      <c r="U40" s="18">
        <v>0</v>
      </c>
      <c r="V40" s="17" t="s">
        <v>1151</v>
      </c>
      <c r="X40" s="17" t="s">
        <v>64</v>
      </c>
      <c r="Y40" s="17" t="s">
        <v>177</v>
      </c>
      <c r="Z40" s="17" t="s">
        <v>145</v>
      </c>
      <c r="AA40" s="28">
        <v>778064.22750000004</v>
      </c>
      <c r="AB40" s="28">
        <v>2418750.71906</v>
      </c>
    </row>
    <row r="41" spans="1:28">
      <c r="A41" s="17">
        <v>40</v>
      </c>
      <c r="B41" s="17">
        <v>624122</v>
      </c>
      <c r="C41" s="17" t="s">
        <v>1044</v>
      </c>
      <c r="D41" s="17" t="s">
        <v>1008</v>
      </c>
      <c r="E41" s="17" t="s">
        <v>1152</v>
      </c>
      <c r="F41" s="17" t="s">
        <v>1153</v>
      </c>
      <c r="G41" s="17" t="s">
        <v>1031</v>
      </c>
      <c r="H41" s="17" t="s">
        <v>104</v>
      </c>
      <c r="I41" s="17">
        <v>20286</v>
      </c>
      <c r="J41" s="17" t="s">
        <v>54</v>
      </c>
      <c r="K41" s="17" t="s">
        <v>55</v>
      </c>
      <c r="L41" s="17" t="s">
        <v>20</v>
      </c>
      <c r="M41" s="17" t="s">
        <v>66</v>
      </c>
      <c r="N41" s="17" t="s">
        <v>20</v>
      </c>
      <c r="O41" s="17" t="s">
        <v>190</v>
      </c>
      <c r="P41" s="17" t="s">
        <v>56</v>
      </c>
      <c r="Q41" s="17" t="s">
        <v>70</v>
      </c>
      <c r="R41" s="17" t="s">
        <v>20</v>
      </c>
      <c r="S41" s="17" t="s">
        <v>1154</v>
      </c>
      <c r="T41" s="17">
        <v>0</v>
      </c>
      <c r="U41" s="18">
        <v>0</v>
      </c>
      <c r="X41" s="17" t="s">
        <v>64</v>
      </c>
      <c r="Y41" s="17" t="s">
        <v>177</v>
      </c>
      <c r="Z41" s="17" t="s">
        <v>145</v>
      </c>
      <c r="AA41" s="28">
        <v>777568.36016299995</v>
      </c>
      <c r="AB41" s="28">
        <v>2418234.0941099999</v>
      </c>
    </row>
    <row r="42" spans="1:28">
      <c r="A42" s="17">
        <v>41</v>
      </c>
      <c r="B42" s="17">
        <v>624199</v>
      </c>
      <c r="C42" s="17" t="s">
        <v>1044</v>
      </c>
      <c r="D42" s="17" t="s">
        <v>1008</v>
      </c>
      <c r="E42" s="17" t="s">
        <v>1155</v>
      </c>
      <c r="F42" s="17" t="s">
        <v>1156</v>
      </c>
      <c r="G42" s="17" t="s">
        <v>1029</v>
      </c>
      <c r="H42" s="17" t="s">
        <v>69</v>
      </c>
      <c r="I42" s="17">
        <v>20287</v>
      </c>
      <c r="J42" s="17" t="s">
        <v>54</v>
      </c>
      <c r="K42" s="17" t="s">
        <v>55</v>
      </c>
      <c r="L42" s="17" t="s">
        <v>56</v>
      </c>
      <c r="M42" s="17" t="s">
        <v>153</v>
      </c>
      <c r="N42" s="17" t="s">
        <v>20</v>
      </c>
      <c r="O42" s="17" t="s">
        <v>1157</v>
      </c>
      <c r="P42" s="17" t="s">
        <v>20</v>
      </c>
      <c r="Q42" s="17" t="s">
        <v>175</v>
      </c>
      <c r="R42" s="17" t="s">
        <v>20</v>
      </c>
      <c r="S42" s="17" t="s">
        <v>218</v>
      </c>
      <c r="T42" s="17">
        <v>1203</v>
      </c>
      <c r="U42" s="18">
        <v>0</v>
      </c>
      <c r="X42" s="17" t="s">
        <v>60</v>
      </c>
      <c r="Y42" s="17" t="s">
        <v>177</v>
      </c>
      <c r="Z42" s="17" t="s">
        <v>145</v>
      </c>
      <c r="AA42" s="28">
        <v>778113.22334899998</v>
      </c>
      <c r="AB42" s="28">
        <v>2418797.6096100002</v>
      </c>
    </row>
    <row r="43" spans="1:28">
      <c r="A43" s="17">
        <v>42</v>
      </c>
      <c r="B43" s="17">
        <v>624199</v>
      </c>
      <c r="C43" s="17" t="s">
        <v>1044</v>
      </c>
      <c r="D43" s="17" t="s">
        <v>1008</v>
      </c>
      <c r="E43" s="17" t="s">
        <v>1158</v>
      </c>
      <c r="F43" s="17" t="s">
        <v>1156</v>
      </c>
      <c r="G43" s="17" t="s">
        <v>508</v>
      </c>
      <c r="H43" s="17" t="s">
        <v>69</v>
      </c>
      <c r="I43" s="17">
        <v>20287</v>
      </c>
      <c r="J43" s="17" t="s">
        <v>54</v>
      </c>
      <c r="K43" s="17" t="s">
        <v>63</v>
      </c>
      <c r="L43" s="17" t="s">
        <v>20</v>
      </c>
      <c r="M43" s="17" t="s">
        <v>155</v>
      </c>
      <c r="N43" s="17" t="s">
        <v>20</v>
      </c>
      <c r="O43" s="17" t="s">
        <v>178</v>
      </c>
      <c r="P43" s="17" t="s">
        <v>56</v>
      </c>
      <c r="Q43" s="17" t="s">
        <v>153</v>
      </c>
      <c r="R43" s="17" t="s">
        <v>56</v>
      </c>
      <c r="S43" s="17" t="s">
        <v>153</v>
      </c>
      <c r="T43" s="17">
        <v>1602</v>
      </c>
      <c r="U43" s="18">
        <v>4499782846</v>
      </c>
      <c r="V43" s="17" t="s">
        <v>1159</v>
      </c>
      <c r="X43" s="17" t="s">
        <v>67</v>
      </c>
      <c r="Y43" s="17" t="s">
        <v>177</v>
      </c>
      <c r="Z43" s="17" t="s">
        <v>145</v>
      </c>
      <c r="AA43" s="28">
        <v>778250.52338799997</v>
      </c>
      <c r="AB43" s="28">
        <v>2418612.87579</v>
      </c>
    </row>
    <row r="44" spans="1:28">
      <c r="A44" s="17">
        <v>43</v>
      </c>
      <c r="B44" s="17">
        <v>624412</v>
      </c>
      <c r="C44" s="17" t="s">
        <v>1044</v>
      </c>
      <c r="D44" s="17" t="s">
        <v>1008</v>
      </c>
      <c r="E44" s="17" t="s">
        <v>1160</v>
      </c>
      <c r="F44" s="17" t="s">
        <v>1123</v>
      </c>
      <c r="H44" s="17" t="s">
        <v>69</v>
      </c>
      <c r="I44" s="17">
        <v>20286</v>
      </c>
      <c r="J44" s="17" t="s">
        <v>54</v>
      </c>
      <c r="K44" s="17" t="s">
        <v>63</v>
      </c>
      <c r="L44" s="17" t="s">
        <v>56</v>
      </c>
      <c r="M44" s="17" t="s">
        <v>70</v>
      </c>
      <c r="N44" s="17" t="s">
        <v>56</v>
      </c>
      <c r="O44" s="17" t="s">
        <v>193</v>
      </c>
      <c r="P44" s="17" t="s">
        <v>20</v>
      </c>
      <c r="Q44" s="17" t="s">
        <v>106</v>
      </c>
      <c r="R44" s="17" t="s">
        <v>20</v>
      </c>
      <c r="S44" s="17" t="s">
        <v>183</v>
      </c>
      <c r="T44" s="17">
        <v>148</v>
      </c>
      <c r="U44" s="18">
        <v>0</v>
      </c>
      <c r="V44" s="17" t="s">
        <v>1161</v>
      </c>
      <c r="X44" s="17" t="s">
        <v>64</v>
      </c>
      <c r="Y44" s="17" t="s">
        <v>177</v>
      </c>
      <c r="Z44" s="17" t="s">
        <v>145</v>
      </c>
      <c r="AA44" s="28">
        <v>777271.47820500005</v>
      </c>
      <c r="AB44" s="28">
        <v>2418431.7653000001</v>
      </c>
    </row>
    <row r="45" spans="1:28">
      <c r="A45" s="17">
        <v>44</v>
      </c>
      <c r="B45" s="17">
        <v>812322</v>
      </c>
      <c r="C45" s="17" t="s">
        <v>1044</v>
      </c>
      <c r="D45" s="17" t="s">
        <v>1008</v>
      </c>
      <c r="E45" s="17" t="s">
        <v>1162</v>
      </c>
      <c r="F45" s="17" t="s">
        <v>1054</v>
      </c>
      <c r="G45" s="17" t="s">
        <v>1163</v>
      </c>
      <c r="H45" s="17" t="s">
        <v>69</v>
      </c>
      <c r="I45" s="17">
        <v>20286</v>
      </c>
      <c r="J45" s="17" t="s">
        <v>54</v>
      </c>
      <c r="K45" s="17" t="s">
        <v>55</v>
      </c>
      <c r="L45" s="17" t="s">
        <v>56</v>
      </c>
      <c r="M45" s="17" t="s">
        <v>192</v>
      </c>
      <c r="N45" s="17" t="s">
        <v>20</v>
      </c>
      <c r="O45" s="17" t="s">
        <v>59</v>
      </c>
      <c r="P45" s="17" t="s">
        <v>58</v>
      </c>
      <c r="Q45" s="17" t="s">
        <v>59</v>
      </c>
      <c r="R45" s="17" t="s">
        <v>58</v>
      </c>
      <c r="S45" s="17" t="s">
        <v>59</v>
      </c>
      <c r="T45" s="17">
        <v>3306</v>
      </c>
      <c r="U45" s="18">
        <v>0</v>
      </c>
      <c r="X45" s="17" t="s">
        <v>60</v>
      </c>
      <c r="Y45" s="17" t="s">
        <v>177</v>
      </c>
      <c r="Z45" s="17" t="s">
        <v>145</v>
      </c>
      <c r="AA45" s="28">
        <v>777688.46947799996</v>
      </c>
      <c r="AB45" s="28">
        <v>2417936.8998500002</v>
      </c>
    </row>
    <row r="46" spans="1:28">
      <c r="A46" s="17">
        <v>45</v>
      </c>
      <c r="B46" s="17">
        <v>624191</v>
      </c>
      <c r="C46" s="17" t="s">
        <v>1044</v>
      </c>
      <c r="D46" s="17" t="s">
        <v>52</v>
      </c>
      <c r="E46" s="17" t="s">
        <v>1164</v>
      </c>
      <c r="F46" s="17" t="s">
        <v>1064</v>
      </c>
      <c r="H46" s="17" t="s">
        <v>69</v>
      </c>
      <c r="I46" s="17">
        <v>20280</v>
      </c>
      <c r="J46" s="17" t="s">
        <v>54</v>
      </c>
      <c r="K46" s="17" t="s">
        <v>55</v>
      </c>
      <c r="L46" s="17" t="s">
        <v>20</v>
      </c>
      <c r="M46" s="17" t="s">
        <v>214</v>
      </c>
      <c r="N46" s="17" t="s">
        <v>56</v>
      </c>
      <c r="O46" s="17" t="s">
        <v>168</v>
      </c>
      <c r="P46" s="17" t="s">
        <v>20</v>
      </c>
      <c r="Q46" s="17" t="s">
        <v>181</v>
      </c>
      <c r="R46" s="17" t="s">
        <v>56</v>
      </c>
      <c r="S46" s="17" t="s">
        <v>192</v>
      </c>
      <c r="T46" s="17">
        <v>105</v>
      </c>
      <c r="U46" s="18">
        <v>0</v>
      </c>
      <c r="X46" s="17" t="s">
        <v>60</v>
      </c>
      <c r="Y46" s="17" t="s">
        <v>177</v>
      </c>
      <c r="Z46" s="17" t="s">
        <v>145</v>
      </c>
      <c r="AA46" s="28">
        <v>779659.52768699999</v>
      </c>
      <c r="AB46" s="28">
        <v>2418050.4129599999</v>
      </c>
    </row>
    <row r="47" spans="1:28">
      <c r="A47" s="17">
        <v>46</v>
      </c>
      <c r="B47" s="17">
        <v>624191</v>
      </c>
      <c r="C47" s="17" t="s">
        <v>1044</v>
      </c>
      <c r="D47" s="17" t="s">
        <v>52</v>
      </c>
      <c r="E47" s="17" t="s">
        <v>1165</v>
      </c>
      <c r="F47" s="17" t="s">
        <v>1064</v>
      </c>
      <c r="G47" s="17" t="s">
        <v>1166</v>
      </c>
      <c r="H47" s="17" t="s">
        <v>69</v>
      </c>
      <c r="I47" s="17">
        <v>20286</v>
      </c>
      <c r="J47" s="17" t="s">
        <v>54</v>
      </c>
      <c r="K47" s="17" t="s">
        <v>78</v>
      </c>
      <c r="L47" s="17" t="s">
        <v>20</v>
      </c>
      <c r="M47" s="17" t="s">
        <v>183</v>
      </c>
      <c r="N47" s="17" t="s">
        <v>20</v>
      </c>
      <c r="O47" s="17" t="s">
        <v>197</v>
      </c>
      <c r="P47" s="17" t="s">
        <v>20</v>
      </c>
      <c r="Q47" s="17" t="s">
        <v>215</v>
      </c>
      <c r="R47" s="17" t="s">
        <v>56</v>
      </c>
      <c r="S47" s="17" t="s">
        <v>210</v>
      </c>
      <c r="T47" s="17">
        <v>515</v>
      </c>
      <c r="U47" s="18">
        <v>4491989193</v>
      </c>
      <c r="X47" s="17" t="s">
        <v>67</v>
      </c>
      <c r="Y47" s="17" t="s">
        <v>177</v>
      </c>
      <c r="Z47" s="17" t="s">
        <v>145</v>
      </c>
      <c r="AA47" s="28">
        <v>777999.65665999998</v>
      </c>
      <c r="AB47" s="28">
        <v>2418307.0714099999</v>
      </c>
    </row>
    <row r="48" spans="1:28">
      <c r="A48" s="17">
        <v>47</v>
      </c>
      <c r="B48" s="17">
        <v>624191</v>
      </c>
      <c r="C48" s="17" t="s">
        <v>1044</v>
      </c>
      <c r="D48" s="17" t="s">
        <v>52</v>
      </c>
      <c r="E48" s="17" t="s">
        <v>1167</v>
      </c>
      <c r="F48" s="17" t="s">
        <v>1064</v>
      </c>
      <c r="G48" s="17" t="s">
        <v>1168</v>
      </c>
      <c r="H48" s="17" t="s">
        <v>69</v>
      </c>
      <c r="I48" s="17">
        <v>20286</v>
      </c>
      <c r="J48" s="17" t="s">
        <v>54</v>
      </c>
      <c r="K48" s="17" t="s">
        <v>55</v>
      </c>
      <c r="L48" s="17" t="s">
        <v>56</v>
      </c>
      <c r="M48" s="17" t="s">
        <v>70</v>
      </c>
      <c r="N48" s="17" t="s">
        <v>56</v>
      </c>
      <c r="O48" s="17" t="s">
        <v>193</v>
      </c>
      <c r="P48" s="17" t="s">
        <v>20</v>
      </c>
      <c r="Q48" s="17" t="s">
        <v>106</v>
      </c>
      <c r="R48" s="17" t="s">
        <v>20</v>
      </c>
      <c r="S48" s="17" t="s">
        <v>183</v>
      </c>
      <c r="T48" s="17">
        <v>0</v>
      </c>
      <c r="U48" s="18">
        <v>4492605651</v>
      </c>
      <c r="X48" s="17" t="s">
        <v>60</v>
      </c>
      <c r="Y48" s="17" t="s">
        <v>177</v>
      </c>
      <c r="Z48" s="17" t="s">
        <v>145</v>
      </c>
      <c r="AA48" s="28">
        <v>777097.57414100005</v>
      </c>
      <c r="AB48" s="28">
        <v>2418461.0182400001</v>
      </c>
    </row>
    <row r="49" spans="1:28">
      <c r="A49" s="17">
        <v>48</v>
      </c>
      <c r="B49" s="17">
        <v>624191</v>
      </c>
      <c r="C49" s="17" t="s">
        <v>1044</v>
      </c>
      <c r="D49" s="17" t="s">
        <v>52</v>
      </c>
      <c r="E49" s="17" t="s">
        <v>1169</v>
      </c>
      <c r="F49" s="17" t="s">
        <v>1064</v>
      </c>
      <c r="G49" s="17" t="s">
        <v>1170</v>
      </c>
      <c r="H49" s="17" t="s">
        <v>104</v>
      </c>
      <c r="I49" s="17">
        <v>20286</v>
      </c>
      <c r="J49" s="17" t="s">
        <v>54</v>
      </c>
      <c r="K49" s="17" t="s">
        <v>78</v>
      </c>
      <c r="L49" s="17" t="s">
        <v>56</v>
      </c>
      <c r="M49" s="17" t="s">
        <v>192</v>
      </c>
      <c r="N49" s="17" t="s">
        <v>20</v>
      </c>
      <c r="O49" s="17" t="s">
        <v>1171</v>
      </c>
      <c r="P49" s="17" t="s">
        <v>56</v>
      </c>
      <c r="Q49" s="17" t="s">
        <v>192</v>
      </c>
      <c r="R49" s="17" t="s">
        <v>20</v>
      </c>
      <c r="S49" s="17" t="s">
        <v>59</v>
      </c>
      <c r="T49" s="17">
        <v>3805</v>
      </c>
      <c r="U49" s="18">
        <v>0</v>
      </c>
      <c r="X49" s="17" t="s">
        <v>60</v>
      </c>
      <c r="Y49" s="17" t="s">
        <v>177</v>
      </c>
      <c r="Z49" s="17" t="s">
        <v>145</v>
      </c>
      <c r="AA49" s="28">
        <v>777384.35154099995</v>
      </c>
      <c r="AB49" s="28">
        <v>2417878.8327600001</v>
      </c>
    </row>
    <row r="50" spans="1:28">
      <c r="A50" s="17">
        <v>49</v>
      </c>
      <c r="B50" s="17">
        <v>813120</v>
      </c>
      <c r="C50" s="17" t="s">
        <v>1044</v>
      </c>
      <c r="D50" s="17" t="s">
        <v>52</v>
      </c>
      <c r="E50" s="17" t="s">
        <v>1172</v>
      </c>
      <c r="F50" s="17" t="s">
        <v>1173</v>
      </c>
      <c r="G50" s="17" t="s">
        <v>1174</v>
      </c>
      <c r="H50" s="17" t="s">
        <v>69</v>
      </c>
      <c r="I50" s="17">
        <v>20289</v>
      </c>
      <c r="J50" s="17" t="s">
        <v>54</v>
      </c>
      <c r="K50" s="17" t="s">
        <v>63</v>
      </c>
      <c r="L50" s="17" t="s">
        <v>56</v>
      </c>
      <c r="M50" s="17" t="s">
        <v>165</v>
      </c>
      <c r="N50" s="17" t="s">
        <v>161</v>
      </c>
      <c r="O50" s="17" t="s">
        <v>162</v>
      </c>
      <c r="P50" s="17" t="s">
        <v>20</v>
      </c>
      <c r="Q50" s="17" t="s">
        <v>179</v>
      </c>
      <c r="R50" s="17" t="s">
        <v>161</v>
      </c>
      <c r="S50" s="17" t="s">
        <v>162</v>
      </c>
      <c r="T50" s="17">
        <v>0</v>
      </c>
      <c r="U50" s="18">
        <v>0</v>
      </c>
      <c r="V50" s="17" t="s">
        <v>1175</v>
      </c>
      <c r="X50" s="17" t="s">
        <v>64</v>
      </c>
      <c r="Y50" s="17" t="s">
        <v>177</v>
      </c>
      <c r="Z50" s="17" t="s">
        <v>145</v>
      </c>
      <c r="AA50" s="28">
        <v>779227.09877299995</v>
      </c>
      <c r="AB50" s="28">
        <v>2418535.1201999998</v>
      </c>
    </row>
    <row r="51" spans="1:28">
      <c r="A51" s="17">
        <v>50</v>
      </c>
      <c r="B51" s="17">
        <v>813230</v>
      </c>
      <c r="C51" s="17" t="s">
        <v>1044</v>
      </c>
      <c r="D51" s="17" t="s">
        <v>52</v>
      </c>
      <c r="E51" s="17" t="s">
        <v>1176</v>
      </c>
      <c r="F51" s="17" t="s">
        <v>1061</v>
      </c>
      <c r="G51" s="17" t="s">
        <v>1177</v>
      </c>
      <c r="H51" s="17" t="s">
        <v>69</v>
      </c>
      <c r="I51" s="17">
        <v>20287</v>
      </c>
      <c r="J51" s="17" t="s">
        <v>54</v>
      </c>
      <c r="K51" s="17" t="s">
        <v>55</v>
      </c>
      <c r="L51" s="17" t="s">
        <v>20</v>
      </c>
      <c r="M51" s="17" t="s">
        <v>175</v>
      </c>
      <c r="N51" s="17" t="s">
        <v>20</v>
      </c>
      <c r="O51" s="17" t="s">
        <v>178</v>
      </c>
      <c r="P51" s="17" t="s">
        <v>20</v>
      </c>
      <c r="Q51" s="17" t="s">
        <v>218</v>
      </c>
      <c r="R51" s="17" t="s">
        <v>20</v>
      </c>
      <c r="S51" s="17" t="s">
        <v>1178</v>
      </c>
      <c r="T51" s="17">
        <v>0</v>
      </c>
      <c r="U51" s="18">
        <v>0</v>
      </c>
      <c r="X51" s="17" t="s">
        <v>60</v>
      </c>
      <c r="Y51" s="17" t="s">
        <v>177</v>
      </c>
      <c r="Z51" s="17" t="s">
        <v>145</v>
      </c>
      <c r="AA51" s="28">
        <v>778028.30366600002</v>
      </c>
      <c r="AB51" s="28">
        <v>2418670.6324399998</v>
      </c>
    </row>
    <row r="52" spans="1:28">
      <c r="A52" s="17">
        <v>51</v>
      </c>
      <c r="B52" s="17">
        <v>813230</v>
      </c>
      <c r="C52" s="17" t="s">
        <v>1044</v>
      </c>
      <c r="D52" s="17" t="s">
        <v>52</v>
      </c>
      <c r="E52" s="17" t="s">
        <v>1179</v>
      </c>
      <c r="F52" s="17" t="s">
        <v>1061</v>
      </c>
      <c r="H52" s="17" t="s">
        <v>69</v>
      </c>
      <c r="I52" s="17">
        <v>20280</v>
      </c>
      <c r="J52" s="17" t="s">
        <v>54</v>
      </c>
      <c r="K52" s="17" t="s">
        <v>55</v>
      </c>
      <c r="L52" s="17" t="s">
        <v>20</v>
      </c>
      <c r="M52" s="17" t="s">
        <v>214</v>
      </c>
      <c r="N52" s="17" t="s">
        <v>56</v>
      </c>
      <c r="O52" s="17" t="s">
        <v>168</v>
      </c>
      <c r="P52" s="17" t="s">
        <v>20</v>
      </c>
      <c r="Q52" s="17" t="s">
        <v>181</v>
      </c>
      <c r="R52" s="17" t="s">
        <v>56</v>
      </c>
      <c r="S52" s="17" t="s">
        <v>192</v>
      </c>
      <c r="T52" s="17">
        <v>105</v>
      </c>
      <c r="U52" s="18">
        <v>4491074423</v>
      </c>
      <c r="X52" s="17" t="s">
        <v>60</v>
      </c>
      <c r="Y52" s="17" t="s">
        <v>177</v>
      </c>
      <c r="Z52" s="17" t="s">
        <v>145</v>
      </c>
      <c r="AA52" s="28">
        <v>779653.11849200004</v>
      </c>
      <c r="AB52" s="28">
        <v>2418049.9722699998</v>
      </c>
    </row>
    <row r="53" spans="1:28">
      <c r="A53" s="17">
        <v>52</v>
      </c>
      <c r="B53" s="17">
        <v>813230</v>
      </c>
      <c r="C53" s="17" t="s">
        <v>1044</v>
      </c>
      <c r="D53" s="17" t="s">
        <v>52</v>
      </c>
      <c r="E53" s="17" t="s">
        <v>1180</v>
      </c>
      <c r="F53" s="17" t="s">
        <v>1061</v>
      </c>
      <c r="G53" s="17" t="s">
        <v>1181</v>
      </c>
      <c r="H53" s="17" t="s">
        <v>104</v>
      </c>
      <c r="I53" s="17">
        <v>20206</v>
      </c>
      <c r="J53" s="17" t="s">
        <v>54</v>
      </c>
      <c r="K53" s="17" t="s">
        <v>63</v>
      </c>
      <c r="L53" s="17" t="s">
        <v>20</v>
      </c>
      <c r="M53" s="17" t="s">
        <v>204</v>
      </c>
      <c r="N53" s="17" t="s">
        <v>20</v>
      </c>
      <c r="O53" s="17" t="s">
        <v>184</v>
      </c>
      <c r="P53" s="17" t="s">
        <v>20</v>
      </c>
      <c r="Q53" s="17" t="s">
        <v>185</v>
      </c>
      <c r="R53" s="17" t="s">
        <v>20</v>
      </c>
      <c r="S53" s="17" t="s">
        <v>189</v>
      </c>
      <c r="T53" s="17">
        <v>356</v>
      </c>
      <c r="U53" s="18">
        <v>4493537001</v>
      </c>
      <c r="V53" s="17" t="s">
        <v>1182</v>
      </c>
      <c r="X53" s="17" t="s">
        <v>60</v>
      </c>
      <c r="Y53" s="17" t="s">
        <v>177</v>
      </c>
      <c r="Z53" s="17" t="s">
        <v>145</v>
      </c>
      <c r="AA53" s="28">
        <v>776756.28925699997</v>
      </c>
      <c r="AB53" s="28">
        <v>2418760.8900700002</v>
      </c>
    </row>
    <row r="54" spans="1:28">
      <c r="A54" s="17">
        <v>53</v>
      </c>
      <c r="B54" s="17">
        <v>813230</v>
      </c>
      <c r="C54" s="17" t="s">
        <v>1044</v>
      </c>
      <c r="D54" s="17" t="s">
        <v>52</v>
      </c>
      <c r="E54" s="17" t="s">
        <v>1183</v>
      </c>
      <c r="F54" s="17" t="s">
        <v>1061</v>
      </c>
      <c r="G54" s="17" t="s">
        <v>1184</v>
      </c>
      <c r="H54" s="17" t="s">
        <v>104</v>
      </c>
      <c r="I54" s="17">
        <v>20200</v>
      </c>
      <c r="J54" s="17" t="s">
        <v>54</v>
      </c>
      <c r="K54" s="17" t="s">
        <v>63</v>
      </c>
      <c r="L54" s="17" t="s">
        <v>20</v>
      </c>
      <c r="M54" s="17" t="s">
        <v>1185</v>
      </c>
      <c r="N54" s="17" t="s">
        <v>20</v>
      </c>
      <c r="O54" s="17" t="s">
        <v>211</v>
      </c>
      <c r="P54" s="17" t="s">
        <v>56</v>
      </c>
      <c r="Q54" s="17" t="s">
        <v>212</v>
      </c>
      <c r="R54" s="17" t="s">
        <v>20</v>
      </c>
      <c r="S54" s="17" t="s">
        <v>213</v>
      </c>
      <c r="T54" s="17">
        <v>4623</v>
      </c>
      <c r="U54" s="18">
        <v>0</v>
      </c>
      <c r="V54" s="17" t="s">
        <v>1186</v>
      </c>
      <c r="W54" s="17" t="s">
        <v>1187</v>
      </c>
      <c r="X54" s="17" t="s">
        <v>60</v>
      </c>
      <c r="Y54" s="17" t="s">
        <v>177</v>
      </c>
      <c r="Z54" s="17" t="s">
        <v>145</v>
      </c>
      <c r="AA54" s="28">
        <v>776493.04057900002</v>
      </c>
      <c r="AB54" s="28">
        <v>2417637.2275899998</v>
      </c>
    </row>
    <row r="55" spans="1:28">
      <c r="A55" s="17">
        <v>54</v>
      </c>
      <c r="B55" s="17">
        <v>624312</v>
      </c>
      <c r="C55" s="17" t="s">
        <v>1044</v>
      </c>
      <c r="D55" s="17" t="s">
        <v>52</v>
      </c>
      <c r="E55" s="17" t="s">
        <v>1188</v>
      </c>
      <c r="F55" s="17" t="s">
        <v>1132</v>
      </c>
      <c r="G55" s="17" t="s">
        <v>1189</v>
      </c>
      <c r="H55" s="17" t="s">
        <v>69</v>
      </c>
      <c r="I55" s="17">
        <v>20289</v>
      </c>
      <c r="J55" s="17" t="s">
        <v>54</v>
      </c>
      <c r="K55" s="17" t="s">
        <v>132</v>
      </c>
      <c r="L55" s="17" t="s">
        <v>156</v>
      </c>
      <c r="M55" s="17" t="s">
        <v>1190</v>
      </c>
      <c r="N55" s="17" t="s">
        <v>56</v>
      </c>
      <c r="O55" s="17" t="s">
        <v>168</v>
      </c>
      <c r="P55" s="17" t="s">
        <v>161</v>
      </c>
      <c r="Q55" s="17" t="s">
        <v>162</v>
      </c>
      <c r="R55" s="17" t="s">
        <v>20</v>
      </c>
      <c r="S55" s="17" t="s">
        <v>179</v>
      </c>
      <c r="T55" s="17">
        <v>0</v>
      </c>
      <c r="U55" s="18">
        <v>4499788155</v>
      </c>
      <c r="X55" s="17" t="s">
        <v>67</v>
      </c>
      <c r="Y55" s="17" t="s">
        <v>219</v>
      </c>
      <c r="Z55" s="17" t="s">
        <v>145</v>
      </c>
      <c r="AA55" s="28">
        <v>779660.26190000004</v>
      </c>
      <c r="AB55" s="28">
        <v>2418524.6057199999</v>
      </c>
    </row>
    <row r="56" spans="1:28">
      <c r="A56" s="17">
        <v>55</v>
      </c>
      <c r="B56" s="17">
        <v>624411</v>
      </c>
      <c r="C56" s="17" t="s">
        <v>1044</v>
      </c>
      <c r="D56" s="17" t="s">
        <v>52</v>
      </c>
      <c r="E56" s="17" t="s">
        <v>1191</v>
      </c>
      <c r="F56" s="17" t="s">
        <v>1046</v>
      </c>
      <c r="G56" s="17" t="s">
        <v>1192</v>
      </c>
      <c r="H56" s="17" t="s">
        <v>69</v>
      </c>
      <c r="I56" s="17">
        <v>20210</v>
      </c>
      <c r="J56" s="17" t="s">
        <v>54</v>
      </c>
      <c r="K56" s="17" t="s">
        <v>88</v>
      </c>
      <c r="L56" s="17" t="s">
        <v>20</v>
      </c>
      <c r="M56" s="17" t="s">
        <v>226</v>
      </c>
      <c r="N56" s="17" t="s">
        <v>20</v>
      </c>
      <c r="O56" s="17" t="s">
        <v>1193</v>
      </c>
      <c r="P56" s="17" t="s">
        <v>20</v>
      </c>
      <c r="Q56" s="17" t="s">
        <v>154</v>
      </c>
      <c r="R56" s="17" t="s">
        <v>20</v>
      </c>
      <c r="S56" s="17" t="s">
        <v>225</v>
      </c>
      <c r="T56" s="17">
        <v>100</v>
      </c>
      <c r="U56" s="18">
        <v>4499716658</v>
      </c>
      <c r="V56" s="17" t="s">
        <v>1194</v>
      </c>
      <c r="X56" s="17" t="s">
        <v>67</v>
      </c>
      <c r="Y56" s="17" t="s">
        <v>221</v>
      </c>
      <c r="Z56" s="17" t="s">
        <v>145</v>
      </c>
      <c r="AA56" s="28">
        <v>777413.15406800003</v>
      </c>
      <c r="AB56" s="28">
        <v>2419456.5374199999</v>
      </c>
    </row>
    <row r="57" spans="1:28">
      <c r="A57" s="17">
        <v>56</v>
      </c>
      <c r="B57" s="17">
        <v>624411</v>
      </c>
      <c r="C57" s="17" t="s">
        <v>1044</v>
      </c>
      <c r="D57" s="17" t="s">
        <v>52</v>
      </c>
      <c r="E57" s="17" t="s">
        <v>1195</v>
      </c>
      <c r="F57" s="17" t="s">
        <v>1046</v>
      </c>
      <c r="H57" s="17" t="s">
        <v>104</v>
      </c>
      <c r="I57" s="17">
        <v>20206</v>
      </c>
      <c r="J57" s="17" t="s">
        <v>54</v>
      </c>
      <c r="K57" s="17" t="s">
        <v>63</v>
      </c>
      <c r="L57" s="17" t="s">
        <v>20</v>
      </c>
      <c r="M57" s="17" t="s">
        <v>203</v>
      </c>
      <c r="N57" s="17" t="s">
        <v>58</v>
      </c>
      <c r="O57" s="17" t="s">
        <v>59</v>
      </c>
      <c r="P57" s="17" t="s">
        <v>20</v>
      </c>
      <c r="Q57" s="17" t="s">
        <v>184</v>
      </c>
      <c r="R57" s="17" t="s">
        <v>20</v>
      </c>
      <c r="S57" s="17" t="s">
        <v>202</v>
      </c>
      <c r="T57" s="17">
        <v>0</v>
      </c>
      <c r="U57" s="18">
        <v>4499997820</v>
      </c>
      <c r="V57" s="17" t="s">
        <v>1196</v>
      </c>
      <c r="X57" s="17" t="s">
        <v>67</v>
      </c>
      <c r="Y57" s="17" t="s">
        <v>221</v>
      </c>
      <c r="Z57" s="17" t="s">
        <v>145</v>
      </c>
      <c r="AA57" s="28">
        <v>776801.652871</v>
      </c>
      <c r="AB57" s="28">
        <v>2419065.64512</v>
      </c>
    </row>
    <row r="58" spans="1:28">
      <c r="A58" s="17">
        <v>57</v>
      </c>
      <c r="B58" s="17">
        <v>624191</v>
      </c>
      <c r="C58" s="17" t="s">
        <v>1044</v>
      </c>
      <c r="D58" s="17" t="s">
        <v>52</v>
      </c>
      <c r="E58" s="17" t="s">
        <v>1197</v>
      </c>
      <c r="F58" s="17" t="s">
        <v>1064</v>
      </c>
      <c r="G58" s="17" t="s">
        <v>1198</v>
      </c>
      <c r="H58" s="17" t="s">
        <v>104</v>
      </c>
      <c r="I58" s="17">
        <v>20206</v>
      </c>
      <c r="J58" s="17" t="s">
        <v>54</v>
      </c>
      <c r="K58" s="17" t="s">
        <v>63</v>
      </c>
      <c r="L58" s="17" t="s">
        <v>20</v>
      </c>
      <c r="M58" s="17" t="s">
        <v>224</v>
      </c>
      <c r="N58" s="17" t="s">
        <v>20</v>
      </c>
      <c r="O58" s="17" t="s">
        <v>184</v>
      </c>
      <c r="P58" s="17" t="s">
        <v>20</v>
      </c>
      <c r="Q58" s="17" t="s">
        <v>220</v>
      </c>
      <c r="R58" s="17" t="s">
        <v>20</v>
      </c>
      <c r="S58" s="17" t="s">
        <v>1199</v>
      </c>
      <c r="T58" s="17">
        <v>201</v>
      </c>
      <c r="U58" s="18">
        <v>0</v>
      </c>
      <c r="X58" s="17" t="s">
        <v>67</v>
      </c>
      <c r="Y58" s="17" t="s">
        <v>221</v>
      </c>
      <c r="Z58" s="17" t="s">
        <v>145</v>
      </c>
      <c r="AA58" s="28">
        <v>776397.82204200001</v>
      </c>
      <c r="AB58" s="28">
        <v>2419322.48471</v>
      </c>
    </row>
    <row r="59" spans="1:28">
      <c r="A59" s="17">
        <v>58</v>
      </c>
      <c r="B59" s="17">
        <v>624191</v>
      </c>
      <c r="C59" s="17" t="s">
        <v>1044</v>
      </c>
      <c r="D59" s="17" t="s">
        <v>52</v>
      </c>
      <c r="E59" s="17" t="s">
        <v>1200</v>
      </c>
      <c r="F59" s="17" t="s">
        <v>1064</v>
      </c>
      <c r="G59" s="17" t="s">
        <v>1201</v>
      </c>
      <c r="H59" s="17" t="s">
        <v>104</v>
      </c>
      <c r="I59" s="17">
        <v>20206</v>
      </c>
      <c r="J59" s="17" t="s">
        <v>54</v>
      </c>
      <c r="K59" s="17" t="s">
        <v>55</v>
      </c>
      <c r="L59" s="17" t="s">
        <v>56</v>
      </c>
      <c r="M59" s="17" t="s">
        <v>193</v>
      </c>
      <c r="N59" s="17" t="s">
        <v>20</v>
      </c>
      <c r="O59" s="17" t="s">
        <v>220</v>
      </c>
      <c r="P59" s="17" t="s">
        <v>20</v>
      </c>
      <c r="Q59" s="17" t="s">
        <v>186</v>
      </c>
      <c r="R59" s="17" t="s">
        <v>20</v>
      </c>
      <c r="S59" s="17" t="s">
        <v>207</v>
      </c>
      <c r="T59" s="17">
        <v>3701</v>
      </c>
      <c r="U59" s="18">
        <v>0</v>
      </c>
      <c r="X59" s="17" t="s">
        <v>60</v>
      </c>
      <c r="Y59" s="17" t="s">
        <v>221</v>
      </c>
      <c r="Z59" s="17" t="s">
        <v>145</v>
      </c>
      <c r="AA59" s="28">
        <v>777318.93592800002</v>
      </c>
      <c r="AB59" s="28">
        <v>2419213.9252900002</v>
      </c>
    </row>
    <row r="60" spans="1:28">
      <c r="A60" s="17">
        <v>59</v>
      </c>
      <c r="B60" s="17">
        <v>812310</v>
      </c>
      <c r="C60" s="17" t="s">
        <v>1044</v>
      </c>
      <c r="D60" s="17" t="s">
        <v>52</v>
      </c>
      <c r="E60" s="17" t="s">
        <v>1202</v>
      </c>
      <c r="F60" s="17" t="s">
        <v>1057</v>
      </c>
      <c r="H60" s="17" t="s">
        <v>104</v>
      </c>
      <c r="I60" s="17">
        <v>20210</v>
      </c>
      <c r="J60" s="17" t="s">
        <v>54</v>
      </c>
      <c r="K60" s="17" t="s">
        <v>55</v>
      </c>
      <c r="L60" s="17" t="s">
        <v>56</v>
      </c>
      <c r="M60" s="17" t="s">
        <v>222</v>
      </c>
      <c r="N60" s="17" t="s">
        <v>56</v>
      </c>
      <c r="O60" s="17" t="s">
        <v>222</v>
      </c>
      <c r="P60" s="17" t="s">
        <v>20</v>
      </c>
      <c r="Q60" s="17" t="s">
        <v>223</v>
      </c>
      <c r="S60" s="17" t="s">
        <v>59</v>
      </c>
      <c r="T60" s="17">
        <v>611</v>
      </c>
      <c r="U60" s="18">
        <v>0</v>
      </c>
      <c r="V60" s="17" t="s">
        <v>1203</v>
      </c>
      <c r="X60" s="17" t="s">
        <v>60</v>
      </c>
      <c r="Y60" s="17" t="s">
        <v>221</v>
      </c>
      <c r="Z60" s="17" t="s">
        <v>145</v>
      </c>
      <c r="AA60" s="28">
        <v>777250.43173099996</v>
      </c>
      <c r="AB60" s="28">
        <v>2419982.8017799999</v>
      </c>
    </row>
    <row r="61" spans="1:28">
      <c r="A61" s="17">
        <v>60</v>
      </c>
      <c r="B61" s="17">
        <v>624411</v>
      </c>
      <c r="C61" s="17" t="s">
        <v>1044</v>
      </c>
      <c r="D61" s="17" t="s">
        <v>52</v>
      </c>
      <c r="E61" s="17" t="s">
        <v>1204</v>
      </c>
      <c r="F61" s="17" t="s">
        <v>1046</v>
      </c>
      <c r="H61" s="17" t="s">
        <v>69</v>
      </c>
      <c r="I61" s="17">
        <v>20030</v>
      </c>
      <c r="J61" s="17" t="s">
        <v>54</v>
      </c>
      <c r="K61" s="17" t="s">
        <v>55</v>
      </c>
      <c r="L61" s="17" t="s">
        <v>56</v>
      </c>
      <c r="M61" s="17" t="s">
        <v>227</v>
      </c>
      <c r="N61" s="17" t="s">
        <v>20</v>
      </c>
      <c r="O61" s="17" t="s">
        <v>234</v>
      </c>
      <c r="P61" s="17" t="s">
        <v>20</v>
      </c>
      <c r="Q61" s="17" t="s">
        <v>238</v>
      </c>
      <c r="R61" s="17" t="s">
        <v>20</v>
      </c>
      <c r="S61" s="17" t="s">
        <v>232</v>
      </c>
      <c r="T61" s="17">
        <v>1817</v>
      </c>
      <c r="U61" s="18">
        <v>4499961517</v>
      </c>
      <c r="X61" s="17" t="s">
        <v>67</v>
      </c>
      <c r="Y61" s="17" t="s">
        <v>230</v>
      </c>
      <c r="Z61" s="17" t="s">
        <v>231</v>
      </c>
      <c r="AA61" s="28">
        <v>780216.41921800002</v>
      </c>
      <c r="AB61" s="28">
        <v>2424302.0558000002</v>
      </c>
    </row>
    <row r="62" spans="1:28">
      <c r="A62" s="17">
        <v>61</v>
      </c>
      <c r="B62" s="17">
        <v>624411</v>
      </c>
      <c r="C62" s="17" t="s">
        <v>1044</v>
      </c>
      <c r="D62" s="17" t="s">
        <v>52</v>
      </c>
      <c r="E62" s="17" t="s">
        <v>1205</v>
      </c>
      <c r="F62" s="17" t="s">
        <v>1046</v>
      </c>
      <c r="G62" s="17" t="s">
        <v>1205</v>
      </c>
      <c r="H62" s="17" t="s">
        <v>69</v>
      </c>
      <c r="I62" s="17">
        <v>20030</v>
      </c>
      <c r="J62" s="17" t="s">
        <v>54</v>
      </c>
      <c r="K62" s="17" t="s">
        <v>132</v>
      </c>
      <c r="L62" s="17" t="s">
        <v>20</v>
      </c>
      <c r="M62" s="17" t="s">
        <v>1206</v>
      </c>
      <c r="N62" s="17" t="s">
        <v>56</v>
      </c>
      <c r="O62" s="17" t="s">
        <v>250</v>
      </c>
      <c r="P62" s="17" t="s">
        <v>20</v>
      </c>
      <c r="Q62" s="17" t="s">
        <v>114</v>
      </c>
      <c r="R62" s="17" t="s">
        <v>20</v>
      </c>
      <c r="S62" s="17" t="s">
        <v>1207</v>
      </c>
      <c r="T62" s="17">
        <v>0</v>
      </c>
      <c r="U62" s="18">
        <v>0</v>
      </c>
      <c r="V62" s="17" t="s">
        <v>1208</v>
      </c>
      <c r="X62" s="17" t="s">
        <v>133</v>
      </c>
      <c r="Y62" s="17" t="s">
        <v>230</v>
      </c>
      <c r="Z62" s="17" t="s">
        <v>231</v>
      </c>
      <c r="AA62" s="28">
        <v>780474.62558800005</v>
      </c>
      <c r="AB62" s="28">
        <v>2423303.6420700001</v>
      </c>
    </row>
    <row r="63" spans="1:28">
      <c r="A63" s="17">
        <v>62</v>
      </c>
      <c r="B63" s="17">
        <v>624212</v>
      </c>
      <c r="C63" s="17" t="s">
        <v>1044</v>
      </c>
      <c r="D63" s="17" t="s">
        <v>1008</v>
      </c>
      <c r="E63" s="17" t="s">
        <v>1209</v>
      </c>
      <c r="F63" s="17" t="s">
        <v>1051</v>
      </c>
      <c r="H63" s="17" t="s">
        <v>104</v>
      </c>
      <c r="I63" s="17">
        <v>20030</v>
      </c>
      <c r="J63" s="17" t="s">
        <v>54</v>
      </c>
      <c r="K63" s="17" t="s">
        <v>55</v>
      </c>
      <c r="L63" s="17" t="s">
        <v>20</v>
      </c>
      <c r="M63" s="17" t="s">
        <v>301</v>
      </c>
      <c r="N63" s="17" t="s">
        <v>20</v>
      </c>
      <c r="O63" s="17" t="s">
        <v>241</v>
      </c>
      <c r="P63" s="17" t="s">
        <v>20</v>
      </c>
      <c r="Q63" s="17" t="s">
        <v>245</v>
      </c>
      <c r="R63" s="17" t="s">
        <v>20</v>
      </c>
      <c r="S63" s="17" t="s">
        <v>246</v>
      </c>
      <c r="T63" s="17">
        <v>407</v>
      </c>
      <c r="U63" s="18">
        <v>4492640495</v>
      </c>
      <c r="V63" s="17" t="s">
        <v>1210</v>
      </c>
      <c r="X63" s="17" t="s">
        <v>60</v>
      </c>
      <c r="Y63" s="17" t="s">
        <v>230</v>
      </c>
      <c r="Z63" s="17" t="s">
        <v>231</v>
      </c>
      <c r="AA63" s="28">
        <v>779389.71793699998</v>
      </c>
      <c r="AB63" s="28">
        <v>2423536.9036900001</v>
      </c>
    </row>
    <row r="64" spans="1:28">
      <c r="A64" s="17">
        <v>63</v>
      </c>
      <c r="B64" s="17">
        <v>624191</v>
      </c>
      <c r="C64" s="17" t="s">
        <v>1044</v>
      </c>
      <c r="D64" s="17" t="s">
        <v>52</v>
      </c>
      <c r="E64" s="17" t="s">
        <v>1211</v>
      </c>
      <c r="F64" s="17" t="s">
        <v>1064</v>
      </c>
      <c r="G64" s="17" t="s">
        <v>1211</v>
      </c>
      <c r="H64" s="17" t="s">
        <v>69</v>
      </c>
      <c r="I64" s="17">
        <v>20030</v>
      </c>
      <c r="J64" s="17" t="s">
        <v>54</v>
      </c>
      <c r="K64" s="17" t="s">
        <v>55</v>
      </c>
      <c r="L64" s="17" t="s">
        <v>20</v>
      </c>
      <c r="M64" s="17" t="s">
        <v>238</v>
      </c>
      <c r="N64" s="17" t="s">
        <v>20</v>
      </c>
      <c r="O64" s="17" t="s">
        <v>235</v>
      </c>
      <c r="P64" s="17" t="s">
        <v>20</v>
      </c>
      <c r="Q64" s="17" t="s">
        <v>255</v>
      </c>
      <c r="R64" s="17" t="s">
        <v>20</v>
      </c>
      <c r="S64" s="17" t="s">
        <v>1212</v>
      </c>
      <c r="T64" s="17">
        <v>405</v>
      </c>
      <c r="U64" s="18">
        <v>0</v>
      </c>
      <c r="X64" s="17" t="s">
        <v>60</v>
      </c>
      <c r="Y64" s="17" t="s">
        <v>230</v>
      </c>
      <c r="Z64" s="17" t="s">
        <v>231</v>
      </c>
      <c r="AA64" s="28">
        <v>780035.957758</v>
      </c>
      <c r="AB64" s="28">
        <v>2424141.8493300001</v>
      </c>
    </row>
    <row r="65" spans="1:28">
      <c r="A65" s="17">
        <v>64</v>
      </c>
      <c r="B65" s="17">
        <v>624191</v>
      </c>
      <c r="C65" s="17" t="s">
        <v>1044</v>
      </c>
      <c r="D65" s="17" t="s">
        <v>52</v>
      </c>
      <c r="E65" s="17" t="s">
        <v>1213</v>
      </c>
      <c r="F65" s="17" t="s">
        <v>1064</v>
      </c>
      <c r="G65" s="17" t="s">
        <v>1089</v>
      </c>
      <c r="H65" s="17" t="s">
        <v>69</v>
      </c>
      <c r="I65" s="17">
        <v>20030</v>
      </c>
      <c r="J65" s="17" t="s">
        <v>54</v>
      </c>
      <c r="K65" s="17" t="s">
        <v>78</v>
      </c>
      <c r="L65" s="17" t="s">
        <v>20</v>
      </c>
      <c r="M65" s="17" t="s">
        <v>234</v>
      </c>
      <c r="N65" s="17" t="s">
        <v>56</v>
      </c>
      <c r="O65" s="17" t="s">
        <v>227</v>
      </c>
      <c r="P65" s="17" t="s">
        <v>20</v>
      </c>
      <c r="Q65" s="17" t="s">
        <v>113</v>
      </c>
      <c r="R65" s="17" t="s">
        <v>20</v>
      </c>
      <c r="S65" s="17" t="s">
        <v>1214</v>
      </c>
      <c r="T65" s="17">
        <v>513</v>
      </c>
      <c r="U65" s="18">
        <v>0</v>
      </c>
      <c r="X65" s="17" t="s">
        <v>64</v>
      </c>
      <c r="Y65" s="17" t="s">
        <v>230</v>
      </c>
      <c r="Z65" s="17" t="s">
        <v>231</v>
      </c>
      <c r="AA65" s="28">
        <v>780161.08533200005</v>
      </c>
      <c r="AB65" s="28">
        <v>2424306.6651900001</v>
      </c>
    </row>
    <row r="66" spans="1:28">
      <c r="A66" s="17">
        <v>65</v>
      </c>
      <c r="B66" s="17">
        <v>624191</v>
      </c>
      <c r="C66" s="17" t="s">
        <v>1044</v>
      </c>
      <c r="D66" s="17" t="s">
        <v>52</v>
      </c>
      <c r="E66" s="17" t="s">
        <v>1215</v>
      </c>
      <c r="F66" s="17" t="s">
        <v>1064</v>
      </c>
      <c r="G66" s="17" t="s">
        <v>1216</v>
      </c>
      <c r="H66" s="17" t="s">
        <v>69</v>
      </c>
      <c r="I66" s="17">
        <v>20030</v>
      </c>
      <c r="J66" s="17" t="s">
        <v>54</v>
      </c>
      <c r="K66" s="17" t="s">
        <v>63</v>
      </c>
      <c r="L66" s="17" t="s">
        <v>56</v>
      </c>
      <c r="M66" s="17" t="s">
        <v>227</v>
      </c>
      <c r="N66" s="17" t="s">
        <v>20</v>
      </c>
      <c r="O66" s="17" t="s">
        <v>233</v>
      </c>
      <c r="P66" s="17" t="s">
        <v>20</v>
      </c>
      <c r="Q66" s="17" t="s">
        <v>254</v>
      </c>
      <c r="R66" s="17" t="s">
        <v>20</v>
      </c>
      <c r="S66" s="17" t="s">
        <v>113</v>
      </c>
      <c r="T66" s="17">
        <v>1414</v>
      </c>
      <c r="U66" s="18">
        <v>0</v>
      </c>
      <c r="X66" s="17" t="s">
        <v>67</v>
      </c>
      <c r="Y66" s="17" t="s">
        <v>230</v>
      </c>
      <c r="Z66" s="17" t="s">
        <v>231</v>
      </c>
      <c r="AA66" s="28">
        <v>780340.08235699998</v>
      </c>
      <c r="AB66" s="28">
        <v>2423857.9772800002</v>
      </c>
    </row>
    <row r="67" spans="1:28">
      <c r="A67" s="17">
        <v>66</v>
      </c>
      <c r="B67" s="17">
        <v>624191</v>
      </c>
      <c r="C67" s="17" t="s">
        <v>1044</v>
      </c>
      <c r="D67" s="17" t="s">
        <v>52</v>
      </c>
      <c r="E67" s="17" t="s">
        <v>1217</v>
      </c>
      <c r="F67" s="17" t="s">
        <v>1064</v>
      </c>
      <c r="G67" s="17" t="s">
        <v>1218</v>
      </c>
      <c r="H67" s="17" t="s">
        <v>69</v>
      </c>
      <c r="I67" s="17">
        <v>20030</v>
      </c>
      <c r="J67" s="17" t="s">
        <v>54</v>
      </c>
      <c r="K67" s="17" t="s">
        <v>55</v>
      </c>
      <c r="L67" s="17" t="s">
        <v>20</v>
      </c>
      <c r="M67" s="17" t="s">
        <v>236</v>
      </c>
      <c r="N67" s="17" t="s">
        <v>20</v>
      </c>
      <c r="O67" s="17" t="s">
        <v>253</v>
      </c>
      <c r="P67" s="17" t="s">
        <v>20</v>
      </c>
      <c r="Q67" s="17" t="s">
        <v>239</v>
      </c>
      <c r="R67" s="17" t="s">
        <v>20</v>
      </c>
      <c r="S67" s="17" t="s">
        <v>266</v>
      </c>
      <c r="T67" s="17">
        <v>208</v>
      </c>
      <c r="U67" s="18">
        <v>0</v>
      </c>
      <c r="X67" s="17" t="s">
        <v>64</v>
      </c>
      <c r="Y67" s="17" t="s">
        <v>230</v>
      </c>
      <c r="Z67" s="17" t="s">
        <v>231</v>
      </c>
      <c r="AA67" s="28">
        <v>779583.14593300002</v>
      </c>
      <c r="AB67" s="28">
        <v>2423865.91506</v>
      </c>
    </row>
    <row r="68" spans="1:28">
      <c r="A68" s="17">
        <v>67</v>
      </c>
      <c r="B68" s="17">
        <v>624191</v>
      </c>
      <c r="C68" s="17" t="s">
        <v>1044</v>
      </c>
      <c r="D68" s="17" t="s">
        <v>52</v>
      </c>
      <c r="E68" s="17" t="s">
        <v>1219</v>
      </c>
      <c r="F68" s="17" t="s">
        <v>1064</v>
      </c>
      <c r="G68" s="17" t="s">
        <v>1220</v>
      </c>
      <c r="H68" s="17" t="s">
        <v>69</v>
      </c>
      <c r="I68" s="17">
        <v>20050</v>
      </c>
      <c r="J68" s="17" t="s">
        <v>54</v>
      </c>
      <c r="K68" s="17" t="s">
        <v>55</v>
      </c>
      <c r="L68" s="17" t="s">
        <v>20</v>
      </c>
      <c r="M68" s="17" t="s">
        <v>256</v>
      </c>
      <c r="N68" s="17" t="s">
        <v>20</v>
      </c>
      <c r="O68" s="17" t="s">
        <v>257</v>
      </c>
      <c r="P68" s="17" t="s">
        <v>20</v>
      </c>
      <c r="Q68" s="17" t="s">
        <v>107</v>
      </c>
      <c r="R68" s="17" t="s">
        <v>20</v>
      </c>
      <c r="S68" s="17" t="s">
        <v>256</v>
      </c>
      <c r="T68" s="17">
        <v>154</v>
      </c>
      <c r="U68" s="18">
        <v>0</v>
      </c>
      <c r="X68" s="17" t="s">
        <v>64</v>
      </c>
      <c r="Y68" s="17" t="s">
        <v>230</v>
      </c>
      <c r="Z68" s="17" t="s">
        <v>231</v>
      </c>
      <c r="AA68" s="28">
        <v>778895.30661099998</v>
      </c>
      <c r="AB68" s="28">
        <v>2423516.7334099999</v>
      </c>
    </row>
    <row r="69" spans="1:28">
      <c r="A69" s="17">
        <v>68</v>
      </c>
      <c r="B69" s="17">
        <v>624191</v>
      </c>
      <c r="C69" s="17" t="s">
        <v>1044</v>
      </c>
      <c r="D69" s="17" t="s">
        <v>52</v>
      </c>
      <c r="E69" s="17" t="s">
        <v>1221</v>
      </c>
      <c r="F69" s="17" t="s">
        <v>1064</v>
      </c>
      <c r="G69" s="17" t="s">
        <v>1222</v>
      </c>
      <c r="H69" s="17" t="s">
        <v>69</v>
      </c>
      <c r="I69" s="17">
        <v>20050</v>
      </c>
      <c r="J69" s="17" t="s">
        <v>54</v>
      </c>
      <c r="K69" s="17" t="s">
        <v>55</v>
      </c>
      <c r="L69" s="17" t="s">
        <v>20</v>
      </c>
      <c r="M69" s="17" t="s">
        <v>258</v>
      </c>
      <c r="N69" s="17" t="s">
        <v>20</v>
      </c>
      <c r="O69" s="17" t="s">
        <v>127</v>
      </c>
      <c r="P69" s="17" t="s">
        <v>20</v>
      </c>
      <c r="Q69" s="17" t="s">
        <v>257</v>
      </c>
      <c r="R69" s="17" t="s">
        <v>20</v>
      </c>
      <c r="S69" s="17" t="s">
        <v>127</v>
      </c>
      <c r="T69" s="17">
        <v>103</v>
      </c>
      <c r="U69" s="18">
        <v>0</v>
      </c>
      <c r="X69" s="17" t="s">
        <v>67</v>
      </c>
      <c r="Y69" s="17" t="s">
        <v>230</v>
      </c>
      <c r="Z69" s="17" t="s">
        <v>231</v>
      </c>
      <c r="AA69" s="28">
        <v>779083.53675900004</v>
      </c>
      <c r="AB69" s="28">
        <v>2423539.486</v>
      </c>
    </row>
    <row r="70" spans="1:28">
      <c r="A70" s="17">
        <v>69</v>
      </c>
      <c r="B70" s="17">
        <v>624191</v>
      </c>
      <c r="C70" s="17" t="s">
        <v>1044</v>
      </c>
      <c r="D70" s="17" t="s">
        <v>52</v>
      </c>
      <c r="E70" s="17" t="s">
        <v>1223</v>
      </c>
      <c r="F70" s="17" t="s">
        <v>1064</v>
      </c>
      <c r="G70" s="17" t="s">
        <v>1224</v>
      </c>
      <c r="H70" s="17" t="s">
        <v>104</v>
      </c>
      <c r="I70" s="17">
        <v>20030</v>
      </c>
      <c r="J70" s="17" t="s">
        <v>54</v>
      </c>
      <c r="K70" s="17" t="s">
        <v>63</v>
      </c>
      <c r="L70" s="17" t="s">
        <v>20</v>
      </c>
      <c r="M70" s="17" t="s">
        <v>243</v>
      </c>
      <c r="N70" s="17" t="s">
        <v>20</v>
      </c>
      <c r="O70" s="17" t="s">
        <v>100</v>
      </c>
      <c r="P70" s="17" t="s">
        <v>142</v>
      </c>
      <c r="Q70" s="17" t="s">
        <v>266</v>
      </c>
      <c r="R70" s="17" t="s">
        <v>20</v>
      </c>
      <c r="S70" s="17" t="s">
        <v>265</v>
      </c>
      <c r="T70" s="17">
        <v>502</v>
      </c>
      <c r="U70" s="18">
        <v>0</v>
      </c>
      <c r="X70" s="17" t="s">
        <v>64</v>
      </c>
      <c r="Y70" s="17" t="s">
        <v>230</v>
      </c>
      <c r="Z70" s="17" t="s">
        <v>231</v>
      </c>
      <c r="AA70" s="28">
        <v>779179.91268399998</v>
      </c>
      <c r="AB70" s="28">
        <v>2423699.4814499998</v>
      </c>
    </row>
    <row r="71" spans="1:28">
      <c r="A71" s="17">
        <v>70</v>
      </c>
      <c r="B71" s="17">
        <v>624191</v>
      </c>
      <c r="C71" s="17" t="s">
        <v>1044</v>
      </c>
      <c r="D71" s="17" t="s">
        <v>52</v>
      </c>
      <c r="E71" s="17" t="s">
        <v>1225</v>
      </c>
      <c r="F71" s="17" t="s">
        <v>1064</v>
      </c>
      <c r="G71" s="17" t="s">
        <v>1226</v>
      </c>
      <c r="H71" s="17" t="s">
        <v>104</v>
      </c>
      <c r="I71" s="17">
        <v>20030</v>
      </c>
      <c r="J71" s="17" t="s">
        <v>54</v>
      </c>
      <c r="K71" s="17" t="s">
        <v>78</v>
      </c>
      <c r="L71" s="17" t="s">
        <v>20</v>
      </c>
      <c r="M71" s="17" t="s">
        <v>236</v>
      </c>
      <c r="N71" s="17" t="s">
        <v>20</v>
      </c>
      <c r="O71" s="17" t="s">
        <v>269</v>
      </c>
      <c r="P71" s="17" t="s">
        <v>56</v>
      </c>
      <c r="Q71" s="17" t="s">
        <v>106</v>
      </c>
      <c r="R71" s="17" t="s">
        <v>20</v>
      </c>
      <c r="S71" s="17" t="s">
        <v>1227</v>
      </c>
      <c r="T71" s="17">
        <v>400</v>
      </c>
      <c r="U71" s="18">
        <v>0</v>
      </c>
      <c r="X71" s="17" t="s">
        <v>60</v>
      </c>
      <c r="Y71" s="17" t="s">
        <v>230</v>
      </c>
      <c r="Z71" s="17" t="s">
        <v>231</v>
      </c>
      <c r="AA71" s="28">
        <v>779403.86401999998</v>
      </c>
      <c r="AB71" s="28">
        <v>2423804.8607899998</v>
      </c>
    </row>
    <row r="72" spans="1:28">
      <c r="A72" s="17">
        <v>71</v>
      </c>
      <c r="B72" s="17">
        <v>624191</v>
      </c>
      <c r="C72" s="17" t="s">
        <v>1044</v>
      </c>
      <c r="D72" s="17" t="s">
        <v>52</v>
      </c>
      <c r="E72" s="17" t="s">
        <v>1228</v>
      </c>
      <c r="F72" s="17" t="s">
        <v>1064</v>
      </c>
      <c r="G72" s="17" t="s">
        <v>1229</v>
      </c>
      <c r="H72" s="17" t="s">
        <v>104</v>
      </c>
      <c r="I72" s="17">
        <v>20030</v>
      </c>
      <c r="J72" s="17" t="s">
        <v>54</v>
      </c>
      <c r="K72" s="17" t="s">
        <v>63</v>
      </c>
      <c r="L72" s="17" t="s">
        <v>20</v>
      </c>
      <c r="M72" s="17" t="s">
        <v>301</v>
      </c>
      <c r="N72" s="17" t="s">
        <v>20</v>
      </c>
      <c r="O72" s="17" t="s">
        <v>241</v>
      </c>
      <c r="P72" s="17" t="s">
        <v>20</v>
      </c>
      <c r="Q72" s="17" t="s">
        <v>245</v>
      </c>
      <c r="R72" s="17" t="s">
        <v>20</v>
      </c>
      <c r="S72" s="17" t="s">
        <v>269</v>
      </c>
      <c r="T72" s="17">
        <v>400</v>
      </c>
      <c r="U72" s="18">
        <v>0</v>
      </c>
      <c r="X72" s="17" t="s">
        <v>67</v>
      </c>
      <c r="Y72" s="17" t="s">
        <v>230</v>
      </c>
      <c r="Z72" s="17" t="s">
        <v>231</v>
      </c>
      <c r="AA72" s="28">
        <v>779397.90939299995</v>
      </c>
      <c r="AB72" s="28">
        <v>2423542.82883</v>
      </c>
    </row>
    <row r="73" spans="1:28">
      <c r="A73" s="17">
        <v>72</v>
      </c>
      <c r="B73" s="17">
        <v>812310</v>
      </c>
      <c r="C73" s="17" t="s">
        <v>1044</v>
      </c>
      <c r="D73" s="17" t="s">
        <v>52</v>
      </c>
      <c r="E73" s="17" t="s">
        <v>1230</v>
      </c>
      <c r="F73" s="17" t="s">
        <v>1057</v>
      </c>
      <c r="G73" s="17" t="s">
        <v>1231</v>
      </c>
      <c r="H73" s="17" t="s">
        <v>69</v>
      </c>
      <c r="I73" s="17">
        <v>20030</v>
      </c>
      <c r="J73" s="17" t="s">
        <v>54</v>
      </c>
      <c r="K73" s="17" t="s">
        <v>63</v>
      </c>
      <c r="L73" s="17" t="s">
        <v>20</v>
      </c>
      <c r="M73" s="17" t="s">
        <v>252</v>
      </c>
      <c r="N73" s="17" t="s">
        <v>20</v>
      </c>
      <c r="O73" s="17" t="s">
        <v>234</v>
      </c>
      <c r="P73" s="17" t="s">
        <v>20</v>
      </c>
      <c r="Q73" s="17" t="s">
        <v>238</v>
      </c>
      <c r="R73" s="17" t="s">
        <v>20</v>
      </c>
      <c r="S73" s="17" t="s">
        <v>237</v>
      </c>
      <c r="T73" s="17">
        <v>1503</v>
      </c>
      <c r="U73" s="18">
        <v>0</v>
      </c>
      <c r="V73" s="17" t="s">
        <v>1232</v>
      </c>
      <c r="X73" s="17" t="s">
        <v>67</v>
      </c>
      <c r="Y73" s="17" t="s">
        <v>230</v>
      </c>
      <c r="Z73" s="17" t="s">
        <v>231</v>
      </c>
      <c r="AA73" s="28">
        <v>779776.95233100001</v>
      </c>
      <c r="AB73" s="28">
        <v>2424122.80663</v>
      </c>
    </row>
    <row r="74" spans="1:28">
      <c r="A74" s="17">
        <v>73</v>
      </c>
      <c r="B74" s="17">
        <v>812310</v>
      </c>
      <c r="C74" s="17" t="s">
        <v>1044</v>
      </c>
      <c r="D74" s="17" t="s">
        <v>52</v>
      </c>
      <c r="E74" s="17" t="s">
        <v>1233</v>
      </c>
      <c r="F74" s="17" t="s">
        <v>1057</v>
      </c>
      <c r="G74" s="17" t="s">
        <v>1234</v>
      </c>
      <c r="H74" s="17" t="s">
        <v>69</v>
      </c>
      <c r="I74" s="17">
        <v>20030</v>
      </c>
      <c r="J74" s="17" t="s">
        <v>54</v>
      </c>
      <c r="K74" s="17" t="s">
        <v>63</v>
      </c>
      <c r="L74" s="17" t="s">
        <v>20</v>
      </c>
      <c r="M74" s="17" t="s">
        <v>1235</v>
      </c>
      <c r="N74" s="17" t="s">
        <v>20</v>
      </c>
      <c r="O74" s="17" t="s">
        <v>1236</v>
      </c>
      <c r="P74" s="17" t="s">
        <v>20</v>
      </c>
      <c r="Q74" s="17" t="s">
        <v>1237</v>
      </c>
      <c r="R74" s="17" t="s">
        <v>20</v>
      </c>
      <c r="S74" s="17" t="s">
        <v>260</v>
      </c>
      <c r="T74" s="17">
        <v>1401</v>
      </c>
      <c r="U74" s="18">
        <v>0</v>
      </c>
      <c r="V74" s="17" t="s">
        <v>1238</v>
      </c>
      <c r="W74" s="17" t="s">
        <v>1239</v>
      </c>
      <c r="X74" s="17" t="s">
        <v>67</v>
      </c>
      <c r="Y74" s="17" t="s">
        <v>230</v>
      </c>
      <c r="Z74" s="17" t="s">
        <v>231</v>
      </c>
      <c r="AA74" s="28">
        <v>779827.84611699998</v>
      </c>
      <c r="AB74" s="28">
        <v>2423974.3018200002</v>
      </c>
    </row>
    <row r="75" spans="1:28">
      <c r="A75" s="17">
        <v>74</v>
      </c>
      <c r="B75" s="17">
        <v>813120</v>
      </c>
      <c r="C75" s="17" t="s">
        <v>1044</v>
      </c>
      <c r="D75" s="17" t="s">
        <v>52</v>
      </c>
      <c r="E75" s="17" t="s">
        <v>1240</v>
      </c>
      <c r="F75" s="17" t="s">
        <v>1173</v>
      </c>
      <c r="G75" s="17" t="s">
        <v>1241</v>
      </c>
      <c r="H75" s="17" t="s">
        <v>69</v>
      </c>
      <c r="I75" s="17">
        <v>20030</v>
      </c>
      <c r="J75" s="17" t="s">
        <v>54</v>
      </c>
      <c r="K75" s="17" t="s">
        <v>55</v>
      </c>
      <c r="L75" s="17" t="s">
        <v>20</v>
      </c>
      <c r="M75" s="17" t="s">
        <v>247</v>
      </c>
      <c r="N75" s="17" t="s">
        <v>20</v>
      </c>
      <c r="O75" s="17" t="s">
        <v>100</v>
      </c>
      <c r="P75" s="17" t="s">
        <v>20</v>
      </c>
      <c r="Q75" s="17" t="s">
        <v>238</v>
      </c>
      <c r="R75" s="17" t="s">
        <v>20</v>
      </c>
      <c r="S75" s="17" t="s">
        <v>264</v>
      </c>
      <c r="T75" s="17">
        <v>718</v>
      </c>
      <c r="U75" s="18">
        <v>4499932669</v>
      </c>
      <c r="X75" s="17" t="s">
        <v>64</v>
      </c>
      <c r="Y75" s="17" t="s">
        <v>230</v>
      </c>
      <c r="Z75" s="17" t="s">
        <v>231</v>
      </c>
      <c r="AA75" s="28">
        <v>779702.25347899995</v>
      </c>
      <c r="AB75" s="28">
        <v>2423978.4835799998</v>
      </c>
    </row>
    <row r="76" spans="1:28">
      <c r="A76" s="17">
        <v>75</v>
      </c>
      <c r="B76" s="17">
        <v>813230</v>
      </c>
      <c r="C76" s="17" t="s">
        <v>1044</v>
      </c>
      <c r="D76" s="17" t="s">
        <v>52</v>
      </c>
      <c r="E76" s="17" t="s">
        <v>1242</v>
      </c>
      <c r="F76" s="17" t="s">
        <v>1061</v>
      </c>
      <c r="H76" s="17" t="s">
        <v>69</v>
      </c>
      <c r="I76" s="17">
        <v>20030</v>
      </c>
      <c r="J76" s="17" t="s">
        <v>54</v>
      </c>
      <c r="K76" s="17" t="s">
        <v>55</v>
      </c>
      <c r="L76" s="17" t="s">
        <v>20</v>
      </c>
      <c r="M76" s="17" t="s">
        <v>251</v>
      </c>
      <c r="N76" s="17" t="s">
        <v>20</v>
      </c>
      <c r="O76" s="17" t="s">
        <v>261</v>
      </c>
      <c r="P76" s="17" t="s">
        <v>20</v>
      </c>
      <c r="Q76" s="17" t="s">
        <v>239</v>
      </c>
      <c r="R76" s="17" t="s">
        <v>20</v>
      </c>
      <c r="S76" s="17" t="s">
        <v>263</v>
      </c>
      <c r="T76" s="17">
        <v>202</v>
      </c>
      <c r="U76" s="18">
        <v>0</v>
      </c>
      <c r="X76" s="17" t="s">
        <v>60</v>
      </c>
      <c r="Y76" s="17" t="s">
        <v>230</v>
      </c>
      <c r="Z76" s="17" t="s">
        <v>231</v>
      </c>
      <c r="AA76" s="28">
        <v>779756.94644800003</v>
      </c>
      <c r="AB76" s="28">
        <v>2423447.5078500002</v>
      </c>
    </row>
    <row r="77" spans="1:28">
      <c r="A77" s="17">
        <v>76</v>
      </c>
      <c r="B77" s="17">
        <v>813230</v>
      </c>
      <c r="C77" s="17" t="s">
        <v>1044</v>
      </c>
      <c r="D77" s="17" t="s">
        <v>52</v>
      </c>
      <c r="E77" s="17" t="s">
        <v>1243</v>
      </c>
      <c r="F77" s="17" t="s">
        <v>1061</v>
      </c>
      <c r="G77" s="17" t="s">
        <v>1244</v>
      </c>
      <c r="H77" s="17" t="s">
        <v>69</v>
      </c>
      <c r="I77" s="17">
        <v>20030</v>
      </c>
      <c r="J77" s="17" t="s">
        <v>54</v>
      </c>
      <c r="K77" s="17" t="s">
        <v>55</v>
      </c>
      <c r="L77" s="17" t="s">
        <v>20</v>
      </c>
      <c r="M77" s="17" t="s">
        <v>252</v>
      </c>
      <c r="N77" s="17" t="s">
        <v>20</v>
      </c>
      <c r="O77" s="17" t="s">
        <v>245</v>
      </c>
      <c r="P77" s="17" t="s">
        <v>20</v>
      </c>
      <c r="Q77" s="17" t="s">
        <v>251</v>
      </c>
      <c r="R77" s="17" t="s">
        <v>20</v>
      </c>
      <c r="S77" s="17" t="s">
        <v>237</v>
      </c>
      <c r="T77" s="17">
        <v>1033</v>
      </c>
      <c r="U77" s="18">
        <v>5578700336</v>
      </c>
      <c r="X77" s="17" t="s">
        <v>67</v>
      </c>
      <c r="Y77" s="17" t="s">
        <v>230</v>
      </c>
      <c r="Z77" s="17" t="s">
        <v>231</v>
      </c>
      <c r="AA77" s="28">
        <v>779942.45629500004</v>
      </c>
      <c r="AB77" s="28">
        <v>2423611.9396700002</v>
      </c>
    </row>
    <row r="78" spans="1:28">
      <c r="A78" s="17">
        <v>77</v>
      </c>
      <c r="B78" s="17">
        <v>813230</v>
      </c>
      <c r="C78" s="17" t="s">
        <v>1044</v>
      </c>
      <c r="D78" s="17" t="s">
        <v>52</v>
      </c>
      <c r="E78" s="17" t="s">
        <v>1245</v>
      </c>
      <c r="F78" s="17" t="s">
        <v>1061</v>
      </c>
      <c r="G78" s="17" t="s">
        <v>1246</v>
      </c>
      <c r="H78" s="17" t="s">
        <v>69</v>
      </c>
      <c r="I78" s="17">
        <v>20030</v>
      </c>
      <c r="J78" s="17" t="s">
        <v>54</v>
      </c>
      <c r="K78" s="17" t="s">
        <v>63</v>
      </c>
      <c r="L78" s="17" t="s">
        <v>20</v>
      </c>
      <c r="M78" s="17" t="s">
        <v>266</v>
      </c>
      <c r="N78" s="17" t="s">
        <v>56</v>
      </c>
      <c r="O78" s="17" t="s">
        <v>106</v>
      </c>
      <c r="P78" s="17" t="s">
        <v>20</v>
      </c>
      <c r="Q78" s="17" t="s">
        <v>253</v>
      </c>
      <c r="R78" s="17" t="s">
        <v>20</v>
      </c>
      <c r="S78" s="17" t="s">
        <v>240</v>
      </c>
      <c r="T78" s="17">
        <v>318</v>
      </c>
      <c r="U78" s="18">
        <v>0</v>
      </c>
      <c r="X78" s="17" t="s">
        <v>60</v>
      </c>
      <c r="Y78" s="17" t="s">
        <v>230</v>
      </c>
      <c r="Z78" s="17" t="s">
        <v>231</v>
      </c>
      <c r="AA78" s="28">
        <v>779452.37127600005</v>
      </c>
      <c r="AB78" s="28">
        <v>2423763.4761399999</v>
      </c>
    </row>
    <row r="79" spans="1:28">
      <c r="A79" s="17">
        <v>78</v>
      </c>
      <c r="B79" s="17">
        <v>624412</v>
      </c>
      <c r="C79" s="17" t="s">
        <v>1044</v>
      </c>
      <c r="D79" s="17" t="s">
        <v>1008</v>
      </c>
      <c r="E79" s="17" t="s">
        <v>1247</v>
      </c>
      <c r="F79" s="17" t="s">
        <v>1123</v>
      </c>
      <c r="H79" s="17" t="s">
        <v>69</v>
      </c>
      <c r="I79" s="17">
        <v>20070</v>
      </c>
      <c r="J79" s="17" t="s">
        <v>54</v>
      </c>
      <c r="K79" s="17" t="s">
        <v>63</v>
      </c>
      <c r="L79" s="17" t="s">
        <v>20</v>
      </c>
      <c r="M79" s="17" t="s">
        <v>221</v>
      </c>
      <c r="N79" s="17" t="s">
        <v>20</v>
      </c>
      <c r="O79" s="17" t="s">
        <v>276</v>
      </c>
      <c r="P79" s="17" t="s">
        <v>58</v>
      </c>
      <c r="Q79" s="17" t="s">
        <v>59</v>
      </c>
      <c r="R79" s="17" t="s">
        <v>20</v>
      </c>
      <c r="S79" s="17" t="s">
        <v>275</v>
      </c>
      <c r="T79" s="17">
        <v>144</v>
      </c>
      <c r="U79" s="18">
        <v>0</v>
      </c>
      <c r="X79" s="17" t="s">
        <v>64</v>
      </c>
      <c r="Y79" s="17" t="s">
        <v>144</v>
      </c>
      <c r="Z79" s="17" t="s">
        <v>231</v>
      </c>
      <c r="AA79" s="28">
        <v>777938.136711</v>
      </c>
      <c r="AB79" s="28">
        <v>2421896.6047800002</v>
      </c>
    </row>
    <row r="80" spans="1:28">
      <c r="A80" s="17">
        <v>79</v>
      </c>
      <c r="B80" s="17">
        <v>813120</v>
      </c>
      <c r="C80" s="17" t="s">
        <v>1044</v>
      </c>
      <c r="D80" s="17" t="s">
        <v>52</v>
      </c>
      <c r="E80" s="17" t="s">
        <v>1248</v>
      </c>
      <c r="F80" s="17" t="s">
        <v>1173</v>
      </c>
      <c r="G80" s="17" t="s">
        <v>1249</v>
      </c>
      <c r="H80" s="17" t="s">
        <v>69</v>
      </c>
      <c r="I80" s="17">
        <v>20070</v>
      </c>
      <c r="J80" s="17" t="s">
        <v>54</v>
      </c>
      <c r="K80" s="17" t="s">
        <v>55</v>
      </c>
      <c r="L80" s="17" t="s">
        <v>20</v>
      </c>
      <c r="M80" s="17" t="s">
        <v>282</v>
      </c>
      <c r="N80" s="17" t="s">
        <v>20</v>
      </c>
      <c r="O80" s="17" t="s">
        <v>280</v>
      </c>
      <c r="P80" s="17" t="s">
        <v>56</v>
      </c>
      <c r="Q80" s="17" t="s">
        <v>289</v>
      </c>
      <c r="R80" s="17" t="s">
        <v>20</v>
      </c>
      <c r="S80" s="17" t="s">
        <v>272</v>
      </c>
      <c r="T80" s="17">
        <v>0</v>
      </c>
      <c r="U80" s="18">
        <v>0</v>
      </c>
      <c r="X80" s="17" t="s">
        <v>67</v>
      </c>
      <c r="Y80" s="17" t="s">
        <v>144</v>
      </c>
      <c r="Z80" s="17" t="s">
        <v>231</v>
      </c>
      <c r="AA80" s="28">
        <v>777695.61387</v>
      </c>
      <c r="AB80" s="28">
        <v>2421658.9840099998</v>
      </c>
    </row>
    <row r="81" spans="1:28">
      <c r="A81" s="17">
        <v>80</v>
      </c>
      <c r="B81" s="17">
        <v>813120</v>
      </c>
      <c r="C81" s="17" t="s">
        <v>1044</v>
      </c>
      <c r="D81" s="17" t="s">
        <v>52</v>
      </c>
      <c r="E81" s="17" t="s">
        <v>1250</v>
      </c>
      <c r="F81" s="17" t="s">
        <v>1173</v>
      </c>
      <c r="G81" s="17" t="s">
        <v>1251</v>
      </c>
      <c r="H81" s="17" t="s">
        <v>104</v>
      </c>
      <c r="I81" s="17">
        <v>20210</v>
      </c>
      <c r="J81" s="17" t="s">
        <v>54</v>
      </c>
      <c r="K81" s="17" t="s">
        <v>55</v>
      </c>
      <c r="L81" s="17" t="s">
        <v>20</v>
      </c>
      <c r="M81" s="17" t="s">
        <v>278</v>
      </c>
      <c r="N81" s="17" t="s">
        <v>20</v>
      </c>
      <c r="O81" s="17" t="s">
        <v>277</v>
      </c>
      <c r="P81" s="17" t="s">
        <v>20</v>
      </c>
      <c r="Q81" s="17" t="s">
        <v>279</v>
      </c>
      <c r="R81" s="17" t="s">
        <v>20</v>
      </c>
      <c r="S81" s="17" t="s">
        <v>1252</v>
      </c>
      <c r="T81" s="17">
        <v>206</v>
      </c>
      <c r="U81" s="18">
        <v>4499159412</v>
      </c>
      <c r="V81" s="17" t="s">
        <v>1253</v>
      </c>
      <c r="X81" s="17" t="s">
        <v>67</v>
      </c>
      <c r="Y81" s="17" t="s">
        <v>144</v>
      </c>
      <c r="Z81" s="17" t="s">
        <v>231</v>
      </c>
      <c r="AA81" s="28">
        <v>778024.527856</v>
      </c>
      <c r="AB81" s="28">
        <v>2421180.2051200001</v>
      </c>
    </row>
    <row r="82" spans="1:28">
      <c r="A82" s="17">
        <v>81</v>
      </c>
      <c r="B82" s="17">
        <v>813230</v>
      </c>
      <c r="C82" s="17" t="s">
        <v>1044</v>
      </c>
      <c r="D82" s="17" t="s">
        <v>52</v>
      </c>
      <c r="E82" s="17" t="s">
        <v>1254</v>
      </c>
      <c r="F82" s="17" t="s">
        <v>1061</v>
      </c>
      <c r="H82" s="17" t="s">
        <v>53</v>
      </c>
      <c r="I82" s="17">
        <v>20059</v>
      </c>
      <c r="J82" s="17" t="s">
        <v>54</v>
      </c>
      <c r="K82" s="17" t="s">
        <v>55</v>
      </c>
      <c r="L82" s="17" t="s">
        <v>20</v>
      </c>
      <c r="M82" s="17" t="s">
        <v>221</v>
      </c>
      <c r="N82" s="17" t="s">
        <v>20</v>
      </c>
      <c r="O82" s="17" t="s">
        <v>140</v>
      </c>
      <c r="P82" s="17" t="s">
        <v>56</v>
      </c>
      <c r="Q82" s="17" t="s">
        <v>140</v>
      </c>
      <c r="R82" s="17" t="s">
        <v>20</v>
      </c>
      <c r="S82" s="17" t="s">
        <v>140</v>
      </c>
      <c r="T82" s="17">
        <v>557</v>
      </c>
      <c r="U82" s="18">
        <v>4499940190</v>
      </c>
      <c r="X82" s="17" t="s">
        <v>64</v>
      </c>
      <c r="Y82" s="17" t="s">
        <v>144</v>
      </c>
      <c r="Z82" s="17" t="s">
        <v>231</v>
      </c>
      <c r="AA82" s="28">
        <v>778066.24073099997</v>
      </c>
      <c r="AB82" s="28">
        <v>2422504.0823900001</v>
      </c>
    </row>
    <row r="83" spans="1:28">
      <c r="A83" s="17">
        <v>82</v>
      </c>
      <c r="B83" s="17">
        <v>624211</v>
      </c>
      <c r="C83" s="17" t="s">
        <v>1044</v>
      </c>
      <c r="D83" s="17" t="s">
        <v>52</v>
      </c>
      <c r="E83" s="17" t="s">
        <v>1255</v>
      </c>
      <c r="F83" s="17" t="s">
        <v>1080</v>
      </c>
      <c r="G83" s="17" t="s">
        <v>1256</v>
      </c>
      <c r="H83" s="17" t="s">
        <v>104</v>
      </c>
      <c r="I83" s="17">
        <v>20140</v>
      </c>
      <c r="J83" s="17" t="s">
        <v>54</v>
      </c>
      <c r="K83" s="17" t="s">
        <v>78</v>
      </c>
      <c r="L83" s="17" t="s">
        <v>20</v>
      </c>
      <c r="M83" s="17" t="s">
        <v>343</v>
      </c>
      <c r="N83" s="17" t="s">
        <v>56</v>
      </c>
      <c r="O83" s="17" t="s">
        <v>227</v>
      </c>
      <c r="P83" s="17" t="s">
        <v>20</v>
      </c>
      <c r="Q83" s="17" t="s">
        <v>307</v>
      </c>
      <c r="R83" s="17" t="s">
        <v>20</v>
      </c>
      <c r="S83" s="17" t="s">
        <v>342</v>
      </c>
      <c r="T83" s="17">
        <v>202</v>
      </c>
      <c r="U83" s="18">
        <v>0</v>
      </c>
      <c r="V83" s="17" t="s">
        <v>1257</v>
      </c>
      <c r="X83" s="17" t="s">
        <v>60</v>
      </c>
      <c r="Y83" s="17" t="s">
        <v>197</v>
      </c>
      <c r="Z83" s="17" t="s">
        <v>231</v>
      </c>
      <c r="AA83" s="28">
        <v>779964.08005600004</v>
      </c>
      <c r="AB83" s="28">
        <v>2424844.9167800001</v>
      </c>
    </row>
    <row r="84" spans="1:28">
      <c r="A84" s="17">
        <v>83</v>
      </c>
      <c r="B84" s="17">
        <v>624411</v>
      </c>
      <c r="C84" s="17" t="s">
        <v>1044</v>
      </c>
      <c r="D84" s="17" t="s">
        <v>52</v>
      </c>
      <c r="E84" s="17" t="s">
        <v>1258</v>
      </c>
      <c r="F84" s="17" t="s">
        <v>1046</v>
      </c>
      <c r="H84" s="17" t="s">
        <v>104</v>
      </c>
      <c r="I84" s="17">
        <v>20020</v>
      </c>
      <c r="J84" s="17" t="s">
        <v>54</v>
      </c>
      <c r="K84" s="17" t="s">
        <v>55</v>
      </c>
      <c r="L84" s="17" t="s">
        <v>20</v>
      </c>
      <c r="M84" s="17" t="s">
        <v>301</v>
      </c>
      <c r="N84" s="17" t="s">
        <v>20</v>
      </c>
      <c r="O84" s="17" t="s">
        <v>291</v>
      </c>
      <c r="P84" s="17" t="s">
        <v>56</v>
      </c>
      <c r="Q84" s="17" t="s">
        <v>268</v>
      </c>
      <c r="R84" s="17" t="s">
        <v>20</v>
      </c>
      <c r="S84" s="17" t="s">
        <v>269</v>
      </c>
      <c r="T84" s="17">
        <v>321</v>
      </c>
      <c r="U84" s="18">
        <v>4494664888</v>
      </c>
      <c r="V84" s="17" t="s">
        <v>1259</v>
      </c>
      <c r="X84" s="17" t="s">
        <v>67</v>
      </c>
      <c r="Y84" s="17" t="s">
        <v>197</v>
      </c>
      <c r="Z84" s="17" t="s">
        <v>231</v>
      </c>
      <c r="AA84" s="28">
        <v>779193.905532</v>
      </c>
      <c r="AB84" s="28">
        <v>2424191.3182199998</v>
      </c>
    </row>
    <row r="85" spans="1:28">
      <c r="A85" s="17">
        <v>84</v>
      </c>
      <c r="B85" s="17">
        <v>624411</v>
      </c>
      <c r="C85" s="17" t="s">
        <v>1044</v>
      </c>
      <c r="D85" s="17" t="s">
        <v>52</v>
      </c>
      <c r="E85" s="17" t="s">
        <v>1260</v>
      </c>
      <c r="F85" s="17" t="s">
        <v>1046</v>
      </c>
      <c r="H85" s="17" t="s">
        <v>104</v>
      </c>
      <c r="I85" s="17">
        <v>20020</v>
      </c>
      <c r="J85" s="17" t="s">
        <v>54</v>
      </c>
      <c r="K85" s="17" t="s">
        <v>63</v>
      </c>
      <c r="L85" s="17" t="s">
        <v>20</v>
      </c>
      <c r="M85" s="17" t="s">
        <v>100</v>
      </c>
      <c r="N85" s="17" t="s">
        <v>20</v>
      </c>
      <c r="O85" s="17" t="s">
        <v>79</v>
      </c>
      <c r="P85" s="17" t="s">
        <v>20</v>
      </c>
      <c r="Q85" s="17" t="s">
        <v>336</v>
      </c>
      <c r="R85" s="17" t="s">
        <v>20</v>
      </c>
      <c r="S85" s="17" t="s">
        <v>234</v>
      </c>
      <c r="T85" s="17">
        <v>1329</v>
      </c>
      <c r="U85" s="18">
        <v>0</v>
      </c>
      <c r="V85" s="17" t="s">
        <v>1261</v>
      </c>
      <c r="X85" s="17" t="s">
        <v>60</v>
      </c>
      <c r="Y85" s="17" t="s">
        <v>197</v>
      </c>
      <c r="Z85" s="17" t="s">
        <v>231</v>
      </c>
      <c r="AA85" s="28">
        <v>778804.15927399998</v>
      </c>
      <c r="AB85" s="28">
        <v>2423691.3327100002</v>
      </c>
    </row>
    <row r="86" spans="1:28">
      <c r="A86" s="17">
        <v>85</v>
      </c>
      <c r="B86" s="17">
        <v>624411</v>
      </c>
      <c r="C86" s="17" t="s">
        <v>1044</v>
      </c>
      <c r="D86" s="17" t="s">
        <v>52</v>
      </c>
      <c r="E86" s="17" t="s">
        <v>1262</v>
      </c>
      <c r="F86" s="17" t="s">
        <v>1046</v>
      </c>
      <c r="G86" s="17" t="s">
        <v>1263</v>
      </c>
      <c r="H86" s="17" t="s">
        <v>104</v>
      </c>
      <c r="I86" s="17">
        <v>20010</v>
      </c>
      <c r="J86" s="17" t="s">
        <v>54</v>
      </c>
      <c r="K86" s="17" t="s">
        <v>88</v>
      </c>
      <c r="L86" s="17" t="s">
        <v>20</v>
      </c>
      <c r="M86" s="17" t="s">
        <v>306</v>
      </c>
      <c r="N86" s="17" t="s">
        <v>20</v>
      </c>
      <c r="O86" s="17" t="s">
        <v>1264</v>
      </c>
      <c r="P86" s="17" t="s">
        <v>56</v>
      </c>
      <c r="Q86" s="17" t="s">
        <v>1265</v>
      </c>
      <c r="R86" s="17" t="s">
        <v>20</v>
      </c>
      <c r="S86" s="17" t="s">
        <v>1266</v>
      </c>
      <c r="T86" s="17">
        <v>102</v>
      </c>
      <c r="U86" s="18">
        <v>0</v>
      </c>
      <c r="V86" s="17" t="s">
        <v>1267</v>
      </c>
      <c r="X86" s="17" t="s">
        <v>67</v>
      </c>
      <c r="Y86" s="17" t="s">
        <v>197</v>
      </c>
      <c r="Z86" s="17" t="s">
        <v>231</v>
      </c>
      <c r="AA86" s="28">
        <v>777619.56771700003</v>
      </c>
      <c r="AB86" s="28">
        <v>2423901.55327</v>
      </c>
    </row>
    <row r="87" spans="1:28">
      <c r="A87" s="17">
        <v>86</v>
      </c>
      <c r="B87" s="17">
        <v>624411</v>
      </c>
      <c r="C87" s="17" t="s">
        <v>1044</v>
      </c>
      <c r="D87" s="17" t="s">
        <v>52</v>
      </c>
      <c r="E87" s="17" t="s">
        <v>1268</v>
      </c>
      <c r="F87" s="17" t="s">
        <v>1046</v>
      </c>
      <c r="H87" s="17" t="s">
        <v>104</v>
      </c>
      <c r="I87" s="17">
        <v>20010</v>
      </c>
      <c r="J87" s="17" t="s">
        <v>54</v>
      </c>
      <c r="K87" s="17" t="s">
        <v>63</v>
      </c>
      <c r="L87" s="17" t="s">
        <v>20</v>
      </c>
      <c r="M87" s="17" t="s">
        <v>352</v>
      </c>
      <c r="N87" s="17" t="s">
        <v>20</v>
      </c>
      <c r="O87" s="17" t="s">
        <v>333</v>
      </c>
      <c r="P87" s="17" t="s">
        <v>56</v>
      </c>
      <c r="Q87" s="17" t="s">
        <v>327</v>
      </c>
      <c r="R87" s="17" t="s">
        <v>20</v>
      </c>
      <c r="S87" s="17" t="s">
        <v>341</v>
      </c>
      <c r="T87" s="17">
        <v>132</v>
      </c>
      <c r="U87" s="18">
        <v>36121114</v>
      </c>
      <c r="V87" s="17" t="s">
        <v>1269</v>
      </c>
      <c r="X87" s="17" t="s">
        <v>64</v>
      </c>
      <c r="Y87" s="17" t="s">
        <v>197</v>
      </c>
      <c r="Z87" s="17" t="s">
        <v>231</v>
      </c>
      <c r="AA87" s="28">
        <v>778131.75103799999</v>
      </c>
      <c r="AB87" s="28">
        <v>2424195.8919600002</v>
      </c>
    </row>
    <row r="88" spans="1:28">
      <c r="A88" s="17">
        <v>87</v>
      </c>
      <c r="B88" s="17">
        <v>624412</v>
      </c>
      <c r="C88" s="17" t="s">
        <v>1044</v>
      </c>
      <c r="D88" s="17" t="s">
        <v>1008</v>
      </c>
      <c r="E88" s="17" t="s">
        <v>1270</v>
      </c>
      <c r="F88" s="17" t="s">
        <v>1123</v>
      </c>
      <c r="G88" s="17" t="s">
        <v>1013</v>
      </c>
      <c r="H88" s="17" t="s">
        <v>69</v>
      </c>
      <c r="I88" s="17">
        <v>20010</v>
      </c>
      <c r="J88" s="17" t="s">
        <v>54</v>
      </c>
      <c r="K88" s="17" t="s">
        <v>78</v>
      </c>
      <c r="L88" s="17" t="s">
        <v>20</v>
      </c>
      <c r="M88" s="17" t="s">
        <v>308</v>
      </c>
      <c r="N88" s="17" t="s">
        <v>20</v>
      </c>
      <c r="O88" s="17" t="s">
        <v>328</v>
      </c>
      <c r="P88" s="17" t="s">
        <v>20</v>
      </c>
      <c r="Q88" s="17" t="s">
        <v>309</v>
      </c>
      <c r="R88" s="17" t="s">
        <v>20</v>
      </c>
      <c r="S88" s="17" t="s">
        <v>330</v>
      </c>
      <c r="T88" s="17">
        <v>810</v>
      </c>
      <c r="U88" s="18">
        <v>4499140288</v>
      </c>
      <c r="X88" s="17" t="s">
        <v>67</v>
      </c>
      <c r="Y88" s="17" t="s">
        <v>197</v>
      </c>
      <c r="Z88" s="17" t="s">
        <v>231</v>
      </c>
      <c r="AA88" s="28">
        <v>777327.26435399998</v>
      </c>
      <c r="AB88" s="28">
        <v>2423488.3353400002</v>
      </c>
    </row>
    <row r="89" spans="1:28">
      <c r="A89" s="17">
        <v>88</v>
      </c>
      <c r="B89" s="17">
        <v>624412</v>
      </c>
      <c r="C89" s="17" t="s">
        <v>1044</v>
      </c>
      <c r="D89" s="17" t="s">
        <v>1008</v>
      </c>
      <c r="E89" s="17" t="s">
        <v>1271</v>
      </c>
      <c r="F89" s="17" t="s">
        <v>1123</v>
      </c>
      <c r="H89" s="17" t="s">
        <v>104</v>
      </c>
      <c r="I89" s="17">
        <v>20020</v>
      </c>
      <c r="J89" s="17" t="s">
        <v>54</v>
      </c>
      <c r="K89" s="17" t="s">
        <v>55</v>
      </c>
      <c r="L89" s="17" t="s">
        <v>20</v>
      </c>
      <c r="M89" s="17" t="s">
        <v>267</v>
      </c>
      <c r="N89" s="17" t="s">
        <v>56</v>
      </c>
      <c r="O89" s="17" t="s">
        <v>300</v>
      </c>
      <c r="P89" s="17" t="s">
        <v>20</v>
      </c>
      <c r="Q89" s="17" t="s">
        <v>312</v>
      </c>
      <c r="R89" s="17" t="s">
        <v>20</v>
      </c>
      <c r="S89" s="17" t="s">
        <v>265</v>
      </c>
      <c r="T89" s="17">
        <v>0</v>
      </c>
      <c r="U89" s="18">
        <v>4491155086</v>
      </c>
      <c r="X89" s="17" t="s">
        <v>67</v>
      </c>
      <c r="Y89" s="17" t="s">
        <v>197</v>
      </c>
      <c r="Z89" s="17" t="s">
        <v>231</v>
      </c>
      <c r="AA89" s="28">
        <v>778844.81171399995</v>
      </c>
      <c r="AB89" s="28">
        <v>2424476.3029100001</v>
      </c>
    </row>
    <row r="90" spans="1:28">
      <c r="A90" s="17">
        <v>89</v>
      </c>
      <c r="B90" s="17">
        <v>624191</v>
      </c>
      <c r="C90" s="17" t="s">
        <v>1044</v>
      </c>
      <c r="D90" s="17" t="s">
        <v>52</v>
      </c>
      <c r="E90" s="17" t="s">
        <v>1272</v>
      </c>
      <c r="F90" s="17" t="s">
        <v>1064</v>
      </c>
      <c r="G90" s="17" t="s">
        <v>1273</v>
      </c>
      <c r="H90" s="17" t="s">
        <v>69</v>
      </c>
      <c r="I90" s="17">
        <v>20140</v>
      </c>
      <c r="J90" s="17" t="s">
        <v>54</v>
      </c>
      <c r="K90" s="17" t="s">
        <v>55</v>
      </c>
      <c r="L90" s="17" t="s">
        <v>58</v>
      </c>
      <c r="M90" s="17" t="s">
        <v>59</v>
      </c>
      <c r="N90" s="17" t="s">
        <v>161</v>
      </c>
      <c r="O90" s="17" t="s">
        <v>295</v>
      </c>
      <c r="P90" s="17" t="s">
        <v>20</v>
      </c>
      <c r="Q90" s="17" t="s">
        <v>113</v>
      </c>
      <c r="R90" s="17" t="s">
        <v>20</v>
      </c>
      <c r="S90" s="17" t="s">
        <v>335</v>
      </c>
      <c r="T90" s="17">
        <v>33</v>
      </c>
      <c r="U90" s="18">
        <v>0</v>
      </c>
      <c r="X90" s="17" t="s">
        <v>216</v>
      </c>
      <c r="Y90" s="17" t="s">
        <v>197</v>
      </c>
      <c r="Z90" s="17" t="s">
        <v>231</v>
      </c>
      <c r="AA90" s="28">
        <v>779826.42023699998</v>
      </c>
      <c r="AB90" s="28">
        <v>2424411.4592400002</v>
      </c>
    </row>
    <row r="91" spans="1:28">
      <c r="A91" s="17">
        <v>90</v>
      </c>
      <c r="B91" s="17">
        <v>624191</v>
      </c>
      <c r="C91" s="17" t="s">
        <v>1044</v>
      </c>
      <c r="D91" s="17" t="s">
        <v>52</v>
      </c>
      <c r="E91" s="17" t="s">
        <v>1274</v>
      </c>
      <c r="F91" s="17" t="s">
        <v>1064</v>
      </c>
      <c r="G91" s="17" t="s">
        <v>1275</v>
      </c>
      <c r="H91" s="17" t="s">
        <v>69</v>
      </c>
      <c r="I91" s="17">
        <v>20050</v>
      </c>
      <c r="J91" s="17" t="s">
        <v>54</v>
      </c>
      <c r="K91" s="17" t="s">
        <v>63</v>
      </c>
      <c r="L91" s="17" t="s">
        <v>20</v>
      </c>
      <c r="M91" s="17" t="s">
        <v>346</v>
      </c>
      <c r="N91" s="17" t="s">
        <v>20</v>
      </c>
      <c r="O91" s="17" t="s">
        <v>100</v>
      </c>
      <c r="P91" s="17" t="s">
        <v>20</v>
      </c>
      <c r="Q91" s="17" t="s">
        <v>107</v>
      </c>
      <c r="R91" s="17" t="s">
        <v>20</v>
      </c>
      <c r="S91" s="17" t="s">
        <v>1276</v>
      </c>
      <c r="T91" s="17">
        <v>128</v>
      </c>
      <c r="U91" s="18">
        <v>4499159148</v>
      </c>
      <c r="X91" s="17" t="s">
        <v>67</v>
      </c>
      <c r="Y91" s="17" t="s">
        <v>197</v>
      </c>
      <c r="Z91" s="17" t="s">
        <v>231</v>
      </c>
      <c r="AA91" s="28">
        <v>778912.95663999999</v>
      </c>
      <c r="AB91" s="28">
        <v>2423690.6866899999</v>
      </c>
    </row>
    <row r="92" spans="1:28">
      <c r="A92" s="17">
        <v>91</v>
      </c>
      <c r="B92" s="17">
        <v>624191</v>
      </c>
      <c r="C92" s="17" t="s">
        <v>1044</v>
      </c>
      <c r="D92" s="17" t="s">
        <v>52</v>
      </c>
      <c r="E92" s="17" t="s">
        <v>1277</v>
      </c>
      <c r="F92" s="17" t="s">
        <v>1064</v>
      </c>
      <c r="H92" s="17" t="s">
        <v>104</v>
      </c>
      <c r="I92" s="17">
        <v>20020</v>
      </c>
      <c r="J92" s="17" t="s">
        <v>54</v>
      </c>
      <c r="K92" s="17" t="s">
        <v>55</v>
      </c>
      <c r="L92" s="17" t="s">
        <v>20</v>
      </c>
      <c r="M92" s="17" t="s">
        <v>242</v>
      </c>
      <c r="N92" s="17" t="s">
        <v>20</v>
      </c>
      <c r="O92" s="17" t="s">
        <v>234</v>
      </c>
      <c r="P92" s="17" t="s">
        <v>56</v>
      </c>
      <c r="Q92" s="17" t="s">
        <v>268</v>
      </c>
      <c r="R92" s="17" t="s">
        <v>20</v>
      </c>
      <c r="S92" s="17" t="s">
        <v>246</v>
      </c>
      <c r="T92" s="17">
        <v>1515</v>
      </c>
      <c r="U92" s="18">
        <v>0</v>
      </c>
      <c r="X92" s="17" t="s">
        <v>67</v>
      </c>
      <c r="Y92" s="17" t="s">
        <v>197</v>
      </c>
      <c r="Z92" s="17" t="s">
        <v>231</v>
      </c>
      <c r="AA92" s="28">
        <v>779128.194089</v>
      </c>
      <c r="AB92" s="28">
        <v>2424079.0539899999</v>
      </c>
    </row>
    <row r="93" spans="1:28">
      <c r="A93" s="17">
        <v>92</v>
      </c>
      <c r="B93" s="17">
        <v>624191</v>
      </c>
      <c r="C93" s="17" t="s">
        <v>1044</v>
      </c>
      <c r="D93" s="17" t="s">
        <v>52</v>
      </c>
      <c r="E93" s="17" t="s">
        <v>1278</v>
      </c>
      <c r="F93" s="17" t="s">
        <v>1064</v>
      </c>
      <c r="G93" s="17" t="s">
        <v>1279</v>
      </c>
      <c r="H93" s="17" t="s">
        <v>104</v>
      </c>
      <c r="I93" s="17">
        <v>20130</v>
      </c>
      <c r="J93" s="17" t="s">
        <v>54</v>
      </c>
      <c r="K93" s="17" t="s">
        <v>78</v>
      </c>
      <c r="L93" s="17" t="s">
        <v>20</v>
      </c>
      <c r="M93" s="17" t="s">
        <v>76</v>
      </c>
      <c r="N93" s="17" t="s">
        <v>142</v>
      </c>
      <c r="O93" s="17" t="s">
        <v>351</v>
      </c>
      <c r="P93" s="17" t="s">
        <v>20</v>
      </c>
      <c r="Q93" s="17" t="s">
        <v>299</v>
      </c>
      <c r="R93" s="17" t="s">
        <v>56</v>
      </c>
      <c r="S93" s="17" t="s">
        <v>106</v>
      </c>
      <c r="T93" s="17">
        <v>723</v>
      </c>
      <c r="U93" s="18">
        <v>0</v>
      </c>
      <c r="X93" s="17" t="s">
        <v>64</v>
      </c>
      <c r="Y93" s="17" t="s">
        <v>197</v>
      </c>
      <c r="Z93" s="17" t="s">
        <v>231</v>
      </c>
      <c r="AA93" s="28">
        <v>779091.67789000005</v>
      </c>
      <c r="AB93" s="28">
        <v>2425112.2584099998</v>
      </c>
    </row>
    <row r="94" spans="1:28">
      <c r="A94" s="17">
        <v>93</v>
      </c>
      <c r="B94" s="17">
        <v>624191</v>
      </c>
      <c r="C94" s="17" t="s">
        <v>1044</v>
      </c>
      <c r="D94" s="17" t="s">
        <v>52</v>
      </c>
      <c r="E94" s="17" t="s">
        <v>1280</v>
      </c>
      <c r="F94" s="17" t="s">
        <v>1064</v>
      </c>
      <c r="G94" s="17" t="s">
        <v>1281</v>
      </c>
      <c r="H94" s="17" t="s">
        <v>104</v>
      </c>
      <c r="I94" s="17">
        <v>20016</v>
      </c>
      <c r="J94" s="17" t="s">
        <v>54</v>
      </c>
      <c r="K94" s="17" t="s">
        <v>55</v>
      </c>
      <c r="L94" s="17" t="s">
        <v>20</v>
      </c>
      <c r="M94" s="17" t="s">
        <v>319</v>
      </c>
      <c r="N94" s="17" t="s">
        <v>20</v>
      </c>
      <c r="O94" s="17" t="s">
        <v>317</v>
      </c>
      <c r="P94" s="17" t="s">
        <v>20</v>
      </c>
      <c r="Q94" s="17" t="s">
        <v>293</v>
      </c>
      <c r="R94" s="17" t="s">
        <v>20</v>
      </c>
      <c r="S94" s="17" t="s">
        <v>337</v>
      </c>
      <c r="T94" s="17">
        <v>101</v>
      </c>
      <c r="U94" s="18">
        <v>4499157497</v>
      </c>
      <c r="X94" s="17" t="s">
        <v>64</v>
      </c>
      <c r="Y94" s="17" t="s">
        <v>197</v>
      </c>
      <c r="Z94" s="17" t="s">
        <v>231</v>
      </c>
      <c r="AA94" s="28">
        <v>777680.15921399998</v>
      </c>
      <c r="AB94" s="28">
        <v>2424383.0912799998</v>
      </c>
    </row>
    <row r="95" spans="1:28">
      <c r="A95" s="17">
        <v>94</v>
      </c>
      <c r="B95" s="17">
        <v>624191</v>
      </c>
      <c r="C95" s="17" t="s">
        <v>1044</v>
      </c>
      <c r="D95" s="17" t="s">
        <v>52</v>
      </c>
      <c r="E95" s="17" t="s">
        <v>1282</v>
      </c>
      <c r="F95" s="17" t="s">
        <v>1064</v>
      </c>
      <c r="G95" s="17" t="s">
        <v>1283</v>
      </c>
      <c r="H95" s="17" t="s">
        <v>104</v>
      </c>
      <c r="I95" s="17">
        <v>20010</v>
      </c>
      <c r="J95" s="17" t="s">
        <v>54</v>
      </c>
      <c r="K95" s="17" t="s">
        <v>55</v>
      </c>
      <c r="L95" s="17" t="s">
        <v>20</v>
      </c>
      <c r="M95" s="17" t="s">
        <v>321</v>
      </c>
      <c r="N95" s="17" t="s">
        <v>20</v>
      </c>
      <c r="O95" s="17" t="s">
        <v>290</v>
      </c>
      <c r="P95" s="17" t="s">
        <v>20</v>
      </c>
      <c r="Q95" s="17" t="s">
        <v>306</v>
      </c>
      <c r="R95" s="17" t="s">
        <v>20</v>
      </c>
      <c r="S95" s="17" t="s">
        <v>1284</v>
      </c>
      <c r="T95" s="17">
        <v>210</v>
      </c>
      <c r="U95" s="18">
        <v>4499159148</v>
      </c>
      <c r="X95" s="17" t="s">
        <v>67</v>
      </c>
      <c r="Y95" s="17" t="s">
        <v>197</v>
      </c>
      <c r="Z95" s="17" t="s">
        <v>231</v>
      </c>
      <c r="AA95" s="28">
        <v>777478.96870500001</v>
      </c>
      <c r="AB95" s="28">
        <v>2423875.7127899998</v>
      </c>
    </row>
    <row r="96" spans="1:28">
      <c r="A96" s="17">
        <v>95</v>
      </c>
      <c r="B96" s="17">
        <v>624191</v>
      </c>
      <c r="C96" s="17" t="s">
        <v>1044</v>
      </c>
      <c r="D96" s="17" t="s">
        <v>52</v>
      </c>
      <c r="E96" s="17" t="s">
        <v>1285</v>
      </c>
      <c r="F96" s="17" t="s">
        <v>1064</v>
      </c>
      <c r="G96" s="17" t="s">
        <v>1286</v>
      </c>
      <c r="H96" s="17" t="s">
        <v>104</v>
      </c>
      <c r="I96" s="17">
        <v>20010</v>
      </c>
      <c r="J96" s="17" t="s">
        <v>54</v>
      </c>
      <c r="K96" s="17" t="s">
        <v>55</v>
      </c>
      <c r="L96" s="17" t="s">
        <v>20</v>
      </c>
      <c r="M96" s="17" t="s">
        <v>306</v>
      </c>
      <c r="N96" s="17" t="s">
        <v>20</v>
      </c>
      <c r="O96" s="17" t="s">
        <v>304</v>
      </c>
      <c r="P96" s="17" t="s">
        <v>20</v>
      </c>
      <c r="Q96" s="17" t="s">
        <v>305</v>
      </c>
      <c r="R96" s="17" t="s">
        <v>20</v>
      </c>
      <c r="S96" s="17" t="s">
        <v>1287</v>
      </c>
      <c r="T96" s="17">
        <v>401</v>
      </c>
      <c r="U96" s="18">
        <v>0</v>
      </c>
      <c r="X96" s="17" t="s">
        <v>60</v>
      </c>
      <c r="Y96" s="17" t="s">
        <v>197</v>
      </c>
      <c r="Z96" s="17" t="s">
        <v>231</v>
      </c>
      <c r="AA96" s="28">
        <v>777326.66533500003</v>
      </c>
      <c r="AB96" s="28">
        <v>2423716.8017000002</v>
      </c>
    </row>
    <row r="97" spans="1:28">
      <c r="A97" s="17">
        <v>96</v>
      </c>
      <c r="B97" s="17">
        <v>624191</v>
      </c>
      <c r="C97" s="17" t="s">
        <v>1044</v>
      </c>
      <c r="D97" s="17" t="s">
        <v>52</v>
      </c>
      <c r="E97" s="17" t="s">
        <v>1288</v>
      </c>
      <c r="F97" s="17" t="s">
        <v>1064</v>
      </c>
      <c r="G97" s="17" t="s">
        <v>1226</v>
      </c>
      <c r="H97" s="17" t="s">
        <v>104</v>
      </c>
      <c r="I97" s="17">
        <v>20010</v>
      </c>
      <c r="J97" s="17" t="s">
        <v>54</v>
      </c>
      <c r="K97" s="17" t="s">
        <v>63</v>
      </c>
      <c r="L97" s="17" t="s">
        <v>20</v>
      </c>
      <c r="M97" s="17" t="s">
        <v>328</v>
      </c>
      <c r="N97" s="17" t="s">
        <v>20</v>
      </c>
      <c r="O97" s="17" t="s">
        <v>303</v>
      </c>
      <c r="P97" s="17" t="s">
        <v>20</v>
      </c>
      <c r="Q97" s="17" t="s">
        <v>305</v>
      </c>
      <c r="R97" s="17" t="s">
        <v>20</v>
      </c>
      <c r="S97" s="17" t="s">
        <v>303</v>
      </c>
      <c r="T97" s="17">
        <v>204</v>
      </c>
      <c r="U97" s="18">
        <v>0</v>
      </c>
      <c r="X97" s="17" t="s">
        <v>216</v>
      </c>
      <c r="Y97" s="17" t="s">
        <v>197</v>
      </c>
      <c r="Z97" s="17" t="s">
        <v>231</v>
      </c>
      <c r="AA97" s="28">
        <v>777443.619145</v>
      </c>
      <c r="AB97" s="28">
        <v>2423665.3603300001</v>
      </c>
    </row>
    <row r="98" spans="1:28">
      <c r="A98" s="17">
        <v>97</v>
      </c>
      <c r="B98" s="17">
        <v>624191</v>
      </c>
      <c r="C98" s="17" t="s">
        <v>1044</v>
      </c>
      <c r="D98" s="17" t="s">
        <v>52</v>
      </c>
      <c r="E98" s="17" t="s">
        <v>1289</v>
      </c>
      <c r="F98" s="17" t="s">
        <v>1064</v>
      </c>
      <c r="G98" s="17" t="s">
        <v>1290</v>
      </c>
      <c r="H98" s="17" t="s">
        <v>104</v>
      </c>
      <c r="I98" s="17">
        <v>20140</v>
      </c>
      <c r="J98" s="17" t="s">
        <v>54</v>
      </c>
      <c r="K98" s="17" t="s">
        <v>55</v>
      </c>
      <c r="L98" s="17" t="s">
        <v>20</v>
      </c>
      <c r="M98" s="17" t="s">
        <v>342</v>
      </c>
      <c r="N98" s="17" t="s">
        <v>20</v>
      </c>
      <c r="O98" s="17" t="s">
        <v>307</v>
      </c>
      <c r="P98" s="17" t="s">
        <v>56</v>
      </c>
      <c r="Q98" s="17" t="s">
        <v>227</v>
      </c>
      <c r="R98" s="17" t="s">
        <v>20</v>
      </c>
      <c r="S98" s="17" t="s">
        <v>338</v>
      </c>
      <c r="T98" s="17">
        <v>202</v>
      </c>
      <c r="U98" s="18">
        <v>4499968821</v>
      </c>
      <c r="X98" s="17" t="s">
        <v>64</v>
      </c>
      <c r="Y98" s="17" t="s">
        <v>197</v>
      </c>
      <c r="Z98" s="17" t="s">
        <v>231</v>
      </c>
      <c r="AA98" s="28">
        <v>779945.91385500005</v>
      </c>
      <c r="AB98" s="28">
        <v>2424938.7916100002</v>
      </c>
    </row>
    <row r="99" spans="1:28">
      <c r="A99" s="17">
        <v>98</v>
      </c>
      <c r="B99" s="17">
        <v>624191</v>
      </c>
      <c r="C99" s="17" t="s">
        <v>1044</v>
      </c>
      <c r="D99" s="17" t="s">
        <v>52</v>
      </c>
      <c r="E99" s="17" t="s">
        <v>1291</v>
      </c>
      <c r="F99" s="17" t="s">
        <v>1064</v>
      </c>
      <c r="G99" s="17" t="s">
        <v>1226</v>
      </c>
      <c r="H99" s="17" t="s">
        <v>104</v>
      </c>
      <c r="I99" s="17">
        <v>20140</v>
      </c>
      <c r="J99" s="17" t="s">
        <v>54</v>
      </c>
      <c r="K99" s="17" t="s">
        <v>63</v>
      </c>
      <c r="L99" s="17" t="s">
        <v>56</v>
      </c>
      <c r="M99" s="17" t="s">
        <v>227</v>
      </c>
      <c r="N99" s="17" t="s">
        <v>20</v>
      </c>
      <c r="O99" s="17" t="s">
        <v>91</v>
      </c>
      <c r="P99" s="17" t="s">
        <v>58</v>
      </c>
      <c r="Q99" s="17" t="s">
        <v>343</v>
      </c>
      <c r="R99" s="17" t="s">
        <v>20</v>
      </c>
      <c r="S99" s="17" t="s">
        <v>342</v>
      </c>
      <c r="T99" s="17">
        <v>2353</v>
      </c>
      <c r="U99" s="18">
        <v>0</v>
      </c>
      <c r="X99" s="17" t="s">
        <v>64</v>
      </c>
      <c r="Y99" s="17" t="s">
        <v>197</v>
      </c>
      <c r="Z99" s="17" t="s">
        <v>231</v>
      </c>
      <c r="AA99" s="28">
        <v>780046.75070400001</v>
      </c>
      <c r="AB99" s="28">
        <v>2424809.4285200001</v>
      </c>
    </row>
    <row r="100" spans="1:28">
      <c r="A100" s="17">
        <v>99</v>
      </c>
      <c r="B100" s="17">
        <v>812310</v>
      </c>
      <c r="C100" s="17" t="s">
        <v>1044</v>
      </c>
      <c r="D100" s="17" t="s">
        <v>52</v>
      </c>
      <c r="E100" s="17" t="s">
        <v>1292</v>
      </c>
      <c r="F100" s="17" t="s">
        <v>1057</v>
      </c>
      <c r="H100" s="17" t="s">
        <v>104</v>
      </c>
      <c r="I100" s="17">
        <v>20010</v>
      </c>
      <c r="J100" s="17" t="s">
        <v>54</v>
      </c>
      <c r="K100" s="17" t="s">
        <v>55</v>
      </c>
      <c r="L100" s="17" t="s">
        <v>20</v>
      </c>
      <c r="M100" s="17" t="s">
        <v>320</v>
      </c>
      <c r="N100" s="17" t="s">
        <v>20</v>
      </c>
      <c r="O100" s="17" t="s">
        <v>333</v>
      </c>
      <c r="P100" s="17" t="s">
        <v>56</v>
      </c>
      <c r="Q100" s="17" t="s">
        <v>327</v>
      </c>
      <c r="R100" s="17" t="s">
        <v>20</v>
      </c>
      <c r="S100" s="17" t="s">
        <v>316</v>
      </c>
      <c r="T100" s="17">
        <v>107</v>
      </c>
      <c r="U100" s="18">
        <v>4499138916</v>
      </c>
      <c r="V100" s="17" t="s">
        <v>1293</v>
      </c>
      <c r="X100" s="17" t="s">
        <v>64</v>
      </c>
      <c r="Y100" s="17" t="s">
        <v>197</v>
      </c>
      <c r="Z100" s="17" t="s">
        <v>231</v>
      </c>
      <c r="AA100" s="28">
        <v>778133.59570599999</v>
      </c>
      <c r="AB100" s="28">
        <v>2424433.4524599998</v>
      </c>
    </row>
    <row r="101" spans="1:28">
      <c r="A101" s="17">
        <v>100</v>
      </c>
      <c r="B101" s="17">
        <v>813110</v>
      </c>
      <c r="C101" s="17" t="s">
        <v>1044</v>
      </c>
      <c r="D101" s="17" t="s">
        <v>52</v>
      </c>
      <c r="E101" s="17" t="s">
        <v>1294</v>
      </c>
      <c r="F101" s="17" t="s">
        <v>1069</v>
      </c>
      <c r="G101" s="17" t="s">
        <v>1295</v>
      </c>
      <c r="H101" s="17" t="s">
        <v>69</v>
      </c>
      <c r="I101" s="17">
        <v>20040</v>
      </c>
      <c r="J101" s="17" t="s">
        <v>54</v>
      </c>
      <c r="K101" s="17" t="s">
        <v>63</v>
      </c>
      <c r="L101" s="17" t="s">
        <v>56</v>
      </c>
      <c r="M101" s="17" t="s">
        <v>281</v>
      </c>
      <c r="N101" s="17" t="s">
        <v>20</v>
      </c>
      <c r="O101" s="17" t="s">
        <v>318</v>
      </c>
      <c r="P101" s="17" t="s">
        <v>56</v>
      </c>
      <c r="Q101" s="17" t="s">
        <v>294</v>
      </c>
      <c r="R101" s="17" t="s">
        <v>20</v>
      </c>
      <c r="S101" s="17" t="s">
        <v>318</v>
      </c>
      <c r="T101" s="17">
        <v>2013</v>
      </c>
      <c r="U101" s="18">
        <v>0</v>
      </c>
      <c r="V101" s="17" t="s">
        <v>1296</v>
      </c>
      <c r="W101" s="17" t="s">
        <v>1297</v>
      </c>
      <c r="X101" s="17" t="s">
        <v>67</v>
      </c>
      <c r="Y101" s="17" t="s">
        <v>197</v>
      </c>
      <c r="Z101" s="17" t="s">
        <v>231</v>
      </c>
      <c r="AA101" s="28">
        <v>777797.50736699998</v>
      </c>
      <c r="AB101" s="28">
        <v>2423578.5388099998</v>
      </c>
    </row>
    <row r="102" spans="1:28">
      <c r="A102" s="17">
        <v>101</v>
      </c>
      <c r="B102" s="17">
        <v>813110</v>
      </c>
      <c r="C102" s="17" t="s">
        <v>1044</v>
      </c>
      <c r="D102" s="17" t="s">
        <v>52</v>
      </c>
      <c r="E102" s="17" t="s">
        <v>1298</v>
      </c>
      <c r="F102" s="17" t="s">
        <v>1069</v>
      </c>
      <c r="G102" s="17" t="s">
        <v>1299</v>
      </c>
      <c r="H102" s="17" t="s">
        <v>69</v>
      </c>
      <c r="I102" s="17">
        <v>20140</v>
      </c>
      <c r="J102" s="17" t="s">
        <v>54</v>
      </c>
      <c r="K102" s="17" t="s">
        <v>78</v>
      </c>
      <c r="L102" s="17" t="s">
        <v>20</v>
      </c>
      <c r="M102" s="17" t="s">
        <v>335</v>
      </c>
      <c r="N102" s="17" t="s">
        <v>161</v>
      </c>
      <c r="O102" s="17" t="s">
        <v>295</v>
      </c>
      <c r="P102" s="17" t="s">
        <v>58</v>
      </c>
      <c r="Q102" s="17" t="s">
        <v>113</v>
      </c>
      <c r="R102" s="17" t="s">
        <v>20</v>
      </c>
      <c r="S102" s="17" t="s">
        <v>298</v>
      </c>
      <c r="T102" s="17">
        <v>216</v>
      </c>
      <c r="U102" s="18">
        <v>0</v>
      </c>
      <c r="V102" s="17" t="s">
        <v>1300</v>
      </c>
      <c r="X102" s="17" t="s">
        <v>216</v>
      </c>
      <c r="Y102" s="17" t="s">
        <v>197</v>
      </c>
      <c r="Z102" s="17" t="s">
        <v>231</v>
      </c>
      <c r="AA102" s="28">
        <v>779909.70646699995</v>
      </c>
      <c r="AB102" s="28">
        <v>2424504.2912300001</v>
      </c>
    </row>
    <row r="103" spans="1:28">
      <c r="A103" s="17">
        <v>102</v>
      </c>
      <c r="B103" s="17">
        <v>813110</v>
      </c>
      <c r="C103" s="17" t="s">
        <v>1044</v>
      </c>
      <c r="D103" s="17" t="s">
        <v>52</v>
      </c>
      <c r="E103" s="17" t="s">
        <v>1301</v>
      </c>
      <c r="F103" s="17" t="s">
        <v>1069</v>
      </c>
      <c r="H103" s="17" t="s">
        <v>104</v>
      </c>
      <c r="I103" s="17">
        <v>20020</v>
      </c>
      <c r="J103" s="17" t="s">
        <v>54</v>
      </c>
      <c r="K103" s="17" t="s">
        <v>55</v>
      </c>
      <c r="L103" s="17" t="s">
        <v>56</v>
      </c>
      <c r="M103" s="17" t="s">
        <v>268</v>
      </c>
      <c r="N103" s="17" t="s">
        <v>20</v>
      </c>
      <c r="O103" s="17" t="s">
        <v>292</v>
      </c>
      <c r="P103" s="17" t="s">
        <v>20</v>
      </c>
      <c r="Q103" s="17" t="s">
        <v>127</v>
      </c>
      <c r="R103" s="17" t="s">
        <v>20</v>
      </c>
      <c r="S103" s="17" t="s">
        <v>234</v>
      </c>
      <c r="T103" s="17">
        <v>0</v>
      </c>
      <c r="U103" s="18">
        <v>0</v>
      </c>
      <c r="X103" s="17" t="s">
        <v>64</v>
      </c>
      <c r="Y103" s="17" t="s">
        <v>197</v>
      </c>
      <c r="Z103" s="17" t="s">
        <v>231</v>
      </c>
      <c r="AA103" s="28">
        <v>778860.42154500005</v>
      </c>
      <c r="AB103" s="28">
        <v>2424001.7300399998</v>
      </c>
    </row>
    <row r="104" spans="1:28">
      <c r="A104" s="17">
        <v>103</v>
      </c>
      <c r="B104" s="17">
        <v>813110</v>
      </c>
      <c r="C104" s="17" t="s">
        <v>1044</v>
      </c>
      <c r="D104" s="17" t="s">
        <v>52</v>
      </c>
      <c r="E104" s="17" t="s">
        <v>1302</v>
      </c>
      <c r="F104" s="17" t="s">
        <v>1069</v>
      </c>
      <c r="H104" s="17" t="s">
        <v>104</v>
      </c>
      <c r="I104" s="17">
        <v>20137</v>
      </c>
      <c r="J104" s="17" t="s">
        <v>54</v>
      </c>
      <c r="K104" s="17" t="s">
        <v>55</v>
      </c>
      <c r="L104" s="17" t="s">
        <v>20</v>
      </c>
      <c r="M104" s="17" t="s">
        <v>339</v>
      </c>
      <c r="N104" s="17" t="s">
        <v>20</v>
      </c>
      <c r="O104" s="17" t="s">
        <v>340</v>
      </c>
      <c r="P104" s="17" t="s">
        <v>20</v>
      </c>
      <c r="Q104" s="17" t="s">
        <v>298</v>
      </c>
      <c r="R104" s="17" t="s">
        <v>20</v>
      </c>
      <c r="S104" s="17" t="s">
        <v>110</v>
      </c>
      <c r="T104" s="17">
        <v>131</v>
      </c>
      <c r="U104" s="18">
        <v>0</v>
      </c>
      <c r="X104" s="17" t="s">
        <v>60</v>
      </c>
      <c r="Y104" s="17" t="s">
        <v>197</v>
      </c>
      <c r="Z104" s="17" t="s">
        <v>231</v>
      </c>
      <c r="AA104" s="28">
        <v>779406.68455100001</v>
      </c>
      <c r="AB104" s="28">
        <v>2424653.6327300002</v>
      </c>
    </row>
    <row r="105" spans="1:28">
      <c r="A105" s="17">
        <v>104</v>
      </c>
      <c r="B105" s="17">
        <v>813110</v>
      </c>
      <c r="C105" s="17" t="s">
        <v>1044</v>
      </c>
      <c r="D105" s="17" t="s">
        <v>52</v>
      </c>
      <c r="E105" s="17" t="s">
        <v>1303</v>
      </c>
      <c r="F105" s="17" t="s">
        <v>1069</v>
      </c>
      <c r="G105" s="17" t="s">
        <v>1304</v>
      </c>
      <c r="H105" s="17" t="s">
        <v>104</v>
      </c>
      <c r="I105" s="17">
        <v>20016</v>
      </c>
      <c r="J105" s="17" t="s">
        <v>54</v>
      </c>
      <c r="K105" s="17" t="s">
        <v>88</v>
      </c>
      <c r="L105" s="17" t="s">
        <v>56</v>
      </c>
      <c r="M105" s="17" t="s">
        <v>222</v>
      </c>
      <c r="N105" s="17" t="s">
        <v>20</v>
      </c>
      <c r="O105" s="17" t="s">
        <v>322</v>
      </c>
      <c r="P105" s="17" t="s">
        <v>20</v>
      </c>
      <c r="Q105" s="17" t="s">
        <v>314</v>
      </c>
      <c r="R105" s="17" t="s">
        <v>20</v>
      </c>
      <c r="S105" s="17" t="s">
        <v>322</v>
      </c>
      <c r="T105" s="17">
        <v>1501</v>
      </c>
      <c r="U105" s="18">
        <v>4492390351</v>
      </c>
      <c r="X105" s="17" t="s">
        <v>64</v>
      </c>
      <c r="Y105" s="17" t="s">
        <v>197</v>
      </c>
      <c r="Z105" s="17" t="s">
        <v>231</v>
      </c>
      <c r="AA105" s="28">
        <v>777217.33183799998</v>
      </c>
      <c r="AB105" s="28">
        <v>2424052.1739599998</v>
      </c>
    </row>
    <row r="106" spans="1:28">
      <c r="A106" s="17">
        <v>105</v>
      </c>
      <c r="B106" s="17">
        <v>813110</v>
      </c>
      <c r="C106" s="17" t="s">
        <v>1044</v>
      </c>
      <c r="D106" s="17" t="s">
        <v>52</v>
      </c>
      <c r="E106" s="17" t="s">
        <v>1305</v>
      </c>
      <c r="F106" s="17" t="s">
        <v>1069</v>
      </c>
      <c r="G106" s="17" t="s">
        <v>1306</v>
      </c>
      <c r="H106" s="17" t="s">
        <v>104</v>
      </c>
      <c r="I106" s="17">
        <v>20020</v>
      </c>
      <c r="J106" s="17" t="s">
        <v>54</v>
      </c>
      <c r="K106" s="17" t="s">
        <v>55</v>
      </c>
      <c r="L106" s="17" t="s">
        <v>56</v>
      </c>
      <c r="M106" s="17" t="s">
        <v>300</v>
      </c>
      <c r="N106" s="17" t="s">
        <v>20</v>
      </c>
      <c r="O106" s="17" t="s">
        <v>315</v>
      </c>
      <c r="P106" s="17" t="s">
        <v>20</v>
      </c>
      <c r="Q106" s="17" t="s">
        <v>345</v>
      </c>
      <c r="R106" s="17" t="s">
        <v>20</v>
      </c>
      <c r="S106" s="17" t="s">
        <v>312</v>
      </c>
      <c r="T106" s="17">
        <v>405</v>
      </c>
      <c r="U106" s="18">
        <v>0</v>
      </c>
      <c r="V106" s="17" t="s">
        <v>1307</v>
      </c>
      <c r="W106" s="17" t="s">
        <v>1308</v>
      </c>
      <c r="X106" s="17" t="s">
        <v>64</v>
      </c>
      <c r="Y106" s="17" t="s">
        <v>197</v>
      </c>
      <c r="Z106" s="17" t="s">
        <v>231</v>
      </c>
      <c r="AA106" s="28">
        <v>778405.77892199997</v>
      </c>
      <c r="AB106" s="28">
        <v>2424501.0578000001</v>
      </c>
    </row>
    <row r="107" spans="1:28">
      <c r="A107" s="17">
        <v>106</v>
      </c>
      <c r="B107" s="17">
        <v>813120</v>
      </c>
      <c r="C107" s="17" t="s">
        <v>1044</v>
      </c>
      <c r="D107" s="17" t="s">
        <v>52</v>
      </c>
      <c r="E107" s="17" t="s">
        <v>1309</v>
      </c>
      <c r="F107" s="17" t="s">
        <v>1173</v>
      </c>
      <c r="G107" s="17" t="s">
        <v>1310</v>
      </c>
      <c r="H107" s="17" t="s">
        <v>69</v>
      </c>
      <c r="I107" s="17">
        <v>20040</v>
      </c>
      <c r="J107" s="17" t="s">
        <v>54</v>
      </c>
      <c r="K107" s="17" t="s">
        <v>78</v>
      </c>
      <c r="L107" s="17" t="s">
        <v>56</v>
      </c>
      <c r="M107" s="17" t="s">
        <v>268</v>
      </c>
      <c r="N107" s="17" t="s">
        <v>20</v>
      </c>
      <c r="O107" s="17" t="s">
        <v>362</v>
      </c>
      <c r="P107" s="17" t="s">
        <v>20</v>
      </c>
      <c r="Q107" s="17" t="s">
        <v>293</v>
      </c>
      <c r="R107" s="17" t="s">
        <v>20</v>
      </c>
      <c r="S107" s="17" t="s">
        <v>293</v>
      </c>
      <c r="T107" s="17">
        <v>2204</v>
      </c>
      <c r="U107" s="18">
        <v>4499147227</v>
      </c>
      <c r="V107" s="17" t="s">
        <v>1311</v>
      </c>
      <c r="X107" s="17" t="s">
        <v>64</v>
      </c>
      <c r="Y107" s="17" t="s">
        <v>197</v>
      </c>
      <c r="Z107" s="17" t="s">
        <v>231</v>
      </c>
      <c r="AA107" s="28">
        <v>777999.93531800003</v>
      </c>
      <c r="AB107" s="28">
        <v>2423731.2027199999</v>
      </c>
    </row>
    <row r="108" spans="1:28">
      <c r="A108" s="17">
        <v>107</v>
      </c>
      <c r="B108" s="17">
        <v>813120</v>
      </c>
      <c r="C108" s="17" t="s">
        <v>1044</v>
      </c>
      <c r="D108" s="17" t="s">
        <v>52</v>
      </c>
      <c r="E108" s="17" t="s">
        <v>1312</v>
      </c>
      <c r="F108" s="17" t="s">
        <v>1173</v>
      </c>
      <c r="G108" s="17" t="s">
        <v>1313</v>
      </c>
      <c r="H108" s="17" t="s">
        <v>69</v>
      </c>
      <c r="I108" s="17">
        <v>20020</v>
      </c>
      <c r="J108" s="17" t="s">
        <v>54</v>
      </c>
      <c r="K108" s="17" t="s">
        <v>132</v>
      </c>
      <c r="L108" s="17" t="s">
        <v>20</v>
      </c>
      <c r="M108" s="17" t="s">
        <v>246</v>
      </c>
      <c r="N108" s="17" t="s">
        <v>20</v>
      </c>
      <c r="O108" s="17" t="s">
        <v>1314</v>
      </c>
      <c r="P108" s="17" t="s">
        <v>20</v>
      </c>
      <c r="Q108" s="17" t="s">
        <v>1315</v>
      </c>
      <c r="R108" s="17" t="s">
        <v>20</v>
      </c>
      <c r="S108" s="17" t="s">
        <v>1316</v>
      </c>
      <c r="T108" s="17">
        <v>108</v>
      </c>
      <c r="U108" s="18">
        <v>0</v>
      </c>
      <c r="V108" s="17" t="s">
        <v>1317</v>
      </c>
      <c r="W108" s="17" t="s">
        <v>1318</v>
      </c>
      <c r="X108" s="17" t="s">
        <v>90</v>
      </c>
      <c r="Y108" s="17" t="s">
        <v>197</v>
      </c>
      <c r="Z108" s="17" t="s">
        <v>231</v>
      </c>
      <c r="AA108" s="28">
        <v>779236.64188999997</v>
      </c>
      <c r="AB108" s="28">
        <v>2423867.52256</v>
      </c>
    </row>
    <row r="109" spans="1:28">
      <c r="A109" s="17">
        <v>108</v>
      </c>
      <c r="B109" s="17">
        <v>813120</v>
      </c>
      <c r="C109" s="17" t="s">
        <v>1044</v>
      </c>
      <c r="D109" s="17" t="s">
        <v>52</v>
      </c>
      <c r="E109" s="17" t="s">
        <v>1319</v>
      </c>
      <c r="F109" s="17" t="s">
        <v>1173</v>
      </c>
      <c r="H109" s="17" t="s">
        <v>104</v>
      </c>
      <c r="I109" s="17">
        <v>20020</v>
      </c>
      <c r="J109" s="17" t="s">
        <v>54</v>
      </c>
      <c r="K109" s="17" t="s">
        <v>88</v>
      </c>
      <c r="L109" s="17" t="s">
        <v>20</v>
      </c>
      <c r="M109" s="17" t="s">
        <v>246</v>
      </c>
      <c r="N109" s="17" t="s">
        <v>20</v>
      </c>
      <c r="O109" s="17" t="s">
        <v>100</v>
      </c>
      <c r="P109" s="17" t="s">
        <v>20</v>
      </c>
      <c r="Q109" s="17" t="s">
        <v>234</v>
      </c>
      <c r="R109" s="17" t="s">
        <v>20</v>
      </c>
      <c r="S109" s="17" t="s">
        <v>242</v>
      </c>
      <c r="T109" s="17">
        <v>108</v>
      </c>
      <c r="U109" s="18">
        <v>0</v>
      </c>
      <c r="X109" s="17" t="s">
        <v>60</v>
      </c>
      <c r="Y109" s="17" t="s">
        <v>197</v>
      </c>
      <c r="Z109" s="17" t="s">
        <v>231</v>
      </c>
      <c r="AA109" s="28">
        <v>779245.505214</v>
      </c>
      <c r="AB109" s="28">
        <v>2423838.9171500001</v>
      </c>
    </row>
    <row r="110" spans="1:28">
      <c r="A110" s="17">
        <v>109</v>
      </c>
      <c r="B110" s="17">
        <v>813120</v>
      </c>
      <c r="C110" s="17" t="s">
        <v>1044</v>
      </c>
      <c r="D110" s="17" t="s">
        <v>52</v>
      </c>
      <c r="E110" s="17" t="s">
        <v>1320</v>
      </c>
      <c r="F110" s="17" t="s">
        <v>1173</v>
      </c>
      <c r="G110" s="17" t="s">
        <v>1321</v>
      </c>
      <c r="H110" s="17" t="s">
        <v>104</v>
      </c>
      <c r="I110" s="17">
        <v>20010</v>
      </c>
      <c r="J110" s="17" t="s">
        <v>54</v>
      </c>
      <c r="K110" s="17" t="s">
        <v>55</v>
      </c>
      <c r="L110" s="17" t="s">
        <v>20</v>
      </c>
      <c r="M110" s="17" t="s">
        <v>320</v>
      </c>
      <c r="N110" s="17" t="s">
        <v>20</v>
      </c>
      <c r="O110" s="17" t="s">
        <v>333</v>
      </c>
      <c r="P110" s="17" t="s">
        <v>56</v>
      </c>
      <c r="Q110" s="17" t="s">
        <v>327</v>
      </c>
      <c r="R110" s="17" t="s">
        <v>20</v>
      </c>
      <c r="S110" s="17" t="s">
        <v>316</v>
      </c>
      <c r="T110" s="17">
        <v>111</v>
      </c>
      <c r="U110" s="18">
        <v>0</v>
      </c>
      <c r="X110" s="17" t="s">
        <v>64</v>
      </c>
      <c r="Y110" s="17" t="s">
        <v>197</v>
      </c>
      <c r="Z110" s="17" t="s">
        <v>231</v>
      </c>
      <c r="AA110" s="28">
        <v>778116.68807899999</v>
      </c>
      <c r="AB110" s="28">
        <v>2424425.2387199998</v>
      </c>
    </row>
    <row r="111" spans="1:28">
      <c r="A111" s="17">
        <v>110</v>
      </c>
      <c r="B111" s="17">
        <v>813230</v>
      </c>
      <c r="C111" s="17" t="s">
        <v>1044</v>
      </c>
      <c r="D111" s="17" t="s">
        <v>52</v>
      </c>
      <c r="E111" s="17" t="s">
        <v>1322</v>
      </c>
      <c r="F111" s="17" t="s">
        <v>1061</v>
      </c>
      <c r="G111" s="17" t="s">
        <v>1323</v>
      </c>
      <c r="H111" s="17" t="s">
        <v>69</v>
      </c>
      <c r="I111" s="17">
        <v>20140</v>
      </c>
      <c r="J111" s="17" t="s">
        <v>54</v>
      </c>
      <c r="K111" s="17" t="s">
        <v>63</v>
      </c>
      <c r="L111" s="17" t="s">
        <v>20</v>
      </c>
      <c r="M111" s="17" t="s">
        <v>335</v>
      </c>
      <c r="N111" s="17" t="s">
        <v>161</v>
      </c>
      <c r="O111" s="17" t="s">
        <v>295</v>
      </c>
      <c r="P111" s="17" t="s">
        <v>58</v>
      </c>
      <c r="Q111" s="17" t="s">
        <v>113</v>
      </c>
      <c r="R111" s="17" t="s">
        <v>20</v>
      </c>
      <c r="S111" s="17" t="s">
        <v>298</v>
      </c>
      <c r="T111" s="17">
        <v>216</v>
      </c>
      <c r="U111" s="18">
        <v>4492231885</v>
      </c>
      <c r="X111" s="17" t="s">
        <v>216</v>
      </c>
      <c r="Y111" s="17" t="s">
        <v>197</v>
      </c>
      <c r="Z111" s="17" t="s">
        <v>231</v>
      </c>
      <c r="AA111" s="28">
        <v>779909.70646699995</v>
      </c>
      <c r="AB111" s="28">
        <v>2424504.2912300001</v>
      </c>
    </row>
    <row r="112" spans="1:28">
      <c r="A112" s="17">
        <v>111</v>
      </c>
      <c r="B112" s="17">
        <v>813230</v>
      </c>
      <c r="C112" s="17" t="s">
        <v>1044</v>
      </c>
      <c r="D112" s="17" t="s">
        <v>52</v>
      </c>
      <c r="E112" s="17" t="s">
        <v>1324</v>
      </c>
      <c r="F112" s="17" t="s">
        <v>1061</v>
      </c>
      <c r="H112" s="17" t="s">
        <v>104</v>
      </c>
      <c r="I112" s="17">
        <v>20020</v>
      </c>
      <c r="J112" s="17" t="s">
        <v>54</v>
      </c>
      <c r="K112" s="17" t="s">
        <v>55</v>
      </c>
      <c r="L112" s="17" t="s">
        <v>20</v>
      </c>
      <c r="M112" s="17" t="s">
        <v>292</v>
      </c>
      <c r="N112" s="17" t="s">
        <v>20</v>
      </c>
      <c r="O112" s="17" t="s">
        <v>234</v>
      </c>
      <c r="P112" s="17" t="s">
        <v>56</v>
      </c>
      <c r="Q112" s="17" t="s">
        <v>268</v>
      </c>
      <c r="R112" s="17" t="s">
        <v>20</v>
      </c>
      <c r="S112" s="17" t="s">
        <v>127</v>
      </c>
      <c r="T112" s="17">
        <v>215</v>
      </c>
      <c r="U112" s="18">
        <v>0</v>
      </c>
      <c r="X112" s="17" t="s">
        <v>60</v>
      </c>
      <c r="Y112" s="17" t="s">
        <v>197</v>
      </c>
      <c r="Z112" s="17" t="s">
        <v>231</v>
      </c>
      <c r="AA112" s="28">
        <v>778858.580189</v>
      </c>
      <c r="AB112" s="28">
        <v>2423950.9486500002</v>
      </c>
    </row>
    <row r="113" spans="1:28">
      <c r="A113" s="17">
        <v>112</v>
      </c>
      <c r="B113" s="17">
        <v>813230</v>
      </c>
      <c r="C113" s="17" t="s">
        <v>1044</v>
      </c>
      <c r="D113" s="17" t="s">
        <v>52</v>
      </c>
      <c r="E113" s="17" t="s">
        <v>1325</v>
      </c>
      <c r="F113" s="17" t="s">
        <v>1061</v>
      </c>
      <c r="G113" s="17" t="s">
        <v>1326</v>
      </c>
      <c r="H113" s="17" t="s">
        <v>104</v>
      </c>
      <c r="I113" s="17">
        <v>20020</v>
      </c>
      <c r="J113" s="17" t="s">
        <v>54</v>
      </c>
      <c r="K113" s="17" t="s">
        <v>55</v>
      </c>
      <c r="L113" s="17" t="s">
        <v>20</v>
      </c>
      <c r="M113" s="17" t="s">
        <v>242</v>
      </c>
      <c r="N113" s="17" t="s">
        <v>20</v>
      </c>
      <c r="O113" s="17" t="s">
        <v>234</v>
      </c>
      <c r="P113" s="17" t="s">
        <v>56</v>
      </c>
      <c r="Q113" s="17" t="s">
        <v>268</v>
      </c>
      <c r="R113" s="17" t="s">
        <v>20</v>
      </c>
      <c r="S113" s="17" t="s">
        <v>246</v>
      </c>
      <c r="T113" s="17">
        <v>1515</v>
      </c>
      <c r="U113" s="18">
        <v>4499071038</v>
      </c>
      <c r="V113" s="17" t="s">
        <v>1327</v>
      </c>
      <c r="X113" s="17" t="s">
        <v>60</v>
      </c>
      <c r="Y113" s="17" t="s">
        <v>197</v>
      </c>
      <c r="Z113" s="17" t="s">
        <v>231</v>
      </c>
      <c r="AA113" s="28">
        <v>779128.16350599995</v>
      </c>
      <c r="AB113" s="28">
        <v>2424079.14653</v>
      </c>
    </row>
    <row r="114" spans="1:28">
      <c r="A114" s="17">
        <v>113</v>
      </c>
      <c r="B114" s="17">
        <v>813230</v>
      </c>
      <c r="C114" s="17" t="s">
        <v>1044</v>
      </c>
      <c r="D114" s="17" t="s">
        <v>52</v>
      </c>
      <c r="E114" s="17" t="s">
        <v>1328</v>
      </c>
      <c r="F114" s="17" t="s">
        <v>1061</v>
      </c>
      <c r="G114" s="17" t="s">
        <v>1329</v>
      </c>
      <c r="H114" s="17" t="s">
        <v>104</v>
      </c>
      <c r="I114" s="17">
        <v>20137</v>
      </c>
      <c r="J114" s="17" t="s">
        <v>54</v>
      </c>
      <c r="K114" s="17" t="s">
        <v>55</v>
      </c>
      <c r="L114" s="17" t="s">
        <v>56</v>
      </c>
      <c r="M114" s="17" t="s">
        <v>106</v>
      </c>
      <c r="N114" s="17" t="s">
        <v>20</v>
      </c>
      <c r="O114" s="17" t="s">
        <v>1330</v>
      </c>
      <c r="P114" s="17" t="s">
        <v>20</v>
      </c>
      <c r="Q114" s="17" t="s">
        <v>302</v>
      </c>
      <c r="R114" s="17" t="s">
        <v>20</v>
      </c>
      <c r="S114" s="17" t="s">
        <v>264</v>
      </c>
      <c r="T114" s="17">
        <v>1501</v>
      </c>
      <c r="U114" s="18">
        <v>4491530133</v>
      </c>
      <c r="V114" s="17" t="s">
        <v>1331</v>
      </c>
      <c r="X114" s="17" t="s">
        <v>116</v>
      </c>
      <c r="Y114" s="17" t="s">
        <v>197</v>
      </c>
      <c r="Z114" s="17" t="s">
        <v>231</v>
      </c>
      <c r="AA114" s="28">
        <v>779305.50874800002</v>
      </c>
      <c r="AB114" s="28">
        <v>2424960.7093600002</v>
      </c>
    </row>
    <row r="115" spans="1:28">
      <c r="A115" s="17">
        <v>114</v>
      </c>
      <c r="B115" s="17">
        <v>813230</v>
      </c>
      <c r="C115" s="17" t="s">
        <v>1044</v>
      </c>
      <c r="D115" s="17" t="s">
        <v>52</v>
      </c>
      <c r="E115" s="17" t="s">
        <v>1332</v>
      </c>
      <c r="F115" s="17" t="s">
        <v>1061</v>
      </c>
      <c r="G115" s="17" t="s">
        <v>1333</v>
      </c>
      <c r="H115" s="17" t="s">
        <v>104</v>
      </c>
      <c r="I115" s="17">
        <v>20016</v>
      </c>
      <c r="J115" s="17" t="s">
        <v>54</v>
      </c>
      <c r="K115" s="17" t="s">
        <v>63</v>
      </c>
      <c r="L115" s="17" t="s">
        <v>56</v>
      </c>
      <c r="M115" s="17" t="s">
        <v>294</v>
      </c>
      <c r="N115" s="17" t="s">
        <v>20</v>
      </c>
      <c r="O115" s="17" t="s">
        <v>314</v>
      </c>
      <c r="P115" s="17" t="s">
        <v>20</v>
      </c>
      <c r="Q115" s="17" t="s">
        <v>322</v>
      </c>
      <c r="R115" s="17" t="s">
        <v>20</v>
      </c>
      <c r="S115" s="17" t="s">
        <v>1334</v>
      </c>
      <c r="T115" s="17">
        <v>2230</v>
      </c>
      <c r="U115" s="18">
        <v>0</v>
      </c>
      <c r="V115" s="17" t="s">
        <v>1335</v>
      </c>
      <c r="X115" s="17" t="s">
        <v>60</v>
      </c>
      <c r="Y115" s="17" t="s">
        <v>197</v>
      </c>
      <c r="Z115" s="17" t="s">
        <v>231</v>
      </c>
      <c r="AA115" s="28">
        <v>777420.07396499999</v>
      </c>
      <c r="AB115" s="28">
        <v>2424265.6115000001</v>
      </c>
    </row>
    <row r="116" spans="1:28">
      <c r="A116" s="17">
        <v>115</v>
      </c>
      <c r="B116" s="17">
        <v>813230</v>
      </c>
      <c r="C116" s="17" t="s">
        <v>1044</v>
      </c>
      <c r="D116" s="17" t="s">
        <v>52</v>
      </c>
      <c r="E116" s="17" t="s">
        <v>1336</v>
      </c>
      <c r="F116" s="17" t="s">
        <v>1061</v>
      </c>
      <c r="G116" s="17" t="s">
        <v>1337</v>
      </c>
      <c r="H116" s="17" t="s">
        <v>104</v>
      </c>
      <c r="I116" s="17">
        <v>20010</v>
      </c>
      <c r="J116" s="17" t="s">
        <v>54</v>
      </c>
      <c r="K116" s="17" t="s">
        <v>63</v>
      </c>
      <c r="L116" s="17" t="s">
        <v>20</v>
      </c>
      <c r="M116" s="17" t="s">
        <v>323</v>
      </c>
      <c r="N116" s="17" t="s">
        <v>56</v>
      </c>
      <c r="O116" s="17" t="s">
        <v>294</v>
      </c>
      <c r="P116" s="17" t="s">
        <v>58</v>
      </c>
      <c r="Q116" s="17" t="s">
        <v>348</v>
      </c>
      <c r="R116" s="17" t="s">
        <v>20</v>
      </c>
      <c r="S116" s="17" t="s">
        <v>306</v>
      </c>
      <c r="T116" s="17">
        <v>105</v>
      </c>
      <c r="U116" s="18">
        <v>0</v>
      </c>
      <c r="V116" s="17" t="s">
        <v>1338</v>
      </c>
      <c r="X116" s="17" t="s">
        <v>60</v>
      </c>
      <c r="Y116" s="17" t="s">
        <v>197</v>
      </c>
      <c r="Z116" s="17" t="s">
        <v>231</v>
      </c>
      <c r="AA116" s="28">
        <v>777668.57721200003</v>
      </c>
      <c r="AB116" s="28">
        <v>2423823.0599799999</v>
      </c>
    </row>
    <row r="117" spans="1:28">
      <c r="A117" s="17">
        <v>116</v>
      </c>
      <c r="B117" s="17">
        <v>813230</v>
      </c>
      <c r="C117" s="17" t="s">
        <v>1044</v>
      </c>
      <c r="D117" s="17" t="s">
        <v>52</v>
      </c>
      <c r="E117" s="17" t="s">
        <v>1339</v>
      </c>
      <c r="F117" s="17" t="s">
        <v>1061</v>
      </c>
      <c r="G117" s="17" t="s">
        <v>1340</v>
      </c>
      <c r="H117" s="17" t="s">
        <v>104</v>
      </c>
      <c r="I117" s="17">
        <v>20020</v>
      </c>
      <c r="J117" s="17" t="s">
        <v>54</v>
      </c>
      <c r="K117" s="17" t="s">
        <v>55</v>
      </c>
      <c r="L117" s="17" t="s">
        <v>20</v>
      </c>
      <c r="M117" s="17" t="s">
        <v>324</v>
      </c>
      <c r="N117" s="17" t="s">
        <v>20</v>
      </c>
      <c r="O117" s="17" t="s">
        <v>325</v>
      </c>
      <c r="P117" s="17" t="s">
        <v>56</v>
      </c>
      <c r="Q117" s="17" t="s">
        <v>268</v>
      </c>
      <c r="R117" s="17" t="s">
        <v>161</v>
      </c>
      <c r="S117" s="17" t="s">
        <v>295</v>
      </c>
      <c r="T117" s="17">
        <v>1105</v>
      </c>
      <c r="U117" s="18">
        <v>0</v>
      </c>
      <c r="X117" s="17" t="s">
        <v>67</v>
      </c>
      <c r="Y117" s="17" t="s">
        <v>197</v>
      </c>
      <c r="Z117" s="17" t="s">
        <v>231</v>
      </c>
      <c r="AA117" s="28">
        <v>779482.16748199996</v>
      </c>
      <c r="AB117" s="28">
        <v>2424389.4563500001</v>
      </c>
    </row>
    <row r="118" spans="1:28">
      <c r="A118" s="17">
        <v>117</v>
      </c>
      <c r="B118" s="17">
        <v>813230</v>
      </c>
      <c r="C118" s="17" t="s">
        <v>1044</v>
      </c>
      <c r="D118" s="17" t="s">
        <v>52</v>
      </c>
      <c r="E118" s="17" t="s">
        <v>1341</v>
      </c>
      <c r="F118" s="17" t="s">
        <v>1061</v>
      </c>
      <c r="G118" s="17" t="s">
        <v>1342</v>
      </c>
      <c r="H118" s="17" t="s">
        <v>104</v>
      </c>
      <c r="I118" s="17">
        <v>20010</v>
      </c>
      <c r="J118" s="17" t="s">
        <v>54</v>
      </c>
      <c r="K118" s="17" t="s">
        <v>55</v>
      </c>
      <c r="L118" s="17" t="s">
        <v>20</v>
      </c>
      <c r="M118" s="17" t="s">
        <v>334</v>
      </c>
      <c r="N118" s="17" t="s">
        <v>56</v>
      </c>
      <c r="O118" s="17" t="s">
        <v>327</v>
      </c>
      <c r="P118" s="17" t="s">
        <v>20</v>
      </c>
      <c r="Q118" s="17" t="s">
        <v>333</v>
      </c>
      <c r="R118" s="17" t="s">
        <v>20</v>
      </c>
      <c r="S118" s="17" t="s">
        <v>1343</v>
      </c>
      <c r="T118" s="17">
        <v>134</v>
      </c>
      <c r="U118" s="18">
        <v>4493483909</v>
      </c>
      <c r="X118" s="17" t="s">
        <v>60</v>
      </c>
      <c r="Y118" s="17" t="s">
        <v>197</v>
      </c>
      <c r="Z118" s="17" t="s">
        <v>231</v>
      </c>
      <c r="AA118" s="28">
        <v>778073.08649999998</v>
      </c>
      <c r="AB118" s="28">
        <v>2424278.2990700002</v>
      </c>
    </row>
    <row r="119" spans="1:28">
      <c r="A119" s="17">
        <v>118</v>
      </c>
      <c r="B119" s="17">
        <v>623311</v>
      </c>
      <c r="C119" s="17" t="s">
        <v>1044</v>
      </c>
      <c r="D119" s="17" t="s">
        <v>52</v>
      </c>
      <c r="E119" s="17" t="s">
        <v>1344</v>
      </c>
      <c r="F119" s="17" t="s">
        <v>1345</v>
      </c>
      <c r="G119" s="17" t="s">
        <v>1346</v>
      </c>
      <c r="H119" s="17" t="s">
        <v>104</v>
      </c>
      <c r="I119" s="17">
        <v>20040</v>
      </c>
      <c r="J119" s="17" t="s">
        <v>54</v>
      </c>
      <c r="K119" s="17" t="s">
        <v>78</v>
      </c>
      <c r="L119" s="17" t="s">
        <v>56</v>
      </c>
      <c r="M119" s="17" t="s">
        <v>355</v>
      </c>
      <c r="N119" s="17" t="s">
        <v>58</v>
      </c>
      <c r="O119" s="17" t="s">
        <v>59</v>
      </c>
      <c r="P119" s="17" t="s">
        <v>20</v>
      </c>
      <c r="Q119" s="17" t="s">
        <v>374</v>
      </c>
      <c r="R119" s="17" t="s">
        <v>20</v>
      </c>
      <c r="S119" s="17" t="s">
        <v>1347</v>
      </c>
      <c r="T119" s="17">
        <v>0</v>
      </c>
      <c r="U119" s="18">
        <v>4499154087</v>
      </c>
      <c r="V119" s="17" t="s">
        <v>1348</v>
      </c>
      <c r="X119" s="17" t="s">
        <v>67</v>
      </c>
      <c r="Y119" s="17" t="s">
        <v>221</v>
      </c>
      <c r="Z119" s="17" t="s">
        <v>231</v>
      </c>
      <c r="AA119" s="28">
        <v>777429.71175500005</v>
      </c>
      <c r="AB119" s="28">
        <v>2422618.4630499999</v>
      </c>
    </row>
    <row r="120" spans="1:28">
      <c r="A120" s="17">
        <v>119</v>
      </c>
      <c r="B120" s="17">
        <v>623991</v>
      </c>
      <c r="C120" s="17" t="s">
        <v>1044</v>
      </c>
      <c r="D120" s="17" t="s">
        <v>52</v>
      </c>
      <c r="E120" s="17" t="s">
        <v>1349</v>
      </c>
      <c r="F120" s="17" t="s">
        <v>1350</v>
      </c>
      <c r="G120" s="17" t="s">
        <v>1351</v>
      </c>
      <c r="H120" s="17" t="s">
        <v>104</v>
      </c>
      <c r="I120" s="17">
        <v>20040</v>
      </c>
      <c r="J120" s="17" t="s">
        <v>54</v>
      </c>
      <c r="K120" s="17" t="s">
        <v>55</v>
      </c>
      <c r="L120" s="17" t="s">
        <v>142</v>
      </c>
      <c r="M120" s="17" t="s">
        <v>368</v>
      </c>
      <c r="N120" s="17" t="s">
        <v>20</v>
      </c>
      <c r="O120" s="17" t="s">
        <v>1352</v>
      </c>
      <c r="P120" s="17" t="s">
        <v>58</v>
      </c>
      <c r="Q120" s="17" t="s">
        <v>376</v>
      </c>
      <c r="R120" s="17" t="s">
        <v>20</v>
      </c>
      <c r="S120" s="17" t="s">
        <v>1353</v>
      </c>
      <c r="T120" s="17">
        <v>501</v>
      </c>
      <c r="U120" s="18">
        <v>0</v>
      </c>
      <c r="X120" s="17" t="s">
        <v>67</v>
      </c>
      <c r="Y120" s="17" t="s">
        <v>221</v>
      </c>
      <c r="Z120" s="17" t="s">
        <v>231</v>
      </c>
      <c r="AA120" s="28">
        <v>776840.33556699997</v>
      </c>
      <c r="AB120" s="28">
        <v>2422682.3938699998</v>
      </c>
    </row>
    <row r="121" spans="1:28">
      <c r="A121" s="17">
        <v>120</v>
      </c>
      <c r="B121" s="17">
        <v>624111</v>
      </c>
      <c r="C121" s="17" t="s">
        <v>1044</v>
      </c>
      <c r="D121" s="17" t="s">
        <v>52</v>
      </c>
      <c r="E121" s="17" t="s">
        <v>1354</v>
      </c>
      <c r="F121" s="17" t="s">
        <v>1078</v>
      </c>
      <c r="H121" s="17" t="s">
        <v>69</v>
      </c>
      <c r="I121" s="17">
        <v>20040</v>
      </c>
      <c r="J121" s="17" t="s">
        <v>54</v>
      </c>
      <c r="K121" s="17" t="s">
        <v>55</v>
      </c>
      <c r="L121" s="17" t="s">
        <v>20</v>
      </c>
      <c r="M121" s="17" t="s">
        <v>360</v>
      </c>
      <c r="N121" s="17" t="s">
        <v>20</v>
      </c>
      <c r="O121" s="17" t="s">
        <v>293</v>
      </c>
      <c r="P121" s="17" t="s">
        <v>20</v>
      </c>
      <c r="Q121" s="17" t="s">
        <v>362</v>
      </c>
      <c r="R121" s="17" t="s">
        <v>20</v>
      </c>
      <c r="S121" s="17" t="s">
        <v>366</v>
      </c>
      <c r="T121" s="17">
        <v>0</v>
      </c>
      <c r="U121" s="18">
        <v>0</v>
      </c>
      <c r="V121" s="17" t="s">
        <v>1355</v>
      </c>
      <c r="X121" s="17" t="s">
        <v>67</v>
      </c>
      <c r="Y121" s="17" t="s">
        <v>221</v>
      </c>
      <c r="Z121" s="17" t="s">
        <v>231</v>
      </c>
      <c r="AA121" s="28">
        <v>778232.85996799998</v>
      </c>
      <c r="AB121" s="28">
        <v>2423423.9959999998</v>
      </c>
    </row>
    <row r="122" spans="1:28">
      <c r="A122" s="17">
        <v>121</v>
      </c>
      <c r="B122" s="17">
        <v>624312</v>
      </c>
      <c r="C122" s="17" t="s">
        <v>1044</v>
      </c>
      <c r="D122" s="17" t="s">
        <v>52</v>
      </c>
      <c r="E122" s="17" t="s">
        <v>1356</v>
      </c>
      <c r="F122" s="17" t="s">
        <v>1132</v>
      </c>
      <c r="G122" s="17" t="s">
        <v>1035</v>
      </c>
      <c r="H122" s="17" t="s">
        <v>69</v>
      </c>
      <c r="I122" s="17">
        <v>20040</v>
      </c>
      <c r="J122" s="17" t="s">
        <v>54</v>
      </c>
      <c r="K122" s="17" t="s">
        <v>55</v>
      </c>
      <c r="L122" s="17" t="s">
        <v>20</v>
      </c>
      <c r="M122" s="17" t="s">
        <v>344</v>
      </c>
      <c r="N122" s="17" t="s">
        <v>20</v>
      </c>
      <c r="O122" s="17" t="s">
        <v>305</v>
      </c>
      <c r="P122" s="17" t="s">
        <v>20</v>
      </c>
      <c r="Q122" s="17" t="s">
        <v>329</v>
      </c>
      <c r="R122" s="17" t="s">
        <v>20</v>
      </c>
      <c r="S122" s="17" t="s">
        <v>361</v>
      </c>
      <c r="T122" s="17">
        <v>614</v>
      </c>
      <c r="U122" s="18">
        <v>0</v>
      </c>
      <c r="X122" s="17" t="s">
        <v>64</v>
      </c>
      <c r="Y122" s="17" t="s">
        <v>221</v>
      </c>
      <c r="Z122" s="17" t="s">
        <v>231</v>
      </c>
      <c r="AA122" s="28">
        <v>777812.30578099994</v>
      </c>
      <c r="AB122" s="28">
        <v>2423223.24003</v>
      </c>
    </row>
    <row r="123" spans="1:28">
      <c r="A123" s="17">
        <v>122</v>
      </c>
      <c r="B123" s="17">
        <v>624411</v>
      </c>
      <c r="C123" s="17" t="s">
        <v>1044</v>
      </c>
      <c r="D123" s="17" t="s">
        <v>52</v>
      </c>
      <c r="E123" s="17" t="s">
        <v>1357</v>
      </c>
      <c r="F123" s="17" t="s">
        <v>1046</v>
      </c>
      <c r="H123" s="17" t="s">
        <v>69</v>
      </c>
      <c r="I123" s="17">
        <v>20040</v>
      </c>
      <c r="J123" s="17" t="s">
        <v>54</v>
      </c>
      <c r="K123" s="17" t="s">
        <v>63</v>
      </c>
      <c r="L123" s="17" t="s">
        <v>20</v>
      </c>
      <c r="M123" s="17" t="s">
        <v>361</v>
      </c>
      <c r="N123" s="17" t="s">
        <v>20</v>
      </c>
      <c r="O123" s="17" t="s">
        <v>318</v>
      </c>
      <c r="P123" s="17" t="s">
        <v>56</v>
      </c>
      <c r="Q123" s="17" t="s">
        <v>294</v>
      </c>
      <c r="R123" s="17" t="s">
        <v>20</v>
      </c>
      <c r="S123" s="17" t="s">
        <v>1358</v>
      </c>
      <c r="T123" s="17">
        <v>509</v>
      </c>
      <c r="U123" s="18">
        <v>4499121767</v>
      </c>
      <c r="V123" s="17" t="s">
        <v>1359</v>
      </c>
      <c r="X123" s="17" t="s">
        <v>64</v>
      </c>
      <c r="Y123" s="17" t="s">
        <v>221</v>
      </c>
      <c r="Z123" s="17" t="s">
        <v>231</v>
      </c>
      <c r="AA123" s="28">
        <v>778047.63081500004</v>
      </c>
      <c r="AB123" s="28">
        <v>2423355.9806499998</v>
      </c>
    </row>
    <row r="124" spans="1:28">
      <c r="A124" s="17">
        <v>123</v>
      </c>
      <c r="B124" s="17">
        <v>624411</v>
      </c>
      <c r="C124" s="17" t="s">
        <v>1044</v>
      </c>
      <c r="D124" s="17" t="s">
        <v>52</v>
      </c>
      <c r="E124" s="17" t="s">
        <v>1360</v>
      </c>
      <c r="F124" s="17" t="s">
        <v>1046</v>
      </c>
      <c r="G124" s="17" t="s">
        <v>1361</v>
      </c>
      <c r="H124" s="17" t="s">
        <v>69</v>
      </c>
      <c r="I124" s="17">
        <v>20070</v>
      </c>
      <c r="J124" s="17" t="s">
        <v>54</v>
      </c>
      <c r="K124" s="17" t="s">
        <v>88</v>
      </c>
      <c r="L124" s="17" t="s">
        <v>20</v>
      </c>
      <c r="M124" s="17" t="s">
        <v>274</v>
      </c>
      <c r="N124" s="17" t="s">
        <v>20</v>
      </c>
      <c r="O124" s="17" t="s">
        <v>115</v>
      </c>
      <c r="P124" s="17" t="s">
        <v>20</v>
      </c>
      <c r="Q124" s="17" t="s">
        <v>283</v>
      </c>
      <c r="R124" s="17" t="s">
        <v>20</v>
      </c>
      <c r="S124" s="17" t="s">
        <v>363</v>
      </c>
      <c r="T124" s="17">
        <v>413</v>
      </c>
      <c r="U124" s="18">
        <v>0</v>
      </c>
      <c r="V124" s="17" t="s">
        <v>1362</v>
      </c>
      <c r="X124" s="17" t="s">
        <v>116</v>
      </c>
      <c r="Y124" s="17" t="s">
        <v>221</v>
      </c>
      <c r="Z124" s="17" t="s">
        <v>231</v>
      </c>
      <c r="AA124" s="28">
        <v>777801.85641200002</v>
      </c>
      <c r="AB124" s="28">
        <v>2422088.1870900001</v>
      </c>
    </row>
    <row r="125" spans="1:28">
      <c r="A125" s="17">
        <v>124</v>
      </c>
      <c r="B125" s="17">
        <v>624411</v>
      </c>
      <c r="C125" s="17" t="s">
        <v>1044</v>
      </c>
      <c r="D125" s="17" t="s">
        <v>52</v>
      </c>
      <c r="E125" s="17" t="s">
        <v>1363</v>
      </c>
      <c r="F125" s="17" t="s">
        <v>1046</v>
      </c>
      <c r="H125" s="17" t="s">
        <v>104</v>
      </c>
      <c r="I125" s="17">
        <v>20080</v>
      </c>
      <c r="J125" s="17" t="s">
        <v>54</v>
      </c>
      <c r="K125" s="17" t="s">
        <v>55</v>
      </c>
      <c r="L125" s="17" t="s">
        <v>20</v>
      </c>
      <c r="M125" s="17" t="s">
        <v>108</v>
      </c>
      <c r="N125" s="17" t="s">
        <v>20</v>
      </c>
      <c r="O125" s="17" t="s">
        <v>1364</v>
      </c>
      <c r="P125" s="17" t="s">
        <v>20</v>
      </c>
      <c r="Q125" s="17" t="s">
        <v>1365</v>
      </c>
      <c r="R125" s="17" t="s">
        <v>56</v>
      </c>
      <c r="S125" s="17" t="s">
        <v>222</v>
      </c>
      <c r="T125" s="17">
        <v>108</v>
      </c>
      <c r="U125" s="18">
        <v>0</v>
      </c>
      <c r="X125" s="17" t="s">
        <v>64</v>
      </c>
      <c r="Y125" s="17" t="s">
        <v>221</v>
      </c>
      <c r="Z125" s="17" t="s">
        <v>231</v>
      </c>
      <c r="AA125" s="28">
        <v>777293.41306000005</v>
      </c>
      <c r="AB125" s="28">
        <v>2421203.6941499999</v>
      </c>
    </row>
    <row r="126" spans="1:28">
      <c r="A126" s="17">
        <v>125</v>
      </c>
      <c r="B126" s="17">
        <v>812321</v>
      </c>
      <c r="C126" s="17" t="s">
        <v>1044</v>
      </c>
      <c r="D126" s="17" t="s">
        <v>52</v>
      </c>
      <c r="E126" s="17" t="s">
        <v>1366</v>
      </c>
      <c r="F126" s="17" t="s">
        <v>1144</v>
      </c>
      <c r="G126" s="17" t="s">
        <v>1367</v>
      </c>
      <c r="H126" s="17" t="s">
        <v>104</v>
      </c>
      <c r="I126" s="17">
        <v>0</v>
      </c>
      <c r="J126" s="17" t="s">
        <v>54</v>
      </c>
      <c r="K126" s="17" t="s">
        <v>78</v>
      </c>
      <c r="L126" s="17" t="s">
        <v>58</v>
      </c>
      <c r="M126" s="17" t="s">
        <v>59</v>
      </c>
      <c r="N126" s="17" t="s">
        <v>20</v>
      </c>
      <c r="O126" s="17" t="s">
        <v>377</v>
      </c>
      <c r="P126" s="17" t="s">
        <v>20</v>
      </c>
      <c r="Q126" s="17" t="s">
        <v>356</v>
      </c>
      <c r="R126" s="17" t="s">
        <v>58</v>
      </c>
      <c r="S126" s="17" t="s">
        <v>59</v>
      </c>
      <c r="T126" s="17">
        <v>0</v>
      </c>
      <c r="U126" s="18">
        <v>0</v>
      </c>
      <c r="X126" s="17" t="s">
        <v>131</v>
      </c>
      <c r="Y126" s="17" t="s">
        <v>221</v>
      </c>
      <c r="Z126" s="17" t="s">
        <v>231</v>
      </c>
      <c r="AA126" s="28">
        <v>777103.78254299995</v>
      </c>
      <c r="AB126" s="28">
        <v>2423030.6477700002</v>
      </c>
    </row>
    <row r="127" spans="1:28">
      <c r="A127" s="17">
        <v>126</v>
      </c>
      <c r="B127" s="17">
        <v>812321</v>
      </c>
      <c r="C127" s="17" t="s">
        <v>1044</v>
      </c>
      <c r="D127" s="17" t="s">
        <v>52</v>
      </c>
      <c r="E127" s="17" t="s">
        <v>1368</v>
      </c>
      <c r="F127" s="17" t="s">
        <v>1144</v>
      </c>
      <c r="G127" s="17" t="s">
        <v>1369</v>
      </c>
      <c r="H127" s="17" t="s">
        <v>104</v>
      </c>
      <c r="I127" s="17">
        <v>0</v>
      </c>
      <c r="J127" s="17" t="s">
        <v>54</v>
      </c>
      <c r="K127" s="17" t="s">
        <v>55</v>
      </c>
      <c r="L127" s="17" t="s">
        <v>20</v>
      </c>
      <c r="M127" s="17" t="s">
        <v>356</v>
      </c>
      <c r="N127" s="17" t="s">
        <v>56</v>
      </c>
      <c r="O127" s="17" t="s">
        <v>222</v>
      </c>
      <c r="P127" s="17" t="s">
        <v>58</v>
      </c>
      <c r="Q127" s="17" t="s">
        <v>1370</v>
      </c>
      <c r="R127" s="17" t="s">
        <v>20</v>
      </c>
      <c r="S127" s="17" t="s">
        <v>378</v>
      </c>
      <c r="T127" s="17">
        <v>0</v>
      </c>
      <c r="U127" s="18">
        <v>0</v>
      </c>
      <c r="X127" s="17" t="s">
        <v>131</v>
      </c>
      <c r="Y127" s="17" t="s">
        <v>221</v>
      </c>
      <c r="Z127" s="17" t="s">
        <v>231</v>
      </c>
      <c r="AA127" s="28">
        <v>777023.52367799997</v>
      </c>
      <c r="AB127" s="28">
        <v>2422890.1389600001</v>
      </c>
    </row>
    <row r="128" spans="1:28">
      <c r="A128" s="17">
        <v>127</v>
      </c>
      <c r="B128" s="17">
        <v>812321</v>
      </c>
      <c r="C128" s="17" t="s">
        <v>1044</v>
      </c>
      <c r="D128" s="17" t="s">
        <v>52</v>
      </c>
      <c r="E128" s="17" t="s">
        <v>1371</v>
      </c>
      <c r="F128" s="17" t="s">
        <v>1144</v>
      </c>
      <c r="G128" s="17" t="s">
        <v>1372</v>
      </c>
      <c r="H128" s="17" t="s">
        <v>104</v>
      </c>
      <c r="I128" s="17">
        <v>20010</v>
      </c>
      <c r="J128" s="17" t="s">
        <v>54</v>
      </c>
      <c r="K128" s="17" t="s">
        <v>63</v>
      </c>
      <c r="L128" s="17" t="s">
        <v>56</v>
      </c>
      <c r="M128" s="17" t="s">
        <v>222</v>
      </c>
      <c r="N128" s="17" t="s">
        <v>58</v>
      </c>
      <c r="O128" s="17" t="s">
        <v>59</v>
      </c>
      <c r="P128" s="17" t="s">
        <v>20</v>
      </c>
      <c r="Q128" s="17" t="s">
        <v>377</v>
      </c>
      <c r="R128" s="17" t="s">
        <v>20</v>
      </c>
      <c r="S128" s="17" t="s">
        <v>1373</v>
      </c>
      <c r="T128" s="17">
        <v>2101</v>
      </c>
      <c r="U128" s="18">
        <v>4499122927</v>
      </c>
      <c r="V128" s="17" t="s">
        <v>1374</v>
      </c>
      <c r="X128" s="17" t="s">
        <v>67</v>
      </c>
      <c r="Y128" s="17" t="s">
        <v>221</v>
      </c>
      <c r="Z128" s="17" t="s">
        <v>231</v>
      </c>
      <c r="AA128" s="28">
        <v>777210.03119999997</v>
      </c>
      <c r="AB128" s="28">
        <v>2423178.8280600002</v>
      </c>
    </row>
    <row r="129" spans="1:28">
      <c r="A129" s="17">
        <v>128</v>
      </c>
      <c r="B129" s="17">
        <v>812321</v>
      </c>
      <c r="C129" s="17" t="s">
        <v>1044</v>
      </c>
      <c r="D129" s="17" t="s">
        <v>52</v>
      </c>
      <c r="E129" s="17" t="s">
        <v>1375</v>
      </c>
      <c r="F129" s="17" t="s">
        <v>1144</v>
      </c>
      <c r="G129" s="17" t="s">
        <v>1376</v>
      </c>
      <c r="H129" s="17" t="s">
        <v>104</v>
      </c>
      <c r="I129" s="17">
        <v>20010</v>
      </c>
      <c r="J129" s="17" t="s">
        <v>54</v>
      </c>
      <c r="K129" s="17" t="s">
        <v>78</v>
      </c>
      <c r="L129" s="17" t="s">
        <v>56</v>
      </c>
      <c r="M129" s="17" t="s">
        <v>222</v>
      </c>
      <c r="N129" s="17" t="s">
        <v>58</v>
      </c>
      <c r="O129" s="17" t="s">
        <v>59</v>
      </c>
      <c r="P129" s="17" t="s">
        <v>20</v>
      </c>
      <c r="Q129" s="17" t="s">
        <v>356</v>
      </c>
      <c r="R129" s="17" t="s">
        <v>20</v>
      </c>
      <c r="S129" s="17" t="s">
        <v>375</v>
      </c>
      <c r="T129" s="17">
        <v>2025</v>
      </c>
      <c r="U129" s="18">
        <v>4499129937</v>
      </c>
      <c r="V129" s="17" t="s">
        <v>1377</v>
      </c>
      <c r="X129" s="17" t="s">
        <v>67</v>
      </c>
      <c r="Y129" s="17" t="s">
        <v>221</v>
      </c>
      <c r="Z129" s="17" t="s">
        <v>231</v>
      </c>
      <c r="AA129" s="28">
        <v>777221.51381799998</v>
      </c>
      <c r="AB129" s="28">
        <v>2422941.0161700002</v>
      </c>
    </row>
    <row r="130" spans="1:28">
      <c r="A130" s="17">
        <v>129</v>
      </c>
      <c r="B130" s="17">
        <v>624199</v>
      </c>
      <c r="C130" s="17" t="s">
        <v>1044</v>
      </c>
      <c r="D130" s="17" t="s">
        <v>1008</v>
      </c>
      <c r="E130" s="17" t="s">
        <v>1378</v>
      </c>
      <c r="F130" s="17" t="s">
        <v>1156</v>
      </c>
      <c r="G130" s="17" t="s">
        <v>1009</v>
      </c>
      <c r="H130" s="17" t="s">
        <v>104</v>
      </c>
      <c r="I130" s="17">
        <v>20078</v>
      </c>
      <c r="J130" s="17" t="s">
        <v>54</v>
      </c>
      <c r="K130" s="17" t="s">
        <v>55</v>
      </c>
      <c r="L130" s="17" t="s">
        <v>56</v>
      </c>
      <c r="M130" s="17" t="s">
        <v>222</v>
      </c>
      <c r="N130" s="17" t="s">
        <v>20</v>
      </c>
      <c r="O130" s="17" t="s">
        <v>372</v>
      </c>
      <c r="P130" s="17" t="s">
        <v>20</v>
      </c>
      <c r="Q130" s="17" t="s">
        <v>357</v>
      </c>
      <c r="R130" s="17" t="s">
        <v>20</v>
      </c>
      <c r="S130" s="17" t="s">
        <v>358</v>
      </c>
      <c r="T130" s="17">
        <v>604</v>
      </c>
      <c r="U130" s="18">
        <v>0</v>
      </c>
      <c r="X130" s="17" t="s">
        <v>67</v>
      </c>
      <c r="Y130" s="17" t="s">
        <v>221</v>
      </c>
      <c r="Z130" s="17" t="s">
        <v>231</v>
      </c>
      <c r="AA130" s="28">
        <v>777127.04453099996</v>
      </c>
      <c r="AB130" s="28">
        <v>2421955.50611</v>
      </c>
    </row>
    <row r="131" spans="1:28">
      <c r="A131" s="17">
        <v>130</v>
      </c>
      <c r="B131" s="17">
        <v>624191</v>
      </c>
      <c r="C131" s="17" t="s">
        <v>1044</v>
      </c>
      <c r="D131" s="17" t="s">
        <v>52</v>
      </c>
      <c r="E131" s="17" t="s">
        <v>1379</v>
      </c>
      <c r="F131" s="17" t="s">
        <v>1064</v>
      </c>
      <c r="H131" s="17" t="s">
        <v>69</v>
      </c>
      <c r="I131" s="17">
        <v>20040</v>
      </c>
      <c r="J131" s="17" t="s">
        <v>54</v>
      </c>
      <c r="K131" s="17" t="s">
        <v>63</v>
      </c>
      <c r="L131" s="17" t="s">
        <v>20</v>
      </c>
      <c r="M131" s="17" t="s">
        <v>256</v>
      </c>
      <c r="N131" s="17" t="s">
        <v>20</v>
      </c>
      <c r="O131" s="17" t="s">
        <v>603</v>
      </c>
      <c r="P131" s="17" t="s">
        <v>20</v>
      </c>
      <c r="Q131" s="17" t="s">
        <v>362</v>
      </c>
      <c r="R131" s="17" t="s">
        <v>20</v>
      </c>
      <c r="S131" s="17" t="s">
        <v>256</v>
      </c>
      <c r="T131" s="17">
        <v>713</v>
      </c>
      <c r="U131" s="18">
        <v>4499930302</v>
      </c>
      <c r="X131" s="17" t="s">
        <v>67</v>
      </c>
      <c r="Y131" s="17" t="s">
        <v>221</v>
      </c>
      <c r="Z131" s="17" t="s">
        <v>231</v>
      </c>
      <c r="AA131" s="28">
        <v>778407.99826999998</v>
      </c>
      <c r="AB131" s="28">
        <v>2423109.1524499999</v>
      </c>
    </row>
    <row r="132" spans="1:28">
      <c r="A132" s="17">
        <v>131</v>
      </c>
      <c r="B132" s="17">
        <v>624191</v>
      </c>
      <c r="C132" s="17" t="s">
        <v>1044</v>
      </c>
      <c r="D132" s="17" t="s">
        <v>52</v>
      </c>
      <c r="E132" s="17" t="s">
        <v>1380</v>
      </c>
      <c r="F132" s="17" t="s">
        <v>1064</v>
      </c>
      <c r="H132" s="17" t="s">
        <v>69</v>
      </c>
      <c r="I132" s="17">
        <v>20040</v>
      </c>
      <c r="J132" s="17" t="s">
        <v>54</v>
      </c>
      <c r="K132" s="17" t="s">
        <v>55</v>
      </c>
      <c r="L132" s="17" t="s">
        <v>20</v>
      </c>
      <c r="M132" s="17" t="s">
        <v>293</v>
      </c>
      <c r="N132" s="17" t="s">
        <v>20</v>
      </c>
      <c r="O132" s="17" t="s">
        <v>346</v>
      </c>
      <c r="P132" s="17" t="s">
        <v>20</v>
      </c>
      <c r="Q132" s="17" t="s">
        <v>365</v>
      </c>
      <c r="R132" s="17" t="s">
        <v>20</v>
      </c>
      <c r="S132" s="17" t="s">
        <v>362</v>
      </c>
      <c r="T132" s="17">
        <v>408</v>
      </c>
      <c r="U132" s="18">
        <v>0</v>
      </c>
      <c r="X132" s="17" t="s">
        <v>131</v>
      </c>
      <c r="Y132" s="17" t="s">
        <v>221</v>
      </c>
      <c r="Z132" s="17" t="s">
        <v>231</v>
      </c>
      <c r="AA132" s="28">
        <v>778481.86515700002</v>
      </c>
      <c r="AB132" s="28">
        <v>2423282.28926</v>
      </c>
    </row>
    <row r="133" spans="1:28">
      <c r="A133" s="17">
        <v>132</v>
      </c>
      <c r="B133" s="17">
        <v>624191</v>
      </c>
      <c r="C133" s="17" t="s">
        <v>1044</v>
      </c>
      <c r="D133" s="17" t="s">
        <v>52</v>
      </c>
      <c r="E133" s="17" t="s">
        <v>1381</v>
      </c>
      <c r="F133" s="17" t="s">
        <v>1064</v>
      </c>
      <c r="G133" s="17" t="s">
        <v>1381</v>
      </c>
      <c r="H133" s="17" t="s">
        <v>69</v>
      </c>
      <c r="I133" s="17">
        <v>20040</v>
      </c>
      <c r="J133" s="17" t="s">
        <v>54</v>
      </c>
      <c r="K133" s="17" t="s">
        <v>78</v>
      </c>
      <c r="L133" s="17" t="s">
        <v>20</v>
      </c>
      <c r="M133" s="17" t="s">
        <v>370</v>
      </c>
      <c r="N133" s="17" t="s">
        <v>20</v>
      </c>
      <c r="O133" s="17" t="s">
        <v>308</v>
      </c>
      <c r="P133" s="17" t="s">
        <v>20</v>
      </c>
      <c r="Q133" s="17" t="s">
        <v>318</v>
      </c>
      <c r="R133" s="17" t="s">
        <v>20</v>
      </c>
      <c r="S133" s="17" t="s">
        <v>371</v>
      </c>
      <c r="T133" s="17">
        <v>0</v>
      </c>
      <c r="U133" s="18">
        <v>0</v>
      </c>
      <c r="X133" s="17" t="s">
        <v>64</v>
      </c>
      <c r="Y133" s="17" t="s">
        <v>221</v>
      </c>
      <c r="Z133" s="17" t="s">
        <v>231</v>
      </c>
      <c r="AA133" s="28">
        <v>777994.41821399995</v>
      </c>
      <c r="AB133" s="28">
        <v>2422938.8649900001</v>
      </c>
    </row>
    <row r="134" spans="1:28">
      <c r="A134" s="17">
        <v>133</v>
      </c>
      <c r="B134" s="17">
        <v>624191</v>
      </c>
      <c r="C134" s="17" t="s">
        <v>1044</v>
      </c>
      <c r="D134" s="17" t="s">
        <v>52</v>
      </c>
      <c r="E134" s="17" t="s">
        <v>1382</v>
      </c>
      <c r="F134" s="17" t="s">
        <v>1064</v>
      </c>
      <c r="G134" s="17" t="s">
        <v>1383</v>
      </c>
      <c r="H134" s="17" t="s">
        <v>69</v>
      </c>
      <c r="I134" s="17">
        <v>20070</v>
      </c>
      <c r="J134" s="17" t="s">
        <v>54</v>
      </c>
      <c r="K134" s="17" t="s">
        <v>55</v>
      </c>
      <c r="L134" s="17" t="s">
        <v>20</v>
      </c>
      <c r="M134" s="17" t="s">
        <v>115</v>
      </c>
      <c r="N134" s="17" t="s">
        <v>56</v>
      </c>
      <c r="O134" s="17" t="s">
        <v>281</v>
      </c>
      <c r="P134" s="17" t="s">
        <v>20</v>
      </c>
      <c r="Q134" s="17" t="s">
        <v>274</v>
      </c>
      <c r="R134" s="17" t="s">
        <v>20</v>
      </c>
      <c r="S134" s="17" t="s">
        <v>243</v>
      </c>
      <c r="T134" s="17">
        <v>407</v>
      </c>
      <c r="U134" s="18">
        <v>0</v>
      </c>
      <c r="X134" s="17" t="s">
        <v>67</v>
      </c>
      <c r="Y134" s="17" t="s">
        <v>221</v>
      </c>
      <c r="Z134" s="17" t="s">
        <v>231</v>
      </c>
      <c r="AA134" s="28">
        <v>777772.17632500001</v>
      </c>
      <c r="AB134" s="28">
        <v>2422162.0845400002</v>
      </c>
    </row>
    <row r="135" spans="1:28">
      <c r="A135" s="17">
        <v>134</v>
      </c>
      <c r="B135" s="17">
        <v>624191</v>
      </c>
      <c r="C135" s="17" t="s">
        <v>1044</v>
      </c>
      <c r="D135" s="17" t="s">
        <v>52</v>
      </c>
      <c r="E135" s="17" t="s">
        <v>1384</v>
      </c>
      <c r="F135" s="17" t="s">
        <v>1064</v>
      </c>
      <c r="G135" s="17" t="s">
        <v>1385</v>
      </c>
      <c r="H135" s="17" t="s">
        <v>104</v>
      </c>
      <c r="I135" s="17">
        <v>20040</v>
      </c>
      <c r="J135" s="17" t="s">
        <v>54</v>
      </c>
      <c r="K135" s="17" t="s">
        <v>63</v>
      </c>
      <c r="L135" s="17" t="s">
        <v>20</v>
      </c>
      <c r="M135" s="17" t="s">
        <v>364</v>
      </c>
      <c r="N135" s="17" t="s">
        <v>142</v>
      </c>
      <c r="O135" s="17" t="s">
        <v>368</v>
      </c>
      <c r="P135" s="17" t="s">
        <v>20</v>
      </c>
      <c r="Q135" s="17" t="s">
        <v>354</v>
      </c>
      <c r="R135" s="17" t="s">
        <v>20</v>
      </c>
      <c r="S135" s="17" t="s">
        <v>140</v>
      </c>
      <c r="T135" s="17">
        <v>101</v>
      </c>
      <c r="U135" s="18">
        <v>0</v>
      </c>
      <c r="X135" s="17" t="s">
        <v>60</v>
      </c>
      <c r="Y135" s="17" t="s">
        <v>221</v>
      </c>
      <c r="Z135" s="17" t="s">
        <v>231</v>
      </c>
      <c r="AA135" s="28">
        <v>777097.09960299998</v>
      </c>
      <c r="AB135" s="28">
        <v>2422638.1156500001</v>
      </c>
    </row>
    <row r="136" spans="1:28">
      <c r="A136" s="17">
        <v>135</v>
      </c>
      <c r="B136" s="17">
        <v>624191</v>
      </c>
      <c r="C136" s="17" t="s">
        <v>1044</v>
      </c>
      <c r="D136" s="17" t="s">
        <v>52</v>
      </c>
      <c r="E136" s="17" t="s">
        <v>1386</v>
      </c>
      <c r="F136" s="17" t="s">
        <v>1064</v>
      </c>
      <c r="G136" s="17" t="s">
        <v>1387</v>
      </c>
      <c r="H136" s="17" t="s">
        <v>104</v>
      </c>
      <c r="I136" s="17">
        <v>20089</v>
      </c>
      <c r="J136" s="17" t="s">
        <v>54</v>
      </c>
      <c r="K136" s="17" t="s">
        <v>78</v>
      </c>
      <c r="L136" s="17" t="s">
        <v>20</v>
      </c>
      <c r="M136" s="17" t="s">
        <v>369</v>
      </c>
      <c r="N136" s="17" t="s">
        <v>20</v>
      </c>
      <c r="O136" s="17" t="s">
        <v>1388</v>
      </c>
      <c r="P136" s="17" t="s">
        <v>20</v>
      </c>
      <c r="Q136" s="17" t="s">
        <v>356</v>
      </c>
      <c r="R136" s="17" t="s">
        <v>20</v>
      </c>
      <c r="S136" s="17" t="s">
        <v>272</v>
      </c>
      <c r="T136" s="17">
        <v>205</v>
      </c>
      <c r="U136" s="18">
        <v>0</v>
      </c>
      <c r="X136" s="17" t="s">
        <v>67</v>
      </c>
      <c r="Y136" s="17" t="s">
        <v>221</v>
      </c>
      <c r="Z136" s="17" t="s">
        <v>231</v>
      </c>
      <c r="AA136" s="28">
        <v>776796.879174</v>
      </c>
      <c r="AB136" s="28">
        <v>2421624.9892199999</v>
      </c>
    </row>
    <row r="137" spans="1:28">
      <c r="A137" s="17">
        <v>136</v>
      </c>
      <c r="B137" s="17">
        <v>812310</v>
      </c>
      <c r="C137" s="17" t="s">
        <v>1044</v>
      </c>
      <c r="D137" s="17" t="s">
        <v>52</v>
      </c>
      <c r="E137" s="17" t="s">
        <v>1389</v>
      </c>
      <c r="F137" s="17" t="s">
        <v>1057</v>
      </c>
      <c r="G137" s="17" t="s">
        <v>1390</v>
      </c>
      <c r="H137" s="17" t="s">
        <v>69</v>
      </c>
      <c r="I137" s="17">
        <v>20040</v>
      </c>
      <c r="J137" s="17" t="s">
        <v>54</v>
      </c>
      <c r="K137" s="17" t="s">
        <v>88</v>
      </c>
      <c r="L137" s="17" t="s">
        <v>20</v>
      </c>
      <c r="M137" s="17" t="s">
        <v>353</v>
      </c>
      <c r="N137" s="17" t="s">
        <v>20</v>
      </c>
      <c r="O137" s="17" t="s">
        <v>1391</v>
      </c>
      <c r="P137" s="17" t="s">
        <v>20</v>
      </c>
      <c r="Q137" s="17" t="s">
        <v>1392</v>
      </c>
      <c r="R137" s="17" t="s">
        <v>20</v>
      </c>
      <c r="S137" s="17" t="s">
        <v>1393</v>
      </c>
      <c r="T137" s="17">
        <v>302</v>
      </c>
      <c r="U137" s="18">
        <v>0</v>
      </c>
      <c r="V137" s="17" t="s">
        <v>1394</v>
      </c>
      <c r="W137" s="17" t="s">
        <v>1395</v>
      </c>
      <c r="X137" s="17" t="s">
        <v>67</v>
      </c>
      <c r="Y137" s="17" t="s">
        <v>221</v>
      </c>
      <c r="Z137" s="17" t="s">
        <v>231</v>
      </c>
      <c r="AA137" s="28">
        <v>777498.244359</v>
      </c>
      <c r="AB137" s="28">
        <v>2423043.8040300002</v>
      </c>
    </row>
    <row r="138" spans="1:28">
      <c r="A138" s="17">
        <v>137</v>
      </c>
      <c r="B138" s="17">
        <v>812322</v>
      </c>
      <c r="C138" s="17" t="s">
        <v>1044</v>
      </c>
      <c r="D138" s="17" t="s">
        <v>52</v>
      </c>
      <c r="E138" s="17" t="s">
        <v>1396</v>
      </c>
      <c r="F138" s="17" t="s">
        <v>1397</v>
      </c>
      <c r="G138" s="17" t="s">
        <v>1398</v>
      </c>
      <c r="H138" s="17" t="s">
        <v>104</v>
      </c>
      <c r="I138" s="17">
        <v>20010</v>
      </c>
      <c r="J138" s="17" t="s">
        <v>54</v>
      </c>
      <c r="K138" s="17" t="s">
        <v>63</v>
      </c>
      <c r="L138" s="17" t="s">
        <v>20</v>
      </c>
      <c r="M138" s="17" t="s">
        <v>356</v>
      </c>
      <c r="N138" s="17" t="s">
        <v>58</v>
      </c>
      <c r="O138" s="17" t="s">
        <v>1370</v>
      </c>
      <c r="P138" s="17" t="s">
        <v>20</v>
      </c>
      <c r="Q138" s="17" t="s">
        <v>1352</v>
      </c>
      <c r="R138" s="17" t="s">
        <v>20</v>
      </c>
      <c r="S138" s="17" t="s">
        <v>378</v>
      </c>
      <c r="T138" s="17">
        <v>0</v>
      </c>
      <c r="U138" s="18">
        <v>0</v>
      </c>
      <c r="X138" s="17" t="s">
        <v>67</v>
      </c>
      <c r="Y138" s="17" t="s">
        <v>221</v>
      </c>
      <c r="Z138" s="17" t="s">
        <v>231</v>
      </c>
      <c r="AA138" s="28">
        <v>776967.71300900006</v>
      </c>
      <c r="AB138" s="28">
        <v>2422881.9379799999</v>
      </c>
    </row>
    <row r="139" spans="1:28">
      <c r="A139" s="17">
        <v>138</v>
      </c>
      <c r="B139" s="17">
        <v>813230</v>
      </c>
      <c r="C139" s="17" t="s">
        <v>1044</v>
      </c>
      <c r="D139" s="17" t="s">
        <v>52</v>
      </c>
      <c r="E139" s="17" t="s">
        <v>1399</v>
      </c>
      <c r="F139" s="17" t="s">
        <v>1061</v>
      </c>
      <c r="H139" s="17" t="s">
        <v>104</v>
      </c>
      <c r="I139" s="17">
        <v>20040</v>
      </c>
      <c r="J139" s="17" t="s">
        <v>54</v>
      </c>
      <c r="K139" s="17" t="s">
        <v>55</v>
      </c>
      <c r="L139" s="17" t="s">
        <v>56</v>
      </c>
      <c r="M139" s="17" t="s">
        <v>222</v>
      </c>
      <c r="N139" s="17" t="s">
        <v>58</v>
      </c>
      <c r="O139" s="17" t="s">
        <v>265</v>
      </c>
      <c r="P139" s="17" t="s">
        <v>20</v>
      </c>
      <c r="Q139" s="17" t="s">
        <v>356</v>
      </c>
      <c r="R139" s="17" t="s">
        <v>20</v>
      </c>
      <c r="S139" s="17" t="s">
        <v>356</v>
      </c>
      <c r="T139" s="17">
        <v>2017</v>
      </c>
      <c r="U139" s="18">
        <v>0</v>
      </c>
      <c r="X139" s="17" t="s">
        <v>60</v>
      </c>
      <c r="Y139" s="17" t="s">
        <v>221</v>
      </c>
      <c r="Z139" s="17" t="s">
        <v>231</v>
      </c>
      <c r="AA139" s="28">
        <v>777206.55074600002</v>
      </c>
      <c r="AB139" s="28">
        <v>2422739.60659</v>
      </c>
    </row>
    <row r="140" spans="1:28">
      <c r="A140" s="17">
        <v>139</v>
      </c>
      <c r="B140" s="17">
        <v>623311</v>
      </c>
      <c r="C140" s="17" t="s">
        <v>1044</v>
      </c>
      <c r="D140" s="17" t="s">
        <v>52</v>
      </c>
      <c r="E140" s="17" t="s">
        <v>1400</v>
      </c>
      <c r="F140" s="17" t="s">
        <v>1345</v>
      </c>
      <c r="H140" s="17" t="s">
        <v>104</v>
      </c>
      <c r="I140" s="17">
        <v>20270</v>
      </c>
      <c r="J140" s="17" t="s">
        <v>54</v>
      </c>
      <c r="K140" s="17" t="s">
        <v>55</v>
      </c>
      <c r="L140" s="17" t="s">
        <v>20</v>
      </c>
      <c r="M140" s="17" t="s">
        <v>388</v>
      </c>
      <c r="N140" s="17" t="s">
        <v>56</v>
      </c>
      <c r="O140" s="17" t="s">
        <v>381</v>
      </c>
      <c r="P140" s="17" t="s">
        <v>20</v>
      </c>
      <c r="Q140" s="17" t="s">
        <v>382</v>
      </c>
      <c r="R140" s="17" t="s">
        <v>20</v>
      </c>
      <c r="S140" s="17" t="s">
        <v>1020</v>
      </c>
      <c r="T140" s="17">
        <v>106</v>
      </c>
      <c r="U140" s="18">
        <v>4493182001</v>
      </c>
      <c r="X140" s="17" t="s">
        <v>60</v>
      </c>
      <c r="Y140" s="17" t="s">
        <v>230</v>
      </c>
      <c r="Z140" s="17" t="s">
        <v>380</v>
      </c>
      <c r="AA140" s="28">
        <v>780369.02845900005</v>
      </c>
      <c r="AB140" s="28">
        <v>2420374.7590299998</v>
      </c>
    </row>
    <row r="141" spans="1:28">
      <c r="A141" s="17">
        <v>140</v>
      </c>
      <c r="B141" s="17">
        <v>624412</v>
      </c>
      <c r="C141" s="17" t="s">
        <v>1044</v>
      </c>
      <c r="D141" s="17" t="s">
        <v>1008</v>
      </c>
      <c r="E141" s="17" t="s">
        <v>1401</v>
      </c>
      <c r="F141" s="17" t="s">
        <v>1123</v>
      </c>
      <c r="G141" s="17" t="s">
        <v>1017</v>
      </c>
      <c r="H141" s="17" t="s">
        <v>104</v>
      </c>
      <c r="I141" s="17">
        <v>20270</v>
      </c>
      <c r="J141" s="17" t="s">
        <v>54</v>
      </c>
      <c r="K141" s="17" t="s">
        <v>88</v>
      </c>
      <c r="L141" s="17" t="s">
        <v>56</v>
      </c>
      <c r="M141" s="17" t="s">
        <v>381</v>
      </c>
      <c r="N141" s="17" t="s">
        <v>20</v>
      </c>
      <c r="O141" s="17" t="s">
        <v>394</v>
      </c>
      <c r="P141" s="17" t="s">
        <v>161</v>
      </c>
      <c r="Q141" s="17" t="s">
        <v>396</v>
      </c>
      <c r="R141" s="17" t="s">
        <v>20</v>
      </c>
      <c r="S141" s="17" t="s">
        <v>397</v>
      </c>
      <c r="T141" s="17">
        <v>0</v>
      </c>
      <c r="U141" s="18">
        <v>0</v>
      </c>
      <c r="V141" s="17" t="s">
        <v>1402</v>
      </c>
      <c r="W141" s="17" t="s">
        <v>1403</v>
      </c>
      <c r="X141" s="17" t="s">
        <v>67</v>
      </c>
      <c r="Y141" s="17" t="s">
        <v>230</v>
      </c>
      <c r="Z141" s="17" t="s">
        <v>380</v>
      </c>
      <c r="AA141" s="28">
        <v>779893.30080299999</v>
      </c>
      <c r="AB141" s="28">
        <v>2420432.80277</v>
      </c>
    </row>
    <row r="142" spans="1:28">
      <c r="A142" s="17">
        <v>141</v>
      </c>
      <c r="B142" s="17">
        <v>624191</v>
      </c>
      <c r="C142" s="17" t="s">
        <v>1044</v>
      </c>
      <c r="D142" s="17" t="s">
        <v>52</v>
      </c>
      <c r="E142" s="17" t="s">
        <v>1404</v>
      </c>
      <c r="F142" s="17" t="s">
        <v>1064</v>
      </c>
      <c r="G142" s="17" t="s">
        <v>1226</v>
      </c>
      <c r="H142" s="17" t="s">
        <v>104</v>
      </c>
      <c r="I142" s="17">
        <v>20270</v>
      </c>
      <c r="J142" s="17" t="s">
        <v>54</v>
      </c>
      <c r="K142" s="17" t="s">
        <v>55</v>
      </c>
      <c r="L142" s="17" t="s">
        <v>161</v>
      </c>
      <c r="M142" s="17" t="s">
        <v>396</v>
      </c>
      <c r="N142" s="17" t="s">
        <v>20</v>
      </c>
      <c r="O142" s="17" t="s">
        <v>390</v>
      </c>
      <c r="P142" s="17" t="s">
        <v>20</v>
      </c>
      <c r="Q142" s="17" t="s">
        <v>389</v>
      </c>
      <c r="R142" s="17" t="s">
        <v>20</v>
      </c>
      <c r="S142" s="17" t="s">
        <v>393</v>
      </c>
      <c r="T142" s="17">
        <v>1108</v>
      </c>
      <c r="U142" s="18">
        <v>0</v>
      </c>
      <c r="X142" s="17" t="s">
        <v>64</v>
      </c>
      <c r="Y142" s="17" t="s">
        <v>230</v>
      </c>
      <c r="Z142" s="17" t="s">
        <v>380</v>
      </c>
      <c r="AA142" s="28">
        <v>779604.558051</v>
      </c>
      <c r="AB142" s="28">
        <v>2420650.2602499998</v>
      </c>
    </row>
    <row r="143" spans="1:28">
      <c r="A143" s="17">
        <v>142</v>
      </c>
      <c r="B143" s="17">
        <v>624191</v>
      </c>
      <c r="C143" s="17" t="s">
        <v>1044</v>
      </c>
      <c r="D143" s="17" t="s">
        <v>52</v>
      </c>
      <c r="E143" s="17" t="s">
        <v>1405</v>
      </c>
      <c r="F143" s="17" t="s">
        <v>1064</v>
      </c>
      <c r="H143" s="17" t="s">
        <v>104</v>
      </c>
      <c r="I143" s="17">
        <v>20298</v>
      </c>
      <c r="J143" s="17" t="s">
        <v>54</v>
      </c>
      <c r="K143" s="17" t="s">
        <v>55</v>
      </c>
      <c r="L143" s="17" t="s">
        <v>142</v>
      </c>
      <c r="M143" s="17" t="s">
        <v>208</v>
      </c>
      <c r="N143" s="17" t="s">
        <v>20</v>
      </c>
      <c r="O143" s="17" t="s">
        <v>1406</v>
      </c>
      <c r="P143" s="17" t="s">
        <v>20</v>
      </c>
      <c r="Q143" s="17" t="s">
        <v>382</v>
      </c>
      <c r="R143" s="17" t="s">
        <v>20</v>
      </c>
      <c r="S143" s="17" t="s">
        <v>1407</v>
      </c>
      <c r="T143" s="17">
        <v>204</v>
      </c>
      <c r="U143" s="18">
        <v>0</v>
      </c>
      <c r="X143" s="17" t="s">
        <v>60</v>
      </c>
      <c r="Y143" s="17" t="s">
        <v>230</v>
      </c>
      <c r="Z143" s="17" t="s">
        <v>380</v>
      </c>
      <c r="AA143" s="28">
        <v>780556.05395199999</v>
      </c>
      <c r="AB143" s="28">
        <v>2420301.7186699999</v>
      </c>
    </row>
    <row r="144" spans="1:28">
      <c r="A144" s="17">
        <v>143</v>
      </c>
      <c r="B144" s="17">
        <v>812310</v>
      </c>
      <c r="C144" s="17" t="s">
        <v>1044</v>
      </c>
      <c r="D144" s="17" t="s">
        <v>52</v>
      </c>
      <c r="E144" s="17" t="s">
        <v>1408</v>
      </c>
      <c r="F144" s="17" t="s">
        <v>1057</v>
      </c>
      <c r="H144" s="17" t="s">
        <v>104</v>
      </c>
      <c r="I144" s="17">
        <v>20270</v>
      </c>
      <c r="J144" s="17" t="s">
        <v>54</v>
      </c>
      <c r="K144" s="17" t="s">
        <v>63</v>
      </c>
      <c r="L144" s="17" t="s">
        <v>56</v>
      </c>
      <c r="M144" s="17" t="s">
        <v>387</v>
      </c>
      <c r="N144" s="17" t="s">
        <v>20</v>
      </c>
      <c r="O144" s="17" t="s">
        <v>384</v>
      </c>
      <c r="P144" s="17" t="s">
        <v>20</v>
      </c>
      <c r="Q144" s="17" t="s">
        <v>383</v>
      </c>
      <c r="R144" s="17" t="s">
        <v>20</v>
      </c>
      <c r="S144" s="17" t="s">
        <v>392</v>
      </c>
      <c r="T144" s="17">
        <v>511</v>
      </c>
      <c r="U144" s="18">
        <v>0</v>
      </c>
      <c r="V144" s="17" t="s">
        <v>1409</v>
      </c>
      <c r="X144" s="17" t="s">
        <v>67</v>
      </c>
      <c r="Y144" s="17" t="s">
        <v>230</v>
      </c>
      <c r="Z144" s="17" t="s">
        <v>380</v>
      </c>
      <c r="AA144" s="28">
        <v>779872.80070599995</v>
      </c>
      <c r="AB144" s="28">
        <v>2420963.06403</v>
      </c>
    </row>
    <row r="145" spans="1:28">
      <c r="A145" s="17">
        <v>144</v>
      </c>
      <c r="B145" s="17">
        <v>813120</v>
      </c>
      <c r="C145" s="17" t="s">
        <v>1044</v>
      </c>
      <c r="D145" s="17" t="s">
        <v>52</v>
      </c>
      <c r="E145" s="17" t="s">
        <v>1410</v>
      </c>
      <c r="F145" s="17" t="s">
        <v>1173</v>
      </c>
      <c r="G145" s="17" t="s">
        <v>1411</v>
      </c>
      <c r="H145" s="17" t="s">
        <v>104</v>
      </c>
      <c r="I145" s="17">
        <v>20270</v>
      </c>
      <c r="J145" s="17" t="s">
        <v>54</v>
      </c>
      <c r="K145" s="17" t="s">
        <v>88</v>
      </c>
      <c r="L145" s="17" t="s">
        <v>161</v>
      </c>
      <c r="M145" s="17" t="s">
        <v>396</v>
      </c>
      <c r="N145" s="17" t="s">
        <v>20</v>
      </c>
      <c r="O145" s="17" t="s">
        <v>390</v>
      </c>
      <c r="P145" s="17" t="s">
        <v>20</v>
      </c>
      <c r="Q145" s="17" t="s">
        <v>389</v>
      </c>
      <c r="R145" s="17" t="s">
        <v>20</v>
      </c>
      <c r="S145" s="17" t="s">
        <v>393</v>
      </c>
      <c r="T145" s="17">
        <v>1112</v>
      </c>
      <c r="U145" s="18">
        <v>0</v>
      </c>
      <c r="V145" s="17" t="s">
        <v>1412</v>
      </c>
      <c r="X145" s="17" t="s">
        <v>67</v>
      </c>
      <c r="Y145" s="17" t="s">
        <v>230</v>
      </c>
      <c r="Z145" s="17" t="s">
        <v>380</v>
      </c>
      <c r="AA145" s="28">
        <v>779606.16615900001</v>
      </c>
      <c r="AB145" s="28">
        <v>2420641.1080900002</v>
      </c>
    </row>
    <row r="146" spans="1:28">
      <c r="A146" s="17">
        <v>145</v>
      </c>
      <c r="B146" s="17">
        <v>813230</v>
      </c>
      <c r="C146" s="17" t="s">
        <v>1044</v>
      </c>
      <c r="D146" s="17" t="s">
        <v>52</v>
      </c>
      <c r="E146" s="17" t="s">
        <v>1413</v>
      </c>
      <c r="F146" s="17" t="s">
        <v>1061</v>
      </c>
      <c r="H146" s="17" t="s">
        <v>104</v>
      </c>
      <c r="I146" s="17">
        <v>20270</v>
      </c>
      <c r="J146" s="17" t="s">
        <v>54</v>
      </c>
      <c r="K146" s="17" t="s">
        <v>55</v>
      </c>
      <c r="L146" s="17" t="s">
        <v>20</v>
      </c>
      <c r="M146" s="17" t="s">
        <v>384</v>
      </c>
      <c r="N146" s="17" t="s">
        <v>20</v>
      </c>
      <c r="O146" s="17" t="s">
        <v>391</v>
      </c>
      <c r="P146" s="17" t="s">
        <v>20</v>
      </c>
      <c r="Q146" s="17" t="s">
        <v>389</v>
      </c>
      <c r="R146" s="17" t="s">
        <v>20</v>
      </c>
      <c r="S146" s="17" t="s">
        <v>1414</v>
      </c>
      <c r="T146" s="17">
        <v>715</v>
      </c>
      <c r="U146" s="18">
        <v>4499904884</v>
      </c>
      <c r="V146" s="17" t="s">
        <v>1415</v>
      </c>
      <c r="X146" s="17" t="s">
        <v>60</v>
      </c>
      <c r="Y146" s="17" t="s">
        <v>230</v>
      </c>
      <c r="Z146" s="17" t="s">
        <v>380</v>
      </c>
      <c r="AA146" s="28">
        <v>779817.18385100004</v>
      </c>
      <c r="AB146" s="28">
        <v>2420828.3381699999</v>
      </c>
    </row>
    <row r="147" spans="1:28">
      <c r="A147" s="17">
        <v>146</v>
      </c>
      <c r="B147" s="17">
        <v>813230</v>
      </c>
      <c r="C147" s="17" t="s">
        <v>1044</v>
      </c>
      <c r="D147" s="17" t="s">
        <v>52</v>
      </c>
      <c r="E147" s="17" t="s">
        <v>1416</v>
      </c>
      <c r="F147" s="17" t="s">
        <v>1061</v>
      </c>
      <c r="G147" s="17" t="s">
        <v>1417</v>
      </c>
      <c r="H147" s="17" t="s">
        <v>104</v>
      </c>
      <c r="I147" s="17">
        <v>20270</v>
      </c>
      <c r="J147" s="17" t="s">
        <v>54</v>
      </c>
      <c r="K147" s="17" t="s">
        <v>55</v>
      </c>
      <c r="L147" s="17" t="s">
        <v>161</v>
      </c>
      <c r="M147" s="17" t="s">
        <v>396</v>
      </c>
      <c r="N147" s="17" t="s">
        <v>56</v>
      </c>
      <c r="O147" s="17" t="s">
        <v>381</v>
      </c>
      <c r="P147" s="17" t="s">
        <v>20</v>
      </c>
      <c r="Q147" s="17" t="s">
        <v>382</v>
      </c>
      <c r="R147" s="17" t="s">
        <v>20</v>
      </c>
      <c r="S147" s="17" t="s">
        <v>1418</v>
      </c>
      <c r="T147" s="17">
        <v>1312</v>
      </c>
      <c r="U147" s="18">
        <v>4499138936</v>
      </c>
      <c r="V147" s="17" t="s">
        <v>1419</v>
      </c>
      <c r="X147" s="17" t="s">
        <v>67</v>
      </c>
      <c r="Y147" s="17" t="s">
        <v>230</v>
      </c>
      <c r="Z147" s="17" t="s">
        <v>380</v>
      </c>
      <c r="AA147" s="28">
        <v>779672.03115099994</v>
      </c>
      <c r="AB147" s="28">
        <v>2420279.5086400001</v>
      </c>
    </row>
    <row r="148" spans="1:28">
      <c r="A148" s="17">
        <v>147</v>
      </c>
      <c r="B148" s="17">
        <v>813230</v>
      </c>
      <c r="C148" s="17" t="s">
        <v>1044</v>
      </c>
      <c r="D148" s="17" t="s">
        <v>52</v>
      </c>
      <c r="E148" s="17" t="s">
        <v>1420</v>
      </c>
      <c r="F148" s="17" t="s">
        <v>1061</v>
      </c>
      <c r="H148" s="17" t="s">
        <v>104</v>
      </c>
      <c r="I148" s="17">
        <v>20278</v>
      </c>
      <c r="J148" s="17" t="s">
        <v>54</v>
      </c>
      <c r="K148" s="17" t="s">
        <v>55</v>
      </c>
      <c r="L148" s="17" t="s">
        <v>20</v>
      </c>
      <c r="M148" s="17" t="s">
        <v>703</v>
      </c>
      <c r="N148" s="17" t="s">
        <v>56</v>
      </c>
      <c r="O148" s="17" t="s">
        <v>381</v>
      </c>
      <c r="P148" s="17" t="s">
        <v>20</v>
      </c>
      <c r="Q148" s="17" t="s">
        <v>382</v>
      </c>
      <c r="R148" s="17" t="s">
        <v>20</v>
      </c>
      <c r="S148" s="17" t="s">
        <v>1407</v>
      </c>
      <c r="T148" s="17">
        <v>100</v>
      </c>
      <c r="U148" s="18">
        <v>4499780890</v>
      </c>
      <c r="X148" s="17" t="s">
        <v>67</v>
      </c>
      <c r="Y148" s="17" t="s">
        <v>230</v>
      </c>
      <c r="Z148" s="17" t="s">
        <v>380</v>
      </c>
      <c r="AA148" s="28">
        <v>780564.44131499995</v>
      </c>
      <c r="AB148" s="28">
        <v>2420463.3866400002</v>
      </c>
    </row>
    <row r="149" spans="1:28">
      <c r="A149" s="17">
        <v>148</v>
      </c>
      <c r="B149" s="17">
        <v>623311</v>
      </c>
      <c r="C149" s="17" t="s">
        <v>1044</v>
      </c>
      <c r="D149" s="17" t="s">
        <v>52</v>
      </c>
      <c r="E149" s="17" t="s">
        <v>1421</v>
      </c>
      <c r="F149" s="17" t="s">
        <v>1345</v>
      </c>
      <c r="H149" s="17" t="s">
        <v>104</v>
      </c>
      <c r="I149" s="17">
        <v>20230</v>
      </c>
      <c r="J149" s="17" t="s">
        <v>54</v>
      </c>
      <c r="K149" s="17" t="s">
        <v>78</v>
      </c>
      <c r="L149" s="17" t="s">
        <v>20</v>
      </c>
      <c r="M149" s="17" t="s">
        <v>448</v>
      </c>
      <c r="N149" s="17" t="s">
        <v>20</v>
      </c>
      <c r="O149" s="17" t="s">
        <v>427</v>
      </c>
      <c r="P149" s="17" t="s">
        <v>20</v>
      </c>
      <c r="Q149" s="17" t="s">
        <v>426</v>
      </c>
      <c r="R149" s="17" t="s">
        <v>20</v>
      </c>
      <c r="S149" s="17" t="s">
        <v>598</v>
      </c>
      <c r="T149" s="17">
        <v>309</v>
      </c>
      <c r="U149" s="18">
        <v>4491116437</v>
      </c>
      <c r="V149" s="17" t="s">
        <v>1422</v>
      </c>
      <c r="X149" s="17" t="s">
        <v>64</v>
      </c>
      <c r="Y149" s="17" t="s">
        <v>144</v>
      </c>
      <c r="Z149" s="17" t="s">
        <v>380</v>
      </c>
      <c r="AA149" s="28">
        <v>779193.04017699999</v>
      </c>
      <c r="AB149" s="28">
        <v>2420863.5434500002</v>
      </c>
    </row>
    <row r="150" spans="1:28">
      <c r="A150" s="17">
        <v>149</v>
      </c>
      <c r="B150" s="17">
        <v>624211</v>
      </c>
      <c r="C150" s="17" t="s">
        <v>1044</v>
      </c>
      <c r="D150" s="17" t="s">
        <v>52</v>
      </c>
      <c r="E150" s="17" t="s">
        <v>1423</v>
      </c>
      <c r="F150" s="17" t="s">
        <v>1080</v>
      </c>
      <c r="G150" s="17" t="s">
        <v>1424</v>
      </c>
      <c r="H150" s="17" t="s">
        <v>104</v>
      </c>
      <c r="I150" s="17">
        <v>20230</v>
      </c>
      <c r="J150" s="17" t="s">
        <v>54</v>
      </c>
      <c r="K150" s="17" t="s">
        <v>55</v>
      </c>
      <c r="L150" s="17" t="s">
        <v>161</v>
      </c>
      <c r="M150" s="17" t="s">
        <v>396</v>
      </c>
      <c r="N150" s="17" t="s">
        <v>20</v>
      </c>
      <c r="O150" s="17" t="s">
        <v>389</v>
      </c>
      <c r="P150" s="17" t="s">
        <v>56</v>
      </c>
      <c r="Q150" s="17" t="s">
        <v>381</v>
      </c>
      <c r="R150" s="17" t="s">
        <v>56</v>
      </c>
      <c r="S150" s="17" t="s">
        <v>168</v>
      </c>
      <c r="T150" s="17">
        <v>1101</v>
      </c>
      <c r="U150" s="18">
        <v>0</v>
      </c>
      <c r="X150" s="17" t="s">
        <v>60</v>
      </c>
      <c r="Y150" s="17" t="s">
        <v>144</v>
      </c>
      <c r="Z150" s="17" t="s">
        <v>380</v>
      </c>
      <c r="AA150" s="28">
        <v>779563.93308900006</v>
      </c>
      <c r="AB150" s="28">
        <v>2420692.0424500001</v>
      </c>
    </row>
    <row r="151" spans="1:28">
      <c r="A151" s="17">
        <v>150</v>
      </c>
      <c r="B151" s="17">
        <v>624411</v>
      </c>
      <c r="C151" s="17" t="s">
        <v>1044</v>
      </c>
      <c r="D151" s="17" t="s">
        <v>52</v>
      </c>
      <c r="E151" s="17" t="s">
        <v>1425</v>
      </c>
      <c r="F151" s="17" t="s">
        <v>1046</v>
      </c>
      <c r="H151" s="17" t="s">
        <v>104</v>
      </c>
      <c r="I151" s="17">
        <v>20288</v>
      </c>
      <c r="J151" s="17" t="s">
        <v>54</v>
      </c>
      <c r="K151" s="17" t="s">
        <v>63</v>
      </c>
      <c r="L151" s="17" t="s">
        <v>20</v>
      </c>
      <c r="M151" s="17" t="s">
        <v>413</v>
      </c>
      <c r="N151" s="17" t="s">
        <v>142</v>
      </c>
      <c r="O151" s="17" t="s">
        <v>143</v>
      </c>
      <c r="P151" s="17" t="s">
        <v>20</v>
      </c>
      <c r="Q151" s="17" t="s">
        <v>414</v>
      </c>
      <c r="R151" s="17" t="s">
        <v>20</v>
      </c>
      <c r="S151" s="17" t="s">
        <v>419</v>
      </c>
      <c r="T151" s="17">
        <v>530</v>
      </c>
      <c r="U151" s="18">
        <v>4499784501</v>
      </c>
      <c r="V151" s="17" t="s">
        <v>1426</v>
      </c>
      <c r="X151" s="17" t="s">
        <v>67</v>
      </c>
      <c r="Y151" s="17" t="s">
        <v>144</v>
      </c>
      <c r="Z151" s="17" t="s">
        <v>380</v>
      </c>
      <c r="AA151" s="28">
        <v>778911.70201400004</v>
      </c>
      <c r="AB151" s="28">
        <v>2419041.9972299999</v>
      </c>
    </row>
    <row r="152" spans="1:28">
      <c r="A152" s="17">
        <v>151</v>
      </c>
      <c r="B152" s="17">
        <v>624411</v>
      </c>
      <c r="C152" s="17" t="s">
        <v>1044</v>
      </c>
      <c r="D152" s="17" t="s">
        <v>52</v>
      </c>
      <c r="E152" s="17" t="s">
        <v>1427</v>
      </c>
      <c r="F152" s="17" t="s">
        <v>1046</v>
      </c>
      <c r="H152" s="17" t="s">
        <v>104</v>
      </c>
      <c r="I152" s="17">
        <v>20237</v>
      </c>
      <c r="J152" s="17" t="s">
        <v>54</v>
      </c>
      <c r="K152" s="17" t="s">
        <v>55</v>
      </c>
      <c r="L152" s="17" t="s">
        <v>20</v>
      </c>
      <c r="M152" s="17" t="s">
        <v>403</v>
      </c>
      <c r="N152" s="17" t="s">
        <v>20</v>
      </c>
      <c r="O152" s="17" t="s">
        <v>401</v>
      </c>
      <c r="P152" s="17" t="s">
        <v>20</v>
      </c>
      <c r="Q152" s="17" t="s">
        <v>440</v>
      </c>
      <c r="R152" s="17" t="s">
        <v>20</v>
      </c>
      <c r="S152" s="17" t="s">
        <v>400</v>
      </c>
      <c r="T152" s="17">
        <v>413</v>
      </c>
      <c r="U152" s="18">
        <v>0</v>
      </c>
      <c r="X152" s="17" t="s">
        <v>60</v>
      </c>
      <c r="Y152" s="17" t="s">
        <v>144</v>
      </c>
      <c r="Z152" s="17" t="s">
        <v>380</v>
      </c>
      <c r="AA152" s="28">
        <v>777838.79334099998</v>
      </c>
      <c r="AB152" s="28">
        <v>2420827.0588500001</v>
      </c>
    </row>
    <row r="153" spans="1:28">
      <c r="A153" s="17">
        <v>152</v>
      </c>
      <c r="B153" s="17">
        <v>624112</v>
      </c>
      <c r="C153" s="17" t="s">
        <v>1044</v>
      </c>
      <c r="D153" s="17" t="s">
        <v>1008</v>
      </c>
      <c r="E153" s="17" t="s">
        <v>1428</v>
      </c>
      <c r="F153" s="17" t="s">
        <v>1149</v>
      </c>
      <c r="G153" s="17" t="s">
        <v>1016</v>
      </c>
      <c r="H153" s="17" t="s">
        <v>104</v>
      </c>
      <c r="I153" s="17">
        <v>20288</v>
      </c>
      <c r="J153" s="17" t="s">
        <v>54</v>
      </c>
      <c r="K153" s="17" t="s">
        <v>63</v>
      </c>
      <c r="L153" s="17" t="s">
        <v>142</v>
      </c>
      <c r="M153" s="17" t="s">
        <v>143</v>
      </c>
      <c r="N153" s="17" t="s">
        <v>20</v>
      </c>
      <c r="O153" s="17" t="s">
        <v>1429</v>
      </c>
      <c r="P153" s="17" t="s">
        <v>142</v>
      </c>
      <c r="Q153" s="17" t="s">
        <v>412</v>
      </c>
      <c r="R153" s="17" t="s">
        <v>20</v>
      </c>
      <c r="S153" s="17" t="s">
        <v>411</v>
      </c>
      <c r="T153" s="17">
        <v>0</v>
      </c>
      <c r="U153" s="18">
        <v>0</v>
      </c>
      <c r="X153" s="17" t="s">
        <v>67</v>
      </c>
      <c r="Y153" s="17" t="s">
        <v>144</v>
      </c>
      <c r="Z153" s="17" t="s">
        <v>380</v>
      </c>
      <c r="AA153" s="28">
        <v>778941.02088800003</v>
      </c>
      <c r="AB153" s="28">
        <v>2419362.4130600002</v>
      </c>
    </row>
    <row r="154" spans="1:28">
      <c r="A154" s="17">
        <v>153</v>
      </c>
      <c r="B154" s="17">
        <v>624122</v>
      </c>
      <c r="C154" s="17" t="s">
        <v>1044</v>
      </c>
      <c r="D154" s="17" t="s">
        <v>1008</v>
      </c>
      <c r="E154" s="17" t="s">
        <v>1430</v>
      </c>
      <c r="F154" s="17" t="s">
        <v>1153</v>
      </c>
      <c r="G154" s="17" t="s">
        <v>1015</v>
      </c>
      <c r="H154" s="17" t="s">
        <v>104</v>
      </c>
      <c r="I154" s="17">
        <v>20230</v>
      </c>
      <c r="J154" s="17" t="s">
        <v>54</v>
      </c>
      <c r="K154" s="17" t="s">
        <v>78</v>
      </c>
      <c r="L154" s="17" t="s">
        <v>56</v>
      </c>
      <c r="M154" s="17" t="s">
        <v>381</v>
      </c>
      <c r="N154" s="17" t="s">
        <v>20</v>
      </c>
      <c r="O154" s="17" t="s">
        <v>409</v>
      </c>
      <c r="P154" s="17" t="s">
        <v>56</v>
      </c>
      <c r="Q154" s="17" t="s">
        <v>168</v>
      </c>
      <c r="R154" s="17" t="s">
        <v>20</v>
      </c>
      <c r="S154" s="17" t="s">
        <v>1431</v>
      </c>
      <c r="T154" s="17">
        <v>0</v>
      </c>
      <c r="U154" s="18">
        <v>4499782188</v>
      </c>
      <c r="V154" s="17" t="s">
        <v>1432</v>
      </c>
      <c r="W154" s="17" t="s">
        <v>1433</v>
      </c>
      <c r="X154" s="17" t="s">
        <v>67</v>
      </c>
      <c r="Y154" s="17" t="s">
        <v>144</v>
      </c>
      <c r="Z154" s="17" t="s">
        <v>380</v>
      </c>
      <c r="AA154" s="28">
        <v>779456.47711800004</v>
      </c>
      <c r="AB154" s="28">
        <v>2420400.8580700001</v>
      </c>
    </row>
    <row r="155" spans="1:28">
      <c r="A155" s="17">
        <v>154</v>
      </c>
      <c r="B155" s="17">
        <v>624212</v>
      </c>
      <c r="C155" s="17" t="s">
        <v>1044</v>
      </c>
      <c r="D155" s="17" t="s">
        <v>1008</v>
      </c>
      <c r="E155" s="17" t="s">
        <v>1434</v>
      </c>
      <c r="F155" s="17" t="s">
        <v>1051</v>
      </c>
      <c r="G155" s="17" t="s">
        <v>1013</v>
      </c>
      <c r="H155" s="17" t="s">
        <v>104</v>
      </c>
      <c r="I155" s="17">
        <v>20210</v>
      </c>
      <c r="J155" s="17" t="s">
        <v>54</v>
      </c>
      <c r="K155" s="17" t="s">
        <v>55</v>
      </c>
      <c r="L155" s="17" t="s">
        <v>20</v>
      </c>
      <c r="M155" s="17" t="s">
        <v>437</v>
      </c>
      <c r="N155" s="17" t="s">
        <v>20</v>
      </c>
      <c r="O155" s="17" t="s">
        <v>59</v>
      </c>
      <c r="P155" s="17" t="s">
        <v>20</v>
      </c>
      <c r="Q155" s="17" t="s">
        <v>403</v>
      </c>
      <c r="R155" s="17" t="s">
        <v>20</v>
      </c>
      <c r="S155" s="17" t="s">
        <v>438</v>
      </c>
      <c r="T155" s="17">
        <v>0</v>
      </c>
      <c r="U155" s="18">
        <v>0</v>
      </c>
      <c r="X155" s="17" t="s">
        <v>67</v>
      </c>
      <c r="Y155" s="17" t="s">
        <v>144</v>
      </c>
      <c r="Z155" s="17" t="s">
        <v>380</v>
      </c>
      <c r="AA155" s="28">
        <v>777462.974545</v>
      </c>
      <c r="AB155" s="28">
        <v>2420222.8273299998</v>
      </c>
    </row>
    <row r="156" spans="1:28">
      <c r="A156" s="17">
        <v>155</v>
      </c>
      <c r="B156" s="17">
        <v>624222</v>
      </c>
      <c r="C156" s="17" t="s">
        <v>1044</v>
      </c>
      <c r="D156" s="17" t="s">
        <v>1008</v>
      </c>
      <c r="E156" s="17" t="s">
        <v>1435</v>
      </c>
      <c r="F156" s="17" t="s">
        <v>1436</v>
      </c>
      <c r="G156" s="17" t="s">
        <v>1437</v>
      </c>
      <c r="H156" s="17" t="s">
        <v>104</v>
      </c>
      <c r="I156" s="17">
        <v>20230</v>
      </c>
      <c r="J156" s="17" t="s">
        <v>54</v>
      </c>
      <c r="K156" s="17" t="s">
        <v>78</v>
      </c>
      <c r="L156" s="17" t="s">
        <v>20</v>
      </c>
      <c r="M156" s="17" t="s">
        <v>409</v>
      </c>
      <c r="N156" s="17" t="s">
        <v>20</v>
      </c>
      <c r="O156" s="17" t="s">
        <v>451</v>
      </c>
      <c r="P156" s="17" t="s">
        <v>56</v>
      </c>
      <c r="Q156" s="17" t="s">
        <v>381</v>
      </c>
      <c r="R156" s="17" t="s">
        <v>56</v>
      </c>
      <c r="S156" s="17" t="s">
        <v>168</v>
      </c>
      <c r="T156" s="17">
        <v>0</v>
      </c>
      <c r="U156" s="18">
        <v>0</v>
      </c>
      <c r="X156" s="17" t="s">
        <v>60</v>
      </c>
      <c r="Y156" s="17" t="s">
        <v>144</v>
      </c>
      <c r="Z156" s="17" t="s">
        <v>380</v>
      </c>
      <c r="AA156" s="28">
        <v>779317.52142500004</v>
      </c>
      <c r="AB156" s="28">
        <v>2420302.13442</v>
      </c>
    </row>
    <row r="157" spans="1:28">
      <c r="A157" s="17">
        <v>156</v>
      </c>
      <c r="B157" s="17">
        <v>624412</v>
      </c>
      <c r="C157" s="17" t="s">
        <v>1044</v>
      </c>
      <c r="D157" s="17" t="s">
        <v>1008</v>
      </c>
      <c r="E157" s="17" t="s">
        <v>1438</v>
      </c>
      <c r="F157" s="17" t="s">
        <v>1123</v>
      </c>
      <c r="G157" s="17" t="s">
        <v>1036</v>
      </c>
      <c r="H157" s="17" t="s">
        <v>104</v>
      </c>
      <c r="I157" s="17">
        <v>20230</v>
      </c>
      <c r="J157" s="17" t="s">
        <v>54</v>
      </c>
      <c r="K157" s="17" t="s">
        <v>88</v>
      </c>
      <c r="L157" s="17" t="s">
        <v>20</v>
      </c>
      <c r="M157" s="17" t="s">
        <v>409</v>
      </c>
      <c r="N157" s="17" t="s">
        <v>20</v>
      </c>
      <c r="O157" s="17" t="s">
        <v>451</v>
      </c>
      <c r="P157" s="17" t="s">
        <v>56</v>
      </c>
      <c r="Q157" s="17" t="s">
        <v>381</v>
      </c>
      <c r="R157" s="17" t="s">
        <v>20</v>
      </c>
      <c r="S157" s="17" t="s">
        <v>1431</v>
      </c>
      <c r="T157" s="17">
        <v>0</v>
      </c>
      <c r="U157" s="18">
        <v>4499780430</v>
      </c>
      <c r="V157" s="17" t="s">
        <v>1439</v>
      </c>
      <c r="W157" s="17" t="s">
        <v>1440</v>
      </c>
      <c r="X157" s="17" t="s">
        <v>67</v>
      </c>
      <c r="Y157" s="17" t="s">
        <v>144</v>
      </c>
      <c r="Z157" s="17" t="s">
        <v>380</v>
      </c>
      <c r="AA157" s="28">
        <v>779335.33565200004</v>
      </c>
      <c r="AB157" s="28">
        <v>2420412.9808700001</v>
      </c>
    </row>
    <row r="158" spans="1:28">
      <c r="A158" s="17">
        <v>157</v>
      </c>
      <c r="B158" s="17">
        <v>624412</v>
      </c>
      <c r="C158" s="17" t="s">
        <v>1044</v>
      </c>
      <c r="D158" s="17" t="s">
        <v>1008</v>
      </c>
      <c r="E158" s="17" t="s">
        <v>1441</v>
      </c>
      <c r="F158" s="17" t="s">
        <v>1123</v>
      </c>
      <c r="G158" s="17" t="s">
        <v>1012</v>
      </c>
      <c r="H158" s="17" t="s">
        <v>104</v>
      </c>
      <c r="I158" s="17">
        <v>20230</v>
      </c>
      <c r="J158" s="17" t="s">
        <v>54</v>
      </c>
      <c r="K158" s="17" t="s">
        <v>132</v>
      </c>
      <c r="L158" s="17" t="s">
        <v>56</v>
      </c>
      <c r="M158" s="17" t="s">
        <v>417</v>
      </c>
      <c r="N158" s="17" t="s">
        <v>56</v>
      </c>
      <c r="O158" s="17" t="s">
        <v>381</v>
      </c>
      <c r="P158" s="17" t="s">
        <v>20</v>
      </c>
      <c r="Q158" s="17" t="s">
        <v>430</v>
      </c>
      <c r="R158" s="17" t="s">
        <v>20</v>
      </c>
      <c r="S158" s="17" t="s">
        <v>430</v>
      </c>
      <c r="T158" s="17">
        <v>1610</v>
      </c>
      <c r="U158" s="18">
        <v>4499785600</v>
      </c>
      <c r="V158" s="17" t="s">
        <v>1442</v>
      </c>
      <c r="X158" s="17" t="s">
        <v>64</v>
      </c>
      <c r="Y158" s="17" t="s">
        <v>144</v>
      </c>
      <c r="Z158" s="17" t="s">
        <v>380</v>
      </c>
      <c r="AA158" s="28">
        <v>778194.30706200004</v>
      </c>
      <c r="AB158" s="28">
        <v>2420757.2167799999</v>
      </c>
    </row>
    <row r="159" spans="1:28">
      <c r="A159" s="17">
        <v>158</v>
      </c>
      <c r="B159" s="17">
        <v>624412</v>
      </c>
      <c r="C159" s="17" t="s">
        <v>1044</v>
      </c>
      <c r="D159" s="17" t="s">
        <v>1008</v>
      </c>
      <c r="E159" s="17" t="s">
        <v>1443</v>
      </c>
      <c r="F159" s="17" t="s">
        <v>1123</v>
      </c>
      <c r="G159" s="17" t="s">
        <v>1443</v>
      </c>
      <c r="H159" s="17" t="s">
        <v>104</v>
      </c>
      <c r="I159" s="17">
        <v>20235</v>
      </c>
      <c r="J159" s="17" t="s">
        <v>54</v>
      </c>
      <c r="K159" s="17" t="s">
        <v>55</v>
      </c>
      <c r="L159" s="17" t="s">
        <v>20</v>
      </c>
      <c r="M159" s="17" t="s">
        <v>452</v>
      </c>
      <c r="N159" s="17" t="s">
        <v>20</v>
      </c>
      <c r="O159" s="17" t="s">
        <v>442</v>
      </c>
      <c r="P159" s="17" t="s">
        <v>20</v>
      </c>
      <c r="Q159" s="17" t="s">
        <v>424</v>
      </c>
      <c r="R159" s="17" t="s">
        <v>20</v>
      </c>
      <c r="S159" s="17" t="s">
        <v>1021</v>
      </c>
      <c r="T159" s="17">
        <v>1620</v>
      </c>
      <c r="U159" s="18">
        <v>0</v>
      </c>
      <c r="V159" s="17" t="s">
        <v>1444</v>
      </c>
      <c r="X159" s="17" t="s">
        <v>60</v>
      </c>
      <c r="Y159" s="17" t="s">
        <v>144</v>
      </c>
      <c r="Z159" s="17" t="s">
        <v>380</v>
      </c>
      <c r="AA159" s="28">
        <v>778830.48807600001</v>
      </c>
      <c r="AB159" s="28">
        <v>2420080.8355999999</v>
      </c>
    </row>
    <row r="160" spans="1:28">
      <c r="A160" s="17">
        <v>159</v>
      </c>
      <c r="B160" s="17">
        <v>624191</v>
      </c>
      <c r="C160" s="17" t="s">
        <v>1044</v>
      </c>
      <c r="D160" s="17" t="s">
        <v>52</v>
      </c>
      <c r="E160" s="17" t="s">
        <v>1445</v>
      </c>
      <c r="F160" s="17" t="s">
        <v>1064</v>
      </c>
      <c r="G160" s="17" t="s">
        <v>1446</v>
      </c>
      <c r="H160" s="17" t="s">
        <v>69</v>
      </c>
      <c r="I160" s="17">
        <v>20210</v>
      </c>
      <c r="J160" s="17" t="s">
        <v>54</v>
      </c>
      <c r="K160" s="17" t="s">
        <v>78</v>
      </c>
      <c r="L160" s="17" t="s">
        <v>20</v>
      </c>
      <c r="M160" s="17" t="s">
        <v>301</v>
      </c>
      <c r="N160" s="17" t="s">
        <v>20</v>
      </c>
      <c r="O160" s="17" t="s">
        <v>423</v>
      </c>
      <c r="P160" s="17" t="s">
        <v>56</v>
      </c>
      <c r="Q160" s="17" t="s">
        <v>222</v>
      </c>
      <c r="R160" s="17" t="s">
        <v>161</v>
      </c>
      <c r="S160" s="17" t="s">
        <v>221</v>
      </c>
      <c r="T160" s="17">
        <v>323</v>
      </c>
      <c r="U160" s="18">
        <v>0</v>
      </c>
      <c r="V160" s="17" t="s">
        <v>1447</v>
      </c>
      <c r="X160" s="17" t="s">
        <v>64</v>
      </c>
      <c r="Y160" s="17" t="s">
        <v>144</v>
      </c>
      <c r="Z160" s="17" t="s">
        <v>380</v>
      </c>
      <c r="AA160" s="28">
        <v>777232.34328699997</v>
      </c>
      <c r="AB160" s="28">
        <v>2420503.7173899999</v>
      </c>
    </row>
    <row r="161" spans="1:28">
      <c r="A161" s="17">
        <v>160</v>
      </c>
      <c r="B161" s="17">
        <v>624191</v>
      </c>
      <c r="C161" s="17" t="s">
        <v>1044</v>
      </c>
      <c r="D161" s="17" t="s">
        <v>52</v>
      </c>
      <c r="E161" s="17" t="s">
        <v>1448</v>
      </c>
      <c r="F161" s="17" t="s">
        <v>1064</v>
      </c>
      <c r="G161" s="17" t="s">
        <v>1449</v>
      </c>
      <c r="H161" s="17" t="s">
        <v>104</v>
      </c>
      <c r="I161" s="17">
        <v>20288</v>
      </c>
      <c r="J161" s="17" t="s">
        <v>54</v>
      </c>
      <c r="K161" s="17" t="s">
        <v>63</v>
      </c>
      <c r="L161" s="17" t="s">
        <v>20</v>
      </c>
      <c r="M161" s="17" t="s">
        <v>413</v>
      </c>
      <c r="N161" s="17" t="s">
        <v>56</v>
      </c>
      <c r="O161" s="17" t="s">
        <v>170</v>
      </c>
      <c r="P161" s="17" t="s">
        <v>20</v>
      </c>
      <c r="Q161" s="17" t="s">
        <v>399</v>
      </c>
      <c r="R161" s="17" t="s">
        <v>20</v>
      </c>
      <c r="S161" s="17" t="s">
        <v>419</v>
      </c>
      <c r="T161" s="17">
        <v>224</v>
      </c>
      <c r="U161" s="18">
        <v>0</v>
      </c>
      <c r="X161" s="17" t="s">
        <v>67</v>
      </c>
      <c r="Y161" s="17" t="s">
        <v>144</v>
      </c>
      <c r="Z161" s="17" t="s">
        <v>380</v>
      </c>
      <c r="AA161" s="28">
        <v>778522.11637800001</v>
      </c>
      <c r="AB161" s="28">
        <v>2419523.9549599998</v>
      </c>
    </row>
    <row r="162" spans="1:28">
      <c r="A162" s="17">
        <v>161</v>
      </c>
      <c r="B162" s="17">
        <v>624191</v>
      </c>
      <c r="C162" s="17" t="s">
        <v>1044</v>
      </c>
      <c r="D162" s="17" t="s">
        <v>52</v>
      </c>
      <c r="E162" s="17" t="s">
        <v>1450</v>
      </c>
      <c r="F162" s="17" t="s">
        <v>1064</v>
      </c>
      <c r="G162" s="17" t="s">
        <v>1286</v>
      </c>
      <c r="H162" s="17" t="s">
        <v>104</v>
      </c>
      <c r="I162" s="17">
        <v>20288</v>
      </c>
      <c r="J162" s="17" t="s">
        <v>54</v>
      </c>
      <c r="K162" s="17" t="s">
        <v>55</v>
      </c>
      <c r="L162" s="17" t="s">
        <v>20</v>
      </c>
      <c r="M162" s="17" t="s">
        <v>151</v>
      </c>
      <c r="N162" s="17" t="s">
        <v>142</v>
      </c>
      <c r="O162" s="17" t="s">
        <v>412</v>
      </c>
      <c r="P162" s="17" t="s">
        <v>20</v>
      </c>
      <c r="Q162" s="17" t="s">
        <v>414</v>
      </c>
      <c r="R162" s="17" t="s">
        <v>20</v>
      </c>
      <c r="S162" s="17" t="s">
        <v>419</v>
      </c>
      <c r="T162" s="17">
        <v>407</v>
      </c>
      <c r="U162" s="18">
        <v>0</v>
      </c>
      <c r="X162" s="17" t="s">
        <v>67</v>
      </c>
      <c r="Y162" s="17" t="s">
        <v>144</v>
      </c>
      <c r="Z162" s="17" t="s">
        <v>380</v>
      </c>
      <c r="AA162" s="28">
        <v>778737.05837999994</v>
      </c>
      <c r="AB162" s="28">
        <v>2419250.1007599998</v>
      </c>
    </row>
    <row r="163" spans="1:28">
      <c r="A163" s="17">
        <v>162</v>
      </c>
      <c r="B163" s="17">
        <v>624191</v>
      </c>
      <c r="C163" s="17" t="s">
        <v>1044</v>
      </c>
      <c r="D163" s="17" t="s">
        <v>52</v>
      </c>
      <c r="E163" s="17" t="s">
        <v>1381</v>
      </c>
      <c r="F163" s="17" t="s">
        <v>1064</v>
      </c>
      <c r="G163" s="17" t="s">
        <v>1226</v>
      </c>
      <c r="H163" s="17" t="s">
        <v>104</v>
      </c>
      <c r="I163" s="17">
        <v>20288</v>
      </c>
      <c r="J163" s="17" t="s">
        <v>54</v>
      </c>
      <c r="K163" s="17" t="s">
        <v>63</v>
      </c>
      <c r="L163" s="17" t="s">
        <v>20</v>
      </c>
      <c r="M163" s="17" t="s">
        <v>399</v>
      </c>
      <c r="N163" s="17" t="s">
        <v>20</v>
      </c>
      <c r="O163" s="17" t="s">
        <v>413</v>
      </c>
      <c r="P163" s="17" t="s">
        <v>20</v>
      </c>
      <c r="Q163" s="17" t="s">
        <v>449</v>
      </c>
      <c r="R163" s="17" t="s">
        <v>142</v>
      </c>
      <c r="S163" s="17" t="s">
        <v>1451</v>
      </c>
      <c r="T163" s="17">
        <v>0</v>
      </c>
      <c r="U163" s="18">
        <v>0</v>
      </c>
      <c r="X163" s="17" t="s">
        <v>60</v>
      </c>
      <c r="Y163" s="17" t="s">
        <v>144</v>
      </c>
      <c r="Z163" s="17" t="s">
        <v>380</v>
      </c>
      <c r="AA163" s="28">
        <v>778532.32988199999</v>
      </c>
      <c r="AB163" s="28">
        <v>2419416.7074500001</v>
      </c>
    </row>
    <row r="164" spans="1:28">
      <c r="A164" s="17">
        <v>163</v>
      </c>
      <c r="B164" s="17">
        <v>624191</v>
      </c>
      <c r="C164" s="17" t="s">
        <v>1044</v>
      </c>
      <c r="D164" s="17" t="s">
        <v>52</v>
      </c>
      <c r="E164" s="17" t="s">
        <v>1452</v>
      </c>
      <c r="F164" s="17" t="s">
        <v>1064</v>
      </c>
      <c r="G164" s="17" t="s">
        <v>1453</v>
      </c>
      <c r="H164" s="17" t="s">
        <v>104</v>
      </c>
      <c r="I164" s="17">
        <v>20210</v>
      </c>
      <c r="J164" s="17" t="s">
        <v>54</v>
      </c>
      <c r="K164" s="17" t="s">
        <v>63</v>
      </c>
      <c r="L164" s="17" t="s">
        <v>20</v>
      </c>
      <c r="M164" s="17" t="s">
        <v>415</v>
      </c>
      <c r="N164" s="17" t="s">
        <v>20</v>
      </c>
      <c r="O164" s="17" t="s">
        <v>404</v>
      </c>
      <c r="P164" s="17" t="s">
        <v>20</v>
      </c>
      <c r="Q164" s="17" t="s">
        <v>270</v>
      </c>
      <c r="R164" s="17" t="s">
        <v>20</v>
      </c>
      <c r="S164" s="17" t="s">
        <v>407</v>
      </c>
      <c r="T164" s="17">
        <v>311</v>
      </c>
      <c r="U164" s="18">
        <v>0</v>
      </c>
      <c r="X164" s="17" t="s">
        <v>60</v>
      </c>
      <c r="Y164" s="17" t="s">
        <v>144</v>
      </c>
      <c r="Z164" s="17" t="s">
        <v>380</v>
      </c>
      <c r="AA164" s="28">
        <v>777281.37568000006</v>
      </c>
      <c r="AB164" s="28">
        <v>2420541.05278</v>
      </c>
    </row>
    <row r="165" spans="1:28">
      <c r="A165" s="17">
        <v>164</v>
      </c>
      <c r="B165" s="17">
        <v>624191</v>
      </c>
      <c r="C165" s="17" t="s">
        <v>1044</v>
      </c>
      <c r="D165" s="17" t="s">
        <v>52</v>
      </c>
      <c r="E165" s="17" t="s">
        <v>1454</v>
      </c>
      <c r="F165" s="17" t="s">
        <v>1064</v>
      </c>
      <c r="G165" s="17" t="s">
        <v>1455</v>
      </c>
      <c r="H165" s="17" t="s">
        <v>104</v>
      </c>
      <c r="I165" s="17">
        <v>20210</v>
      </c>
      <c r="J165" s="17" t="s">
        <v>54</v>
      </c>
      <c r="K165" s="17" t="s">
        <v>63</v>
      </c>
      <c r="L165" s="17" t="s">
        <v>20</v>
      </c>
      <c r="M165" s="17" t="s">
        <v>423</v>
      </c>
      <c r="N165" s="17" t="s">
        <v>56</v>
      </c>
      <c r="O165" s="17" t="s">
        <v>193</v>
      </c>
      <c r="P165" s="17" t="s">
        <v>20</v>
      </c>
      <c r="Q165" s="17" t="s">
        <v>403</v>
      </c>
      <c r="R165" s="17" t="s">
        <v>20</v>
      </c>
      <c r="S165" s="17" t="s">
        <v>416</v>
      </c>
      <c r="T165" s="17">
        <v>118</v>
      </c>
      <c r="U165" s="18">
        <v>4499188593</v>
      </c>
      <c r="X165" s="17" t="s">
        <v>64</v>
      </c>
      <c r="Y165" s="17" t="s">
        <v>144</v>
      </c>
      <c r="Z165" s="17" t="s">
        <v>380</v>
      </c>
      <c r="AA165" s="28">
        <v>777897.65753800003</v>
      </c>
      <c r="AB165" s="28">
        <v>2420440.3056999999</v>
      </c>
    </row>
    <row r="166" spans="1:28">
      <c r="A166" s="17">
        <v>165</v>
      </c>
      <c r="B166" s="17">
        <v>624191</v>
      </c>
      <c r="C166" s="17" t="s">
        <v>1044</v>
      </c>
      <c r="D166" s="17" t="s">
        <v>52</v>
      </c>
      <c r="E166" s="17" t="s">
        <v>1456</v>
      </c>
      <c r="F166" s="17" t="s">
        <v>1064</v>
      </c>
      <c r="G166" s="17" t="s">
        <v>1457</v>
      </c>
      <c r="H166" s="17" t="s">
        <v>104</v>
      </c>
      <c r="I166" s="17">
        <v>20210</v>
      </c>
      <c r="J166" s="17" t="s">
        <v>54</v>
      </c>
      <c r="K166" s="17" t="s">
        <v>55</v>
      </c>
      <c r="L166" s="17" t="s">
        <v>20</v>
      </c>
      <c r="M166" s="17" t="s">
        <v>435</v>
      </c>
      <c r="N166" s="17" t="s">
        <v>56</v>
      </c>
      <c r="O166" s="17" t="s">
        <v>193</v>
      </c>
      <c r="P166" s="17" t="s">
        <v>20</v>
      </c>
      <c r="Q166" s="17" t="s">
        <v>403</v>
      </c>
      <c r="R166" s="17" t="s">
        <v>20</v>
      </c>
      <c r="S166" s="17" t="s">
        <v>436</v>
      </c>
      <c r="T166" s="17">
        <v>0</v>
      </c>
      <c r="U166" s="18">
        <v>0</v>
      </c>
      <c r="X166" s="17" t="s">
        <v>67</v>
      </c>
      <c r="Y166" s="17" t="s">
        <v>144</v>
      </c>
      <c r="Z166" s="17" t="s">
        <v>380</v>
      </c>
      <c r="AA166" s="28">
        <v>777565.38047900004</v>
      </c>
      <c r="AB166" s="28">
        <v>2419824.14488</v>
      </c>
    </row>
    <row r="167" spans="1:28">
      <c r="A167" s="17">
        <v>166</v>
      </c>
      <c r="B167" s="17">
        <v>624191</v>
      </c>
      <c r="C167" s="17" t="s">
        <v>1044</v>
      </c>
      <c r="D167" s="17" t="s">
        <v>52</v>
      </c>
      <c r="E167" s="17" t="s">
        <v>1458</v>
      </c>
      <c r="F167" s="17" t="s">
        <v>1064</v>
      </c>
      <c r="G167" s="17" t="s">
        <v>1459</v>
      </c>
      <c r="H167" s="17" t="s">
        <v>104</v>
      </c>
      <c r="I167" s="17">
        <v>20210</v>
      </c>
      <c r="J167" s="17" t="s">
        <v>54</v>
      </c>
      <c r="K167" s="17" t="s">
        <v>55</v>
      </c>
      <c r="L167" s="17" t="s">
        <v>56</v>
      </c>
      <c r="M167" s="17" t="s">
        <v>281</v>
      </c>
      <c r="N167" s="17" t="s">
        <v>20</v>
      </c>
      <c r="O167" s="17" t="s">
        <v>439</v>
      </c>
      <c r="P167" s="17" t="s">
        <v>20</v>
      </c>
      <c r="Q167" s="17" t="s">
        <v>403</v>
      </c>
      <c r="R167" s="17" t="s">
        <v>20</v>
      </c>
      <c r="S167" s="17" t="s">
        <v>459</v>
      </c>
      <c r="T167" s="17">
        <v>1132</v>
      </c>
      <c r="U167" s="18">
        <v>0</v>
      </c>
      <c r="X167" s="17" t="s">
        <v>60</v>
      </c>
      <c r="Y167" s="17" t="s">
        <v>144</v>
      </c>
      <c r="Z167" s="17" t="s">
        <v>380</v>
      </c>
      <c r="AA167" s="28">
        <v>777880.58530999999</v>
      </c>
      <c r="AB167" s="28">
        <v>2420954.9751300002</v>
      </c>
    </row>
    <row r="168" spans="1:28">
      <c r="A168" s="17">
        <v>167</v>
      </c>
      <c r="B168" s="17">
        <v>624191</v>
      </c>
      <c r="C168" s="17" t="s">
        <v>1044</v>
      </c>
      <c r="D168" s="17" t="s">
        <v>52</v>
      </c>
      <c r="E168" s="17" t="s">
        <v>1460</v>
      </c>
      <c r="F168" s="17" t="s">
        <v>1064</v>
      </c>
      <c r="G168" s="17" t="s">
        <v>1461</v>
      </c>
      <c r="H168" s="17" t="s">
        <v>104</v>
      </c>
      <c r="I168" s="17">
        <v>20210</v>
      </c>
      <c r="J168" s="17" t="s">
        <v>54</v>
      </c>
      <c r="K168" s="17" t="s">
        <v>55</v>
      </c>
      <c r="L168" s="17" t="s">
        <v>56</v>
      </c>
      <c r="M168" s="17" t="s">
        <v>281</v>
      </c>
      <c r="N168" s="17" t="s">
        <v>20</v>
      </c>
      <c r="O168" s="17" t="s">
        <v>439</v>
      </c>
      <c r="P168" s="17" t="s">
        <v>20</v>
      </c>
      <c r="Q168" s="17" t="s">
        <v>403</v>
      </c>
      <c r="R168" s="17" t="s">
        <v>20</v>
      </c>
      <c r="S168" s="17" t="s">
        <v>439</v>
      </c>
      <c r="T168" s="17">
        <v>1132</v>
      </c>
      <c r="U168" s="18">
        <v>0</v>
      </c>
      <c r="X168" s="17" t="s">
        <v>67</v>
      </c>
      <c r="Y168" s="17" t="s">
        <v>144</v>
      </c>
      <c r="Z168" s="17" t="s">
        <v>380</v>
      </c>
      <c r="AA168" s="28">
        <v>777880.58530999999</v>
      </c>
      <c r="AB168" s="28">
        <v>2420954.9751300002</v>
      </c>
    </row>
    <row r="169" spans="1:28">
      <c r="A169" s="17">
        <v>168</v>
      </c>
      <c r="B169" s="17">
        <v>624191</v>
      </c>
      <c r="C169" s="17" t="s">
        <v>1044</v>
      </c>
      <c r="D169" s="17" t="s">
        <v>52</v>
      </c>
      <c r="E169" s="17" t="s">
        <v>1462</v>
      </c>
      <c r="F169" s="17" t="s">
        <v>1064</v>
      </c>
      <c r="G169" s="17" t="s">
        <v>1463</v>
      </c>
      <c r="H169" s="17" t="s">
        <v>104</v>
      </c>
      <c r="I169" s="17">
        <v>20210</v>
      </c>
      <c r="J169" s="17" t="s">
        <v>54</v>
      </c>
      <c r="K169" s="17" t="s">
        <v>78</v>
      </c>
      <c r="L169" s="17" t="s">
        <v>20</v>
      </c>
      <c r="M169" s="17" t="s">
        <v>404</v>
      </c>
      <c r="N169" s="17" t="s">
        <v>20</v>
      </c>
      <c r="O169" s="17" t="s">
        <v>416</v>
      </c>
      <c r="P169" s="17" t="s">
        <v>20</v>
      </c>
      <c r="Q169" s="17" t="s">
        <v>406</v>
      </c>
      <c r="R169" s="17" t="s">
        <v>20</v>
      </c>
      <c r="S169" s="17" t="s">
        <v>270</v>
      </c>
      <c r="T169" s="17">
        <v>301</v>
      </c>
      <c r="U169" s="18">
        <v>4499130716</v>
      </c>
      <c r="V169" s="17" t="s">
        <v>1464</v>
      </c>
      <c r="X169" s="17" t="s">
        <v>67</v>
      </c>
      <c r="Y169" s="17" t="s">
        <v>144</v>
      </c>
      <c r="Z169" s="17" t="s">
        <v>380</v>
      </c>
      <c r="AA169" s="28">
        <v>777381.55943000002</v>
      </c>
      <c r="AB169" s="28">
        <v>2420613.69013</v>
      </c>
    </row>
    <row r="170" spans="1:28">
      <c r="A170" s="17">
        <v>169</v>
      </c>
      <c r="B170" s="17">
        <v>624191</v>
      </c>
      <c r="C170" s="17" t="s">
        <v>1044</v>
      </c>
      <c r="D170" s="17" t="s">
        <v>52</v>
      </c>
      <c r="E170" s="17" t="s">
        <v>1465</v>
      </c>
      <c r="F170" s="17" t="s">
        <v>1064</v>
      </c>
      <c r="G170" s="17" t="s">
        <v>1466</v>
      </c>
      <c r="H170" s="17" t="s">
        <v>104</v>
      </c>
      <c r="I170" s="17">
        <v>20230</v>
      </c>
      <c r="J170" s="17" t="s">
        <v>54</v>
      </c>
      <c r="K170" s="17" t="s">
        <v>78</v>
      </c>
      <c r="L170" s="17" t="s">
        <v>20</v>
      </c>
      <c r="M170" s="17" t="s">
        <v>428</v>
      </c>
      <c r="N170" s="17" t="s">
        <v>56</v>
      </c>
      <c r="O170" s="17" t="s">
        <v>460</v>
      </c>
      <c r="P170" s="17" t="s">
        <v>20</v>
      </c>
      <c r="Q170" s="17" t="s">
        <v>426</v>
      </c>
      <c r="R170" s="17" t="s">
        <v>20</v>
      </c>
      <c r="S170" s="17" t="s">
        <v>432</v>
      </c>
      <c r="T170" s="17">
        <v>304</v>
      </c>
      <c r="U170" s="18">
        <v>0</v>
      </c>
      <c r="W170" s="17" t="s">
        <v>1467</v>
      </c>
      <c r="X170" s="17" t="s">
        <v>67</v>
      </c>
      <c r="Y170" s="17" t="s">
        <v>144</v>
      </c>
      <c r="Z170" s="17" t="s">
        <v>380</v>
      </c>
      <c r="AA170" s="28">
        <v>779224.87032800005</v>
      </c>
      <c r="AB170" s="28">
        <v>2420767.6102399998</v>
      </c>
    </row>
    <row r="171" spans="1:28">
      <c r="A171" s="17">
        <v>170</v>
      </c>
      <c r="B171" s="17">
        <v>624191</v>
      </c>
      <c r="C171" s="17" t="s">
        <v>1044</v>
      </c>
      <c r="D171" s="17" t="s">
        <v>52</v>
      </c>
      <c r="E171" s="17" t="s">
        <v>1468</v>
      </c>
      <c r="F171" s="17" t="s">
        <v>1064</v>
      </c>
      <c r="G171" s="17" t="s">
        <v>1469</v>
      </c>
      <c r="H171" s="17" t="s">
        <v>104</v>
      </c>
      <c r="I171" s="17">
        <v>20230</v>
      </c>
      <c r="J171" s="17" t="s">
        <v>54</v>
      </c>
      <c r="K171" s="17" t="s">
        <v>55</v>
      </c>
      <c r="L171" s="17" t="s">
        <v>20</v>
      </c>
      <c r="M171" s="17" t="s">
        <v>1470</v>
      </c>
      <c r="N171" s="17" t="s">
        <v>20</v>
      </c>
      <c r="O171" s="17" t="s">
        <v>463</v>
      </c>
      <c r="P171" s="17" t="s">
        <v>20</v>
      </c>
      <c r="Q171" s="17" t="s">
        <v>454</v>
      </c>
      <c r="R171" s="17" t="s">
        <v>20</v>
      </c>
      <c r="S171" s="17" t="s">
        <v>456</v>
      </c>
      <c r="T171" s="17">
        <v>902</v>
      </c>
      <c r="U171" s="18">
        <v>4491983441</v>
      </c>
      <c r="V171" s="17" t="s">
        <v>1471</v>
      </c>
      <c r="X171" s="17" t="s">
        <v>67</v>
      </c>
      <c r="Y171" s="17" t="s">
        <v>144</v>
      </c>
      <c r="Z171" s="17" t="s">
        <v>380</v>
      </c>
      <c r="AA171" s="28">
        <v>778784.65229999996</v>
      </c>
      <c r="AB171" s="28">
        <v>2420719.2226200001</v>
      </c>
    </row>
    <row r="172" spans="1:28">
      <c r="A172" s="17">
        <v>171</v>
      </c>
      <c r="B172" s="17">
        <v>624191</v>
      </c>
      <c r="C172" s="17" t="s">
        <v>1044</v>
      </c>
      <c r="D172" s="17" t="s">
        <v>52</v>
      </c>
      <c r="E172" s="17" t="s">
        <v>1387</v>
      </c>
      <c r="F172" s="17" t="s">
        <v>1064</v>
      </c>
      <c r="G172" s="17" t="s">
        <v>1472</v>
      </c>
      <c r="H172" s="17" t="s">
        <v>104</v>
      </c>
      <c r="I172" s="17">
        <v>20234</v>
      </c>
      <c r="J172" s="17" t="s">
        <v>54</v>
      </c>
      <c r="K172" s="17" t="s">
        <v>78</v>
      </c>
      <c r="L172" s="17" t="s">
        <v>20</v>
      </c>
      <c r="M172" s="17" t="s">
        <v>379</v>
      </c>
      <c r="N172" s="17" t="s">
        <v>56</v>
      </c>
      <c r="O172" s="17" t="s">
        <v>410</v>
      </c>
      <c r="P172" s="17" t="s">
        <v>58</v>
      </c>
      <c r="Q172" s="17" t="s">
        <v>1473</v>
      </c>
      <c r="R172" s="17" t="s">
        <v>20</v>
      </c>
      <c r="S172" s="17" t="s">
        <v>456</v>
      </c>
      <c r="T172" s="17">
        <v>235</v>
      </c>
      <c r="U172" s="18">
        <v>4499157497</v>
      </c>
      <c r="V172" s="17" t="s">
        <v>1474</v>
      </c>
      <c r="X172" s="17" t="s">
        <v>64</v>
      </c>
      <c r="Y172" s="17" t="s">
        <v>144</v>
      </c>
      <c r="Z172" s="17" t="s">
        <v>380</v>
      </c>
      <c r="AA172" s="28">
        <v>779114.35298800003</v>
      </c>
      <c r="AB172" s="28">
        <v>2419922.1773899999</v>
      </c>
    </row>
    <row r="173" spans="1:28">
      <c r="A173" s="17">
        <v>172</v>
      </c>
      <c r="B173" s="17">
        <v>812310</v>
      </c>
      <c r="C173" s="17" t="s">
        <v>1044</v>
      </c>
      <c r="D173" s="17" t="s">
        <v>52</v>
      </c>
      <c r="E173" s="17" t="s">
        <v>1475</v>
      </c>
      <c r="F173" s="17" t="s">
        <v>1057</v>
      </c>
      <c r="G173" s="17" t="s">
        <v>1476</v>
      </c>
      <c r="H173" s="17" t="s">
        <v>104</v>
      </c>
      <c r="I173" s="17">
        <v>20230</v>
      </c>
      <c r="J173" s="17" t="s">
        <v>54</v>
      </c>
      <c r="K173" s="17" t="s">
        <v>63</v>
      </c>
      <c r="L173" s="17" t="s">
        <v>161</v>
      </c>
      <c r="M173" s="17" t="s">
        <v>396</v>
      </c>
      <c r="N173" s="17" t="s">
        <v>20</v>
      </c>
      <c r="O173" s="17" t="s">
        <v>389</v>
      </c>
      <c r="P173" s="17" t="s">
        <v>56</v>
      </c>
      <c r="Q173" s="17" t="s">
        <v>381</v>
      </c>
      <c r="R173" s="17" t="s">
        <v>56</v>
      </c>
      <c r="S173" s="17" t="s">
        <v>168</v>
      </c>
      <c r="T173" s="17">
        <v>1111</v>
      </c>
      <c r="U173" s="18">
        <v>4499133232</v>
      </c>
      <c r="V173" s="17" t="s">
        <v>1477</v>
      </c>
      <c r="X173" s="17" t="s">
        <v>67</v>
      </c>
      <c r="Y173" s="17" t="s">
        <v>144</v>
      </c>
      <c r="Z173" s="17" t="s">
        <v>380</v>
      </c>
      <c r="AA173" s="28">
        <v>779569.64036199998</v>
      </c>
      <c r="AB173" s="28">
        <v>2420658.66659</v>
      </c>
    </row>
    <row r="174" spans="1:28">
      <c r="A174" s="17">
        <v>173</v>
      </c>
      <c r="B174" s="17">
        <v>813110</v>
      </c>
      <c r="C174" s="17" t="s">
        <v>1044</v>
      </c>
      <c r="D174" s="17" t="s">
        <v>52</v>
      </c>
      <c r="E174" s="17" t="s">
        <v>1478</v>
      </c>
      <c r="F174" s="17" t="s">
        <v>1069</v>
      </c>
      <c r="G174" s="17" t="s">
        <v>1479</v>
      </c>
      <c r="H174" s="17" t="s">
        <v>104</v>
      </c>
      <c r="I174" s="17">
        <v>20235</v>
      </c>
      <c r="J174" s="17" t="s">
        <v>54</v>
      </c>
      <c r="K174" s="17" t="s">
        <v>55</v>
      </c>
      <c r="L174" s="17" t="s">
        <v>56</v>
      </c>
      <c r="M174" s="17" t="s">
        <v>421</v>
      </c>
      <c r="N174" s="17" t="s">
        <v>20</v>
      </c>
      <c r="O174" s="17" t="s">
        <v>441</v>
      </c>
      <c r="P174" s="17" t="s">
        <v>20</v>
      </c>
      <c r="Q174" s="17" t="s">
        <v>442</v>
      </c>
      <c r="R174" s="17" t="s">
        <v>20</v>
      </c>
      <c r="S174" s="17" t="s">
        <v>443</v>
      </c>
      <c r="T174" s="17">
        <v>1701</v>
      </c>
      <c r="U174" s="18">
        <v>4499173067</v>
      </c>
      <c r="V174" s="17" t="s">
        <v>1480</v>
      </c>
      <c r="W174" s="17" t="s">
        <v>1481</v>
      </c>
      <c r="X174" s="17" t="s">
        <v>64</v>
      </c>
      <c r="Y174" s="17" t="s">
        <v>144</v>
      </c>
      <c r="Z174" s="17" t="s">
        <v>380</v>
      </c>
      <c r="AA174" s="28">
        <v>778475.70582200005</v>
      </c>
      <c r="AB174" s="28">
        <v>2420037.3625599998</v>
      </c>
    </row>
    <row r="175" spans="1:28">
      <c r="A175" s="17">
        <v>174</v>
      </c>
      <c r="B175" s="17">
        <v>813110</v>
      </c>
      <c r="C175" s="17" t="s">
        <v>1044</v>
      </c>
      <c r="D175" s="17" t="s">
        <v>52</v>
      </c>
      <c r="E175" s="17" t="s">
        <v>1482</v>
      </c>
      <c r="F175" s="17" t="s">
        <v>1069</v>
      </c>
      <c r="G175" s="17" t="s">
        <v>1482</v>
      </c>
      <c r="H175" s="17" t="s">
        <v>104</v>
      </c>
      <c r="I175" s="17">
        <v>20235</v>
      </c>
      <c r="J175" s="17" t="s">
        <v>54</v>
      </c>
      <c r="K175" s="17" t="s">
        <v>55</v>
      </c>
      <c r="L175" s="17" t="s">
        <v>56</v>
      </c>
      <c r="M175" s="17" t="s">
        <v>431</v>
      </c>
      <c r="N175" s="17" t="s">
        <v>20</v>
      </c>
      <c r="O175" s="17" t="s">
        <v>441</v>
      </c>
      <c r="P175" s="17" t="s">
        <v>20</v>
      </c>
      <c r="Q175" s="17" t="s">
        <v>442</v>
      </c>
      <c r="R175" s="17" t="s">
        <v>20</v>
      </c>
      <c r="S175" s="17" t="s">
        <v>443</v>
      </c>
      <c r="T175" s="17">
        <v>1701</v>
      </c>
      <c r="U175" s="18">
        <v>4499133751</v>
      </c>
      <c r="V175" s="17" t="s">
        <v>1483</v>
      </c>
      <c r="X175" s="17" t="s">
        <v>67</v>
      </c>
      <c r="Y175" s="17" t="s">
        <v>144</v>
      </c>
      <c r="Z175" s="17" t="s">
        <v>380</v>
      </c>
      <c r="AA175" s="28">
        <v>778475.70582200005</v>
      </c>
      <c r="AB175" s="28">
        <v>2420037.3625599998</v>
      </c>
    </row>
    <row r="176" spans="1:28">
      <c r="A176" s="17">
        <v>175</v>
      </c>
      <c r="B176" s="17">
        <v>813110</v>
      </c>
      <c r="C176" s="17" t="s">
        <v>1044</v>
      </c>
      <c r="D176" s="17" t="s">
        <v>52</v>
      </c>
      <c r="E176" s="17" t="s">
        <v>1484</v>
      </c>
      <c r="F176" s="17" t="s">
        <v>1069</v>
      </c>
      <c r="G176" s="17" t="s">
        <v>1485</v>
      </c>
      <c r="H176" s="17" t="s">
        <v>104</v>
      </c>
      <c r="I176" s="17">
        <v>20210</v>
      </c>
      <c r="J176" s="17" t="s">
        <v>54</v>
      </c>
      <c r="K176" s="17" t="s">
        <v>55</v>
      </c>
      <c r="L176" s="17" t="s">
        <v>20</v>
      </c>
      <c r="M176" s="17" t="s">
        <v>403</v>
      </c>
      <c r="N176" s="17" t="s">
        <v>20</v>
      </c>
      <c r="O176" s="17" t="s">
        <v>401</v>
      </c>
      <c r="P176" s="17" t="s">
        <v>20</v>
      </c>
      <c r="Q176" s="17" t="s">
        <v>402</v>
      </c>
      <c r="R176" s="17" t="s">
        <v>20</v>
      </c>
      <c r="S176" s="17" t="s">
        <v>462</v>
      </c>
      <c r="T176" s="17">
        <v>510</v>
      </c>
      <c r="U176" s="18">
        <v>0</v>
      </c>
      <c r="X176" s="17" t="s">
        <v>60</v>
      </c>
      <c r="Y176" s="17" t="s">
        <v>144</v>
      </c>
      <c r="Z176" s="17" t="s">
        <v>380</v>
      </c>
      <c r="AA176" s="28">
        <v>777812.24971999996</v>
      </c>
      <c r="AB176" s="28">
        <v>2420749.7988300002</v>
      </c>
    </row>
    <row r="177" spans="1:28">
      <c r="A177" s="17">
        <v>176</v>
      </c>
      <c r="B177" s="17">
        <v>813110</v>
      </c>
      <c r="C177" s="17" t="s">
        <v>1044</v>
      </c>
      <c r="D177" s="17" t="s">
        <v>52</v>
      </c>
      <c r="E177" s="17" t="s">
        <v>1486</v>
      </c>
      <c r="F177" s="17" t="s">
        <v>1069</v>
      </c>
      <c r="G177" s="17" t="s">
        <v>1486</v>
      </c>
      <c r="H177" s="17" t="s">
        <v>104</v>
      </c>
      <c r="I177" s="17">
        <v>20239</v>
      </c>
      <c r="J177" s="17" t="s">
        <v>54</v>
      </c>
      <c r="K177" s="17" t="s">
        <v>55</v>
      </c>
      <c r="L177" s="17" t="s">
        <v>20</v>
      </c>
      <c r="M177" s="17" t="s">
        <v>1487</v>
      </c>
      <c r="N177" s="17" t="s">
        <v>20</v>
      </c>
      <c r="O177" s="17" t="s">
        <v>424</v>
      </c>
      <c r="P177" s="17" t="s">
        <v>20</v>
      </c>
      <c r="Q177" s="17" t="s">
        <v>452</v>
      </c>
      <c r="R177" s="17" t="s">
        <v>58</v>
      </c>
      <c r="S177" s="17" t="s">
        <v>1022</v>
      </c>
      <c r="T177" s="17">
        <v>117</v>
      </c>
      <c r="U177" s="18">
        <v>0</v>
      </c>
      <c r="V177" s="17" t="s">
        <v>1488</v>
      </c>
      <c r="W177" s="17" t="s">
        <v>1489</v>
      </c>
      <c r="X177" s="17" t="s">
        <v>67</v>
      </c>
      <c r="Y177" s="17" t="s">
        <v>144</v>
      </c>
      <c r="Z177" s="17" t="s">
        <v>380</v>
      </c>
      <c r="AA177" s="28">
        <v>778963.417564</v>
      </c>
      <c r="AB177" s="28">
        <v>2421123.4830999998</v>
      </c>
    </row>
    <row r="178" spans="1:28">
      <c r="A178" s="17">
        <v>177</v>
      </c>
      <c r="B178" s="17">
        <v>813110</v>
      </c>
      <c r="C178" s="17" t="s">
        <v>1044</v>
      </c>
      <c r="D178" s="17" t="s">
        <v>52</v>
      </c>
      <c r="E178" s="17" t="s">
        <v>1490</v>
      </c>
      <c r="F178" s="17" t="s">
        <v>1069</v>
      </c>
      <c r="H178" s="17" t="s">
        <v>104</v>
      </c>
      <c r="I178" s="17">
        <v>20235</v>
      </c>
      <c r="J178" s="17" t="s">
        <v>54</v>
      </c>
      <c r="K178" s="17" t="s">
        <v>55</v>
      </c>
      <c r="L178" s="17" t="s">
        <v>20</v>
      </c>
      <c r="M178" s="17" t="s">
        <v>1491</v>
      </c>
      <c r="N178" s="17" t="s">
        <v>20</v>
      </c>
      <c r="O178" s="17" t="s">
        <v>444</v>
      </c>
      <c r="P178" s="17" t="s">
        <v>20</v>
      </c>
      <c r="Q178" s="17" t="s">
        <v>277</v>
      </c>
      <c r="R178" s="17" t="s">
        <v>20</v>
      </c>
      <c r="S178" s="17" t="s">
        <v>277</v>
      </c>
      <c r="T178" s="17">
        <v>232</v>
      </c>
      <c r="U178" s="18">
        <v>4491960606</v>
      </c>
      <c r="V178" s="17" t="s">
        <v>1492</v>
      </c>
      <c r="X178" s="17" t="s">
        <v>67</v>
      </c>
      <c r="Y178" s="17" t="s">
        <v>144</v>
      </c>
      <c r="Z178" s="17" t="s">
        <v>380</v>
      </c>
      <c r="AA178" s="28">
        <v>778391.71119499998</v>
      </c>
      <c r="AB178" s="28">
        <v>2420235.0212300001</v>
      </c>
    </row>
    <row r="179" spans="1:28">
      <c r="A179" s="17">
        <v>178</v>
      </c>
      <c r="B179" s="17">
        <v>813110</v>
      </c>
      <c r="C179" s="17" t="s">
        <v>1044</v>
      </c>
      <c r="D179" s="17" t="s">
        <v>52</v>
      </c>
      <c r="E179" s="17" t="s">
        <v>1493</v>
      </c>
      <c r="F179" s="17" t="s">
        <v>1069</v>
      </c>
      <c r="G179" s="17" t="s">
        <v>1494</v>
      </c>
      <c r="H179" s="17" t="s">
        <v>104</v>
      </c>
      <c r="I179" s="17">
        <v>20235</v>
      </c>
      <c r="J179" s="17" t="s">
        <v>54</v>
      </c>
      <c r="K179" s="17" t="s">
        <v>55</v>
      </c>
      <c r="L179" s="17" t="s">
        <v>20</v>
      </c>
      <c r="M179" s="17" t="s">
        <v>418</v>
      </c>
      <c r="N179" s="17" t="s">
        <v>20</v>
      </c>
      <c r="O179" s="17" t="s">
        <v>444</v>
      </c>
      <c r="P179" s="17" t="s">
        <v>20</v>
      </c>
      <c r="Q179" s="17" t="s">
        <v>1495</v>
      </c>
      <c r="R179" s="17" t="s">
        <v>20</v>
      </c>
      <c r="S179" s="17" t="s">
        <v>422</v>
      </c>
      <c r="T179" s="17">
        <v>131</v>
      </c>
      <c r="U179" s="18">
        <v>4492391469</v>
      </c>
      <c r="V179" s="17" t="s">
        <v>1496</v>
      </c>
      <c r="W179" s="17" t="s">
        <v>1497</v>
      </c>
      <c r="X179" s="17" t="s">
        <v>64</v>
      </c>
      <c r="Y179" s="17" t="s">
        <v>144</v>
      </c>
      <c r="Z179" s="17" t="s">
        <v>380</v>
      </c>
      <c r="AA179" s="28">
        <v>778417.48668700003</v>
      </c>
      <c r="AB179" s="28">
        <v>2420180.2554299999</v>
      </c>
    </row>
    <row r="180" spans="1:28">
      <c r="A180" s="17">
        <v>179</v>
      </c>
      <c r="B180" s="17">
        <v>813110</v>
      </c>
      <c r="C180" s="17" t="s">
        <v>1044</v>
      </c>
      <c r="D180" s="17" t="s">
        <v>52</v>
      </c>
      <c r="E180" s="17" t="s">
        <v>1498</v>
      </c>
      <c r="F180" s="17" t="s">
        <v>1069</v>
      </c>
      <c r="G180" s="17" t="s">
        <v>1499</v>
      </c>
      <c r="H180" s="17" t="s">
        <v>104</v>
      </c>
      <c r="I180" s="17">
        <v>20234</v>
      </c>
      <c r="J180" s="17" t="s">
        <v>54</v>
      </c>
      <c r="K180" s="17" t="s">
        <v>63</v>
      </c>
      <c r="L180" s="17" t="s">
        <v>161</v>
      </c>
      <c r="M180" s="17" t="s">
        <v>396</v>
      </c>
      <c r="N180" s="17" t="s">
        <v>56</v>
      </c>
      <c r="O180" s="17" t="s">
        <v>381</v>
      </c>
      <c r="P180" s="17" t="s">
        <v>56</v>
      </c>
      <c r="Q180" s="17" t="s">
        <v>170</v>
      </c>
      <c r="R180" s="17" t="s">
        <v>56</v>
      </c>
      <c r="S180" s="17" t="s">
        <v>168</v>
      </c>
      <c r="T180" s="17">
        <v>1317</v>
      </c>
      <c r="U180" s="18">
        <v>4499172120</v>
      </c>
      <c r="V180" s="17" t="s">
        <v>1500</v>
      </c>
      <c r="X180" s="17" t="s">
        <v>67</v>
      </c>
      <c r="Y180" s="17" t="s">
        <v>144</v>
      </c>
      <c r="Z180" s="17" t="s">
        <v>380</v>
      </c>
      <c r="AA180" s="28">
        <v>779631.42066599999</v>
      </c>
      <c r="AB180" s="28">
        <v>2420313.8879399998</v>
      </c>
    </row>
    <row r="181" spans="1:28">
      <c r="A181" s="17">
        <v>180</v>
      </c>
      <c r="B181" s="17">
        <v>813120</v>
      </c>
      <c r="C181" s="17" t="s">
        <v>1044</v>
      </c>
      <c r="D181" s="17" t="s">
        <v>52</v>
      </c>
      <c r="E181" s="17" t="s">
        <v>1501</v>
      </c>
      <c r="F181" s="17" t="s">
        <v>1173</v>
      </c>
      <c r="G181" s="17" t="s">
        <v>1502</v>
      </c>
      <c r="H181" s="17" t="s">
        <v>69</v>
      </c>
      <c r="I181" s="17">
        <v>20230</v>
      </c>
      <c r="J181" s="17" t="s">
        <v>54</v>
      </c>
      <c r="K181" s="17" t="s">
        <v>63</v>
      </c>
      <c r="L181" s="17" t="s">
        <v>20</v>
      </c>
      <c r="M181" s="17" t="s">
        <v>426</v>
      </c>
      <c r="N181" s="17" t="s">
        <v>20</v>
      </c>
      <c r="O181" s="17" t="s">
        <v>408</v>
      </c>
      <c r="P181" s="17" t="s">
        <v>20</v>
      </c>
      <c r="Q181" s="17" t="s">
        <v>451</v>
      </c>
      <c r="R181" s="17" t="s">
        <v>20</v>
      </c>
      <c r="S181" s="17" t="s">
        <v>447</v>
      </c>
      <c r="T181" s="17">
        <v>621</v>
      </c>
      <c r="U181" s="18">
        <v>0</v>
      </c>
      <c r="X181" s="17" t="s">
        <v>67</v>
      </c>
      <c r="Y181" s="17" t="s">
        <v>144</v>
      </c>
      <c r="Z181" s="17" t="s">
        <v>380</v>
      </c>
      <c r="AA181" s="28">
        <v>779063.08203499997</v>
      </c>
      <c r="AB181" s="28">
        <v>2420376.2725300002</v>
      </c>
    </row>
    <row r="182" spans="1:28">
      <c r="A182" s="17">
        <v>181</v>
      </c>
      <c r="B182" s="17">
        <v>813120</v>
      </c>
      <c r="C182" s="17" t="s">
        <v>1044</v>
      </c>
      <c r="D182" s="17" t="s">
        <v>52</v>
      </c>
      <c r="E182" s="17" t="s">
        <v>1503</v>
      </c>
      <c r="F182" s="17" t="s">
        <v>1173</v>
      </c>
      <c r="G182" s="17" t="s">
        <v>1503</v>
      </c>
      <c r="H182" s="17" t="s">
        <v>104</v>
      </c>
      <c r="I182" s="17">
        <v>20235</v>
      </c>
      <c r="J182" s="17" t="s">
        <v>54</v>
      </c>
      <c r="K182" s="17" t="s">
        <v>63</v>
      </c>
      <c r="L182" s="17" t="s">
        <v>20</v>
      </c>
      <c r="M182" s="17" t="s">
        <v>415</v>
      </c>
      <c r="N182" s="17" t="s">
        <v>56</v>
      </c>
      <c r="O182" s="17" t="s">
        <v>170</v>
      </c>
      <c r="P182" s="17" t="s">
        <v>20</v>
      </c>
      <c r="Q182" s="17" t="s">
        <v>420</v>
      </c>
      <c r="R182" s="17" t="s">
        <v>20</v>
      </c>
      <c r="S182" s="17" t="s">
        <v>405</v>
      </c>
      <c r="T182" s="17">
        <v>446</v>
      </c>
      <c r="U182" s="18">
        <v>4499130742</v>
      </c>
      <c r="X182" s="17" t="s">
        <v>64</v>
      </c>
      <c r="Y182" s="17" t="s">
        <v>144</v>
      </c>
      <c r="Z182" s="17" t="s">
        <v>380</v>
      </c>
      <c r="AA182" s="28">
        <v>778610.02024400001</v>
      </c>
      <c r="AB182" s="28">
        <v>2419770.1272100001</v>
      </c>
    </row>
    <row r="183" spans="1:28">
      <c r="A183" s="17">
        <v>182</v>
      </c>
      <c r="B183" s="17">
        <v>813120</v>
      </c>
      <c r="C183" s="17" t="s">
        <v>1044</v>
      </c>
      <c r="D183" s="17" t="s">
        <v>52</v>
      </c>
      <c r="E183" s="17" t="s">
        <v>1504</v>
      </c>
      <c r="F183" s="17" t="s">
        <v>1173</v>
      </c>
      <c r="G183" s="17" t="s">
        <v>1505</v>
      </c>
      <c r="H183" s="17" t="s">
        <v>104</v>
      </c>
      <c r="I183" s="17">
        <v>20239</v>
      </c>
      <c r="J183" s="17" t="s">
        <v>54</v>
      </c>
      <c r="K183" s="17" t="s">
        <v>55</v>
      </c>
      <c r="L183" s="17" t="s">
        <v>20</v>
      </c>
      <c r="M183" s="17" t="s">
        <v>425</v>
      </c>
      <c r="O183" s="17" t="s">
        <v>59</v>
      </c>
      <c r="Q183" s="17" t="s">
        <v>59</v>
      </c>
      <c r="S183" s="17" t="s">
        <v>59</v>
      </c>
      <c r="T183" s="17">
        <v>405</v>
      </c>
      <c r="U183" s="18">
        <v>4491231703</v>
      </c>
      <c r="V183" s="17" t="s">
        <v>1506</v>
      </c>
      <c r="X183" s="17" t="s">
        <v>64</v>
      </c>
      <c r="Y183" s="17" t="s">
        <v>144</v>
      </c>
      <c r="Z183" s="17" t="s">
        <v>380</v>
      </c>
      <c r="AA183" s="28">
        <v>778806.25901599997</v>
      </c>
      <c r="AB183" s="28">
        <v>2421050.9045699998</v>
      </c>
    </row>
    <row r="184" spans="1:28">
      <c r="A184" s="17">
        <v>183</v>
      </c>
      <c r="B184" s="17">
        <v>813120</v>
      </c>
      <c r="C184" s="17" t="s">
        <v>1044</v>
      </c>
      <c r="D184" s="17" t="s">
        <v>52</v>
      </c>
      <c r="E184" s="17" t="s">
        <v>1507</v>
      </c>
      <c r="F184" s="17" t="s">
        <v>1173</v>
      </c>
      <c r="G184" s="17" t="s">
        <v>1507</v>
      </c>
      <c r="H184" s="17" t="s">
        <v>104</v>
      </c>
      <c r="I184" s="17">
        <v>20239</v>
      </c>
      <c r="J184" s="17" t="s">
        <v>54</v>
      </c>
      <c r="K184" s="17" t="s">
        <v>78</v>
      </c>
      <c r="L184" s="17" t="s">
        <v>20</v>
      </c>
      <c r="M184" s="17" t="s">
        <v>448</v>
      </c>
      <c r="N184" s="17" t="s">
        <v>20</v>
      </c>
      <c r="O184" s="17" t="s">
        <v>452</v>
      </c>
      <c r="P184" s="17" t="s">
        <v>56</v>
      </c>
      <c r="Q184" s="17" t="s">
        <v>421</v>
      </c>
      <c r="R184" s="17" t="s">
        <v>20</v>
      </c>
      <c r="S184" s="17" t="s">
        <v>458</v>
      </c>
      <c r="T184" s="17">
        <v>602</v>
      </c>
      <c r="U184" s="18">
        <v>4491163464</v>
      </c>
      <c r="X184" s="17" t="s">
        <v>60</v>
      </c>
      <c r="Y184" s="17" t="s">
        <v>144</v>
      </c>
      <c r="Z184" s="17" t="s">
        <v>380</v>
      </c>
      <c r="AA184" s="28">
        <v>778865.006865</v>
      </c>
      <c r="AB184" s="28">
        <v>2420903.7350699999</v>
      </c>
    </row>
    <row r="185" spans="1:28">
      <c r="A185" s="17">
        <v>184</v>
      </c>
      <c r="B185" s="17">
        <v>813120</v>
      </c>
      <c r="C185" s="17" t="s">
        <v>1044</v>
      </c>
      <c r="D185" s="17" t="s">
        <v>52</v>
      </c>
      <c r="E185" s="17" t="s">
        <v>1508</v>
      </c>
      <c r="F185" s="17" t="s">
        <v>1173</v>
      </c>
      <c r="G185" s="17" t="s">
        <v>1509</v>
      </c>
      <c r="H185" s="17" t="s">
        <v>104</v>
      </c>
      <c r="I185" s="17">
        <v>20239</v>
      </c>
      <c r="J185" s="17" t="s">
        <v>54</v>
      </c>
      <c r="K185" s="17" t="s">
        <v>55</v>
      </c>
      <c r="L185" s="17" t="s">
        <v>20</v>
      </c>
      <c r="M185" s="17" t="s">
        <v>434</v>
      </c>
      <c r="N185" s="17" t="s">
        <v>20</v>
      </c>
      <c r="O185" s="17" t="s">
        <v>429</v>
      </c>
      <c r="P185" s="17" t="s">
        <v>56</v>
      </c>
      <c r="Q185" s="17" t="s">
        <v>417</v>
      </c>
      <c r="R185" s="17" t="s">
        <v>20</v>
      </c>
      <c r="S185" s="17" t="s">
        <v>590</v>
      </c>
      <c r="T185" s="17">
        <v>704</v>
      </c>
      <c r="U185" s="18">
        <v>0</v>
      </c>
      <c r="V185" s="17" t="s">
        <v>1510</v>
      </c>
      <c r="X185" s="17" t="s">
        <v>67</v>
      </c>
      <c r="Y185" s="17" t="s">
        <v>144</v>
      </c>
      <c r="Z185" s="17" t="s">
        <v>380</v>
      </c>
      <c r="AA185" s="28">
        <v>778394.97971300001</v>
      </c>
      <c r="AB185" s="28">
        <v>2421057.8457300002</v>
      </c>
    </row>
    <row r="186" spans="1:28">
      <c r="A186" s="17">
        <v>185</v>
      </c>
      <c r="B186" s="17">
        <v>813230</v>
      </c>
      <c r="C186" s="17" t="s">
        <v>1044</v>
      </c>
      <c r="D186" s="17" t="s">
        <v>52</v>
      </c>
      <c r="E186" s="17" t="s">
        <v>1511</v>
      </c>
      <c r="F186" s="17" t="s">
        <v>1061</v>
      </c>
      <c r="G186" s="17" t="s">
        <v>1512</v>
      </c>
      <c r="H186" s="17" t="s">
        <v>104</v>
      </c>
      <c r="I186" s="17">
        <v>20234</v>
      </c>
      <c r="J186" s="17" t="s">
        <v>54</v>
      </c>
      <c r="K186" s="17" t="s">
        <v>55</v>
      </c>
      <c r="L186" s="17" t="s">
        <v>56</v>
      </c>
      <c r="M186" s="17" t="s">
        <v>168</v>
      </c>
      <c r="N186" s="17" t="s">
        <v>20</v>
      </c>
      <c r="O186" s="17" t="s">
        <v>398</v>
      </c>
      <c r="P186" s="17" t="s">
        <v>20</v>
      </c>
      <c r="Q186" s="17" t="s">
        <v>452</v>
      </c>
      <c r="R186" s="17" t="s">
        <v>20</v>
      </c>
      <c r="S186" s="17" t="s">
        <v>1513</v>
      </c>
      <c r="T186" s="17">
        <v>347</v>
      </c>
      <c r="U186" s="18">
        <v>0</v>
      </c>
      <c r="V186" s="17" t="s">
        <v>1514</v>
      </c>
      <c r="X186" s="17" t="s">
        <v>60</v>
      </c>
      <c r="Y186" s="17" t="s">
        <v>144</v>
      </c>
      <c r="Z186" s="17" t="s">
        <v>380</v>
      </c>
      <c r="AA186" s="28">
        <v>779492.12804400001</v>
      </c>
      <c r="AB186" s="28">
        <v>2420080.6700400002</v>
      </c>
    </row>
    <row r="187" spans="1:28">
      <c r="A187" s="17">
        <v>186</v>
      </c>
      <c r="B187" s="17">
        <v>813230</v>
      </c>
      <c r="C187" s="17" t="s">
        <v>1044</v>
      </c>
      <c r="D187" s="17" t="s">
        <v>52</v>
      </c>
      <c r="E187" s="17" t="s">
        <v>1515</v>
      </c>
      <c r="F187" s="17" t="s">
        <v>1061</v>
      </c>
      <c r="H187" s="17" t="s">
        <v>104</v>
      </c>
      <c r="I187" s="17">
        <v>20230</v>
      </c>
      <c r="J187" s="17" t="s">
        <v>54</v>
      </c>
      <c r="K187" s="17" t="s">
        <v>55</v>
      </c>
      <c r="L187" s="17" t="s">
        <v>20</v>
      </c>
      <c r="M187" s="17" t="s">
        <v>448</v>
      </c>
      <c r="N187" s="17" t="s">
        <v>20</v>
      </c>
      <c r="O187" s="17" t="s">
        <v>452</v>
      </c>
      <c r="P187" s="17" t="s">
        <v>20</v>
      </c>
      <c r="Q187" s="17" t="s">
        <v>424</v>
      </c>
      <c r="R187" s="17" t="s">
        <v>20</v>
      </c>
      <c r="S187" s="17" t="s">
        <v>458</v>
      </c>
      <c r="T187" s="17">
        <v>512</v>
      </c>
      <c r="U187" s="18">
        <v>4494611827</v>
      </c>
      <c r="V187" s="17" t="s">
        <v>1516</v>
      </c>
      <c r="X187" s="17" t="s">
        <v>64</v>
      </c>
      <c r="Y187" s="17" t="s">
        <v>144</v>
      </c>
      <c r="Z187" s="17" t="s">
        <v>380</v>
      </c>
      <c r="AA187" s="28">
        <v>778954.91629600001</v>
      </c>
      <c r="AB187" s="28">
        <v>2420887.6610699999</v>
      </c>
    </row>
    <row r="188" spans="1:28">
      <c r="A188" s="17">
        <v>187</v>
      </c>
      <c r="B188" s="17">
        <v>813230</v>
      </c>
      <c r="C188" s="17" t="s">
        <v>1044</v>
      </c>
      <c r="D188" s="17" t="s">
        <v>52</v>
      </c>
      <c r="E188" s="17" t="s">
        <v>1517</v>
      </c>
      <c r="F188" s="17" t="s">
        <v>1061</v>
      </c>
      <c r="G188" s="17" t="s">
        <v>1518</v>
      </c>
      <c r="H188" s="17" t="s">
        <v>104</v>
      </c>
      <c r="I188" s="17">
        <v>20230</v>
      </c>
      <c r="J188" s="17" t="s">
        <v>54</v>
      </c>
      <c r="K188" s="17" t="s">
        <v>78</v>
      </c>
      <c r="L188" s="17" t="s">
        <v>20</v>
      </c>
      <c r="M188" s="17" t="s">
        <v>463</v>
      </c>
      <c r="N188" s="17" t="s">
        <v>56</v>
      </c>
      <c r="O188" s="17" t="s">
        <v>460</v>
      </c>
      <c r="P188" s="17" t="s">
        <v>20</v>
      </c>
      <c r="Q188" s="17" t="s">
        <v>409</v>
      </c>
      <c r="R188" s="17" t="s">
        <v>20</v>
      </c>
      <c r="S188" s="17" t="s">
        <v>1519</v>
      </c>
      <c r="T188" s="17">
        <v>220</v>
      </c>
      <c r="U188" s="18">
        <v>4497691476</v>
      </c>
      <c r="W188" s="17" t="s">
        <v>1520</v>
      </c>
      <c r="X188" s="17" t="s">
        <v>64</v>
      </c>
      <c r="Y188" s="17" t="s">
        <v>144</v>
      </c>
      <c r="Z188" s="17" t="s">
        <v>380</v>
      </c>
      <c r="AA188" s="28">
        <v>779283.429275</v>
      </c>
      <c r="AB188" s="28">
        <v>2420680.1672399999</v>
      </c>
    </row>
    <row r="189" spans="1:28">
      <c r="A189" s="17">
        <v>188</v>
      </c>
      <c r="B189" s="17">
        <v>813230</v>
      </c>
      <c r="C189" s="17" t="s">
        <v>1044</v>
      </c>
      <c r="D189" s="17" t="s">
        <v>52</v>
      </c>
      <c r="E189" s="17" t="s">
        <v>1521</v>
      </c>
      <c r="F189" s="17" t="s">
        <v>1061</v>
      </c>
      <c r="G189" s="17" t="s">
        <v>1522</v>
      </c>
      <c r="H189" s="17" t="s">
        <v>104</v>
      </c>
      <c r="I189" s="17">
        <v>20230</v>
      </c>
      <c r="J189" s="17" t="s">
        <v>54</v>
      </c>
      <c r="K189" s="17" t="s">
        <v>55</v>
      </c>
      <c r="L189" s="17" t="s">
        <v>56</v>
      </c>
      <c r="M189" s="17" t="s">
        <v>381</v>
      </c>
      <c r="N189" s="17" t="s">
        <v>56</v>
      </c>
      <c r="O189" s="17" t="s">
        <v>421</v>
      </c>
      <c r="P189" s="17" t="s">
        <v>20</v>
      </c>
      <c r="Q189" s="17" t="s">
        <v>452</v>
      </c>
      <c r="R189" s="17" t="s">
        <v>20</v>
      </c>
      <c r="S189" s="17" t="s">
        <v>445</v>
      </c>
      <c r="T189" s="17">
        <v>706</v>
      </c>
      <c r="U189" s="18">
        <v>4499136800</v>
      </c>
      <c r="V189" s="17" t="s">
        <v>1523</v>
      </c>
      <c r="X189" s="17" t="s">
        <v>116</v>
      </c>
      <c r="Y189" s="17" t="s">
        <v>144</v>
      </c>
      <c r="Z189" s="17" t="s">
        <v>380</v>
      </c>
      <c r="AA189" s="28">
        <v>778762.59816000005</v>
      </c>
      <c r="AB189" s="28">
        <v>2420516.5585400001</v>
      </c>
    </row>
    <row r="190" spans="1:28">
      <c r="A190" s="17">
        <v>189</v>
      </c>
      <c r="B190" s="17">
        <v>813230</v>
      </c>
      <c r="C190" s="17" t="s">
        <v>1044</v>
      </c>
      <c r="D190" s="17" t="s">
        <v>52</v>
      </c>
      <c r="E190" s="17" t="s">
        <v>1524</v>
      </c>
      <c r="F190" s="17" t="s">
        <v>1061</v>
      </c>
      <c r="G190" s="17" t="s">
        <v>1525</v>
      </c>
      <c r="H190" s="17" t="s">
        <v>104</v>
      </c>
      <c r="I190" s="17">
        <v>20230</v>
      </c>
      <c r="J190" s="17" t="s">
        <v>54</v>
      </c>
      <c r="K190" s="17" t="s">
        <v>63</v>
      </c>
      <c r="L190" s="17" t="s">
        <v>20</v>
      </c>
      <c r="M190" s="17" t="s">
        <v>448</v>
      </c>
      <c r="N190" s="17" t="s">
        <v>20</v>
      </c>
      <c r="O190" s="17" t="s">
        <v>426</v>
      </c>
      <c r="P190" s="17" t="s">
        <v>20</v>
      </c>
      <c r="Q190" s="17" t="s">
        <v>424</v>
      </c>
      <c r="R190" s="17" t="s">
        <v>20</v>
      </c>
      <c r="S190" s="17" t="s">
        <v>458</v>
      </c>
      <c r="T190" s="17">
        <v>406</v>
      </c>
      <c r="U190" s="18">
        <v>4494668772</v>
      </c>
      <c r="V190" s="17" t="s">
        <v>1526</v>
      </c>
      <c r="W190" s="17" t="s">
        <v>1527</v>
      </c>
      <c r="X190" s="17" t="s">
        <v>60</v>
      </c>
      <c r="Y190" s="17" t="s">
        <v>144</v>
      </c>
      <c r="Z190" s="17" t="s">
        <v>380</v>
      </c>
      <c r="AA190" s="28">
        <v>779068.43400899996</v>
      </c>
      <c r="AB190" s="28">
        <v>2420868.46202</v>
      </c>
    </row>
    <row r="191" spans="1:28">
      <c r="A191" s="17">
        <v>190</v>
      </c>
      <c r="B191" s="17">
        <v>813230</v>
      </c>
      <c r="C191" s="17" t="s">
        <v>1044</v>
      </c>
      <c r="D191" s="17" t="s">
        <v>52</v>
      </c>
      <c r="E191" s="17" t="s">
        <v>1528</v>
      </c>
      <c r="F191" s="17" t="s">
        <v>1061</v>
      </c>
      <c r="H191" s="17" t="s">
        <v>104</v>
      </c>
      <c r="I191" s="17">
        <v>20230</v>
      </c>
      <c r="J191" s="17" t="s">
        <v>54</v>
      </c>
      <c r="K191" s="17" t="s">
        <v>55</v>
      </c>
      <c r="L191" s="17" t="s">
        <v>20</v>
      </c>
      <c r="M191" s="17" t="s">
        <v>453</v>
      </c>
      <c r="N191" s="17" t="s">
        <v>20</v>
      </c>
      <c r="O191" s="17" t="s">
        <v>426</v>
      </c>
      <c r="P191" s="17" t="s">
        <v>20</v>
      </c>
      <c r="Q191" s="17" t="s">
        <v>424</v>
      </c>
      <c r="R191" s="17" t="s">
        <v>20</v>
      </c>
      <c r="S191" s="17" t="s">
        <v>1519</v>
      </c>
      <c r="T191" s="17">
        <v>401</v>
      </c>
      <c r="U191" s="18">
        <v>4494953584</v>
      </c>
      <c r="X191" s="17" t="s">
        <v>60</v>
      </c>
      <c r="Y191" s="17" t="s">
        <v>144</v>
      </c>
      <c r="Z191" s="17" t="s">
        <v>380</v>
      </c>
      <c r="AA191" s="28">
        <v>779071.10959200002</v>
      </c>
      <c r="AB191" s="28">
        <v>2420574.9302099999</v>
      </c>
    </row>
    <row r="192" spans="1:28">
      <c r="A192" s="17">
        <v>191</v>
      </c>
      <c r="B192" s="17">
        <v>813230</v>
      </c>
      <c r="C192" s="17" t="s">
        <v>1044</v>
      </c>
      <c r="D192" s="17" t="s">
        <v>52</v>
      </c>
      <c r="E192" s="17" t="s">
        <v>1529</v>
      </c>
      <c r="F192" s="17" t="s">
        <v>1061</v>
      </c>
      <c r="G192" s="17" t="s">
        <v>1530</v>
      </c>
      <c r="H192" s="17" t="s">
        <v>104</v>
      </c>
      <c r="I192" s="17">
        <v>20285</v>
      </c>
      <c r="J192" s="17" t="s">
        <v>54</v>
      </c>
      <c r="K192" s="17" t="s">
        <v>55</v>
      </c>
      <c r="L192" s="17" t="s">
        <v>56</v>
      </c>
      <c r="M192" s="17" t="s">
        <v>170</v>
      </c>
      <c r="N192" s="17" t="s">
        <v>20</v>
      </c>
      <c r="O192" s="17" t="s">
        <v>172</v>
      </c>
      <c r="P192" s="17" t="s">
        <v>20</v>
      </c>
      <c r="Q192" s="17" t="s">
        <v>171</v>
      </c>
      <c r="R192" s="17" t="s">
        <v>20</v>
      </c>
      <c r="S192" s="17" t="s">
        <v>1531</v>
      </c>
      <c r="T192" s="17">
        <v>228</v>
      </c>
      <c r="U192" s="18">
        <v>4494411117</v>
      </c>
      <c r="V192" s="17" t="s">
        <v>1532</v>
      </c>
      <c r="X192" s="17" t="s">
        <v>60</v>
      </c>
      <c r="Y192" s="17" t="s">
        <v>144</v>
      </c>
      <c r="Z192" s="17" t="s">
        <v>380</v>
      </c>
      <c r="AA192" s="28">
        <v>777997.35600799997</v>
      </c>
      <c r="AB192" s="28">
        <v>2419616.7296699998</v>
      </c>
    </row>
    <row r="193" spans="1:28">
      <c r="A193" s="17">
        <v>192</v>
      </c>
      <c r="B193" s="17">
        <v>813230</v>
      </c>
      <c r="C193" s="17" t="s">
        <v>1044</v>
      </c>
      <c r="D193" s="17" t="s">
        <v>52</v>
      </c>
      <c r="E193" s="17" t="s">
        <v>1533</v>
      </c>
      <c r="F193" s="17" t="s">
        <v>1061</v>
      </c>
      <c r="G193" s="17" t="s">
        <v>1534</v>
      </c>
      <c r="H193" s="17" t="s">
        <v>104</v>
      </c>
      <c r="I193" s="17">
        <v>20235</v>
      </c>
      <c r="J193" s="17" t="s">
        <v>54</v>
      </c>
      <c r="K193" s="17" t="s">
        <v>78</v>
      </c>
      <c r="L193" s="17" t="s">
        <v>142</v>
      </c>
      <c r="M193" s="17" t="s">
        <v>143</v>
      </c>
      <c r="N193" s="17" t="s">
        <v>20</v>
      </c>
      <c r="O193" s="17" t="s">
        <v>379</v>
      </c>
      <c r="P193" s="17" t="s">
        <v>20</v>
      </c>
      <c r="Q193" s="17" t="s">
        <v>1019</v>
      </c>
      <c r="R193" s="17" t="s">
        <v>56</v>
      </c>
      <c r="S193" s="17" t="s">
        <v>168</v>
      </c>
      <c r="T193" s="17">
        <v>1202</v>
      </c>
      <c r="U193" s="18">
        <v>0</v>
      </c>
      <c r="X193" s="17" t="s">
        <v>60</v>
      </c>
      <c r="Y193" s="17" t="s">
        <v>144</v>
      </c>
      <c r="Z193" s="17" t="s">
        <v>380</v>
      </c>
      <c r="AA193" s="28">
        <v>779263.24974799994</v>
      </c>
      <c r="AB193" s="28">
        <v>2419899.3430699999</v>
      </c>
    </row>
    <row r="194" spans="1:28">
      <c r="A194" s="17">
        <v>193</v>
      </c>
      <c r="B194" s="17">
        <v>623311</v>
      </c>
      <c r="C194" s="17" t="s">
        <v>1044</v>
      </c>
      <c r="D194" s="17" t="s">
        <v>52</v>
      </c>
      <c r="E194" s="17" t="s">
        <v>1535</v>
      </c>
      <c r="F194" s="17" t="s">
        <v>1345</v>
      </c>
      <c r="H194" s="17" t="s">
        <v>104</v>
      </c>
      <c r="I194" s="17">
        <v>20276</v>
      </c>
      <c r="J194" s="17" t="s">
        <v>54</v>
      </c>
      <c r="K194" s="17" t="s">
        <v>78</v>
      </c>
      <c r="L194" s="17" t="s">
        <v>56</v>
      </c>
      <c r="M194" s="17" t="s">
        <v>468</v>
      </c>
      <c r="N194" s="17" t="s">
        <v>56</v>
      </c>
      <c r="O194" s="17" t="s">
        <v>467</v>
      </c>
      <c r="P194" s="17" t="s">
        <v>20</v>
      </c>
      <c r="Q194" s="17" t="s">
        <v>469</v>
      </c>
      <c r="R194" s="17" t="s">
        <v>20</v>
      </c>
      <c r="S194" s="17" t="s">
        <v>469</v>
      </c>
      <c r="T194" s="17">
        <v>128</v>
      </c>
      <c r="U194" s="18">
        <v>0</v>
      </c>
      <c r="X194" s="17" t="s">
        <v>60</v>
      </c>
      <c r="Y194" s="17" t="s">
        <v>219</v>
      </c>
      <c r="Z194" s="17" t="s">
        <v>380</v>
      </c>
      <c r="AA194" s="28">
        <v>780674.39250299998</v>
      </c>
      <c r="AB194" s="28">
        <v>2419233.2692499999</v>
      </c>
    </row>
    <row r="195" spans="1:28">
      <c r="A195" s="17">
        <v>194</v>
      </c>
      <c r="B195" s="17">
        <v>624191</v>
      </c>
      <c r="C195" s="17" t="s">
        <v>1044</v>
      </c>
      <c r="D195" s="17" t="s">
        <v>52</v>
      </c>
      <c r="E195" s="17" t="s">
        <v>1536</v>
      </c>
      <c r="F195" s="17" t="s">
        <v>1064</v>
      </c>
      <c r="G195" s="17" t="s">
        <v>1089</v>
      </c>
      <c r="H195" s="17" t="s">
        <v>104</v>
      </c>
      <c r="I195" s="17">
        <v>20277</v>
      </c>
      <c r="J195" s="17" t="s">
        <v>54</v>
      </c>
      <c r="K195" s="17" t="s">
        <v>55</v>
      </c>
      <c r="L195" s="17" t="s">
        <v>20</v>
      </c>
      <c r="M195" s="17" t="s">
        <v>465</v>
      </c>
      <c r="N195" s="17" t="s">
        <v>20</v>
      </c>
      <c r="O195" s="17" t="s">
        <v>757</v>
      </c>
      <c r="P195" s="17" t="s">
        <v>20</v>
      </c>
      <c r="Q195" s="17" t="s">
        <v>464</v>
      </c>
      <c r="R195" s="17" t="s">
        <v>20</v>
      </c>
      <c r="S195" s="17" t="s">
        <v>466</v>
      </c>
      <c r="T195" s="17">
        <v>145</v>
      </c>
      <c r="U195" s="18">
        <v>0</v>
      </c>
      <c r="X195" s="17" t="s">
        <v>60</v>
      </c>
      <c r="Y195" s="17" t="s">
        <v>219</v>
      </c>
      <c r="Z195" s="17" t="s">
        <v>380</v>
      </c>
      <c r="AA195" s="28">
        <v>781123.31808800006</v>
      </c>
      <c r="AB195" s="28">
        <v>2419081.1071100002</v>
      </c>
    </row>
    <row r="196" spans="1:28">
      <c r="A196" s="17">
        <v>195</v>
      </c>
      <c r="B196" s="17">
        <v>813110</v>
      </c>
      <c r="C196" s="17" t="s">
        <v>1044</v>
      </c>
      <c r="D196" s="17" t="s">
        <v>52</v>
      </c>
      <c r="E196" s="17" t="s">
        <v>1537</v>
      </c>
      <c r="F196" s="17" t="s">
        <v>1069</v>
      </c>
      <c r="G196" s="17" t="s">
        <v>1538</v>
      </c>
      <c r="H196" s="17" t="s">
        <v>104</v>
      </c>
      <c r="I196" s="17">
        <v>20277</v>
      </c>
      <c r="J196" s="17" t="s">
        <v>54</v>
      </c>
      <c r="K196" s="17" t="s">
        <v>63</v>
      </c>
      <c r="L196" s="17" t="s">
        <v>20</v>
      </c>
      <c r="M196" s="17" t="s">
        <v>466</v>
      </c>
      <c r="N196" s="17" t="s">
        <v>56</v>
      </c>
      <c r="O196" s="17" t="s">
        <v>747</v>
      </c>
      <c r="P196" s="17" t="s">
        <v>20</v>
      </c>
      <c r="Q196" s="17" t="s">
        <v>464</v>
      </c>
      <c r="R196" s="17" t="s">
        <v>20</v>
      </c>
      <c r="S196" s="17" t="s">
        <v>1539</v>
      </c>
      <c r="T196" s="17">
        <v>139</v>
      </c>
      <c r="U196" s="18">
        <v>4499780116</v>
      </c>
      <c r="V196" s="17" t="s">
        <v>1540</v>
      </c>
      <c r="X196" s="17" t="s">
        <v>67</v>
      </c>
      <c r="Y196" s="17" t="s">
        <v>219</v>
      </c>
      <c r="Z196" s="17" t="s">
        <v>380</v>
      </c>
      <c r="AA196" s="28">
        <v>781303.27121599996</v>
      </c>
      <c r="AB196" s="28">
        <v>2419196.1971300002</v>
      </c>
    </row>
    <row r="197" spans="1:28">
      <c r="A197" s="17">
        <v>196</v>
      </c>
      <c r="B197" s="17">
        <v>813230</v>
      </c>
      <c r="C197" s="17" t="s">
        <v>1044</v>
      </c>
      <c r="D197" s="17" t="s">
        <v>52</v>
      </c>
      <c r="E197" s="17" t="s">
        <v>1541</v>
      </c>
      <c r="F197" s="17" t="s">
        <v>1061</v>
      </c>
      <c r="G197" s="17" t="s">
        <v>1542</v>
      </c>
      <c r="H197" s="17" t="s">
        <v>1543</v>
      </c>
      <c r="I197" s="17">
        <v>20270</v>
      </c>
      <c r="J197" s="17" t="s">
        <v>54</v>
      </c>
      <c r="K197" s="17" t="s">
        <v>55</v>
      </c>
      <c r="L197" s="17" t="s">
        <v>56</v>
      </c>
      <c r="M197" s="17" t="s">
        <v>747</v>
      </c>
      <c r="N197" s="17" t="s">
        <v>56</v>
      </c>
      <c r="O197" s="17" t="s">
        <v>467</v>
      </c>
      <c r="P197" s="17" t="s">
        <v>20</v>
      </c>
      <c r="Q197" s="17" t="s">
        <v>1544</v>
      </c>
      <c r="R197" s="17" t="s">
        <v>20</v>
      </c>
      <c r="S197" s="17" t="s">
        <v>464</v>
      </c>
      <c r="T197" s="17">
        <v>208</v>
      </c>
      <c r="U197" s="18">
        <v>4492062276</v>
      </c>
      <c r="V197" s="17" t="s">
        <v>1545</v>
      </c>
      <c r="X197" s="17" t="s">
        <v>64</v>
      </c>
      <c r="Y197" s="17" t="s">
        <v>219</v>
      </c>
      <c r="Z197" s="17" t="s">
        <v>380</v>
      </c>
      <c r="AA197" s="28">
        <v>780939.16722099995</v>
      </c>
      <c r="AB197" s="28">
        <v>2419352.5301799998</v>
      </c>
    </row>
    <row r="198" spans="1:28">
      <c r="A198" s="17">
        <v>197</v>
      </c>
      <c r="B198" s="17">
        <v>624112</v>
      </c>
      <c r="C198" s="17" t="s">
        <v>1044</v>
      </c>
      <c r="D198" s="17" t="s">
        <v>1008</v>
      </c>
      <c r="E198" s="17" t="s">
        <v>1546</v>
      </c>
      <c r="F198" s="17" t="s">
        <v>1149</v>
      </c>
      <c r="G198" s="17" t="s">
        <v>1009</v>
      </c>
      <c r="H198" s="17" t="s">
        <v>104</v>
      </c>
      <c r="I198" s="17">
        <v>20210</v>
      </c>
      <c r="J198" s="17" t="s">
        <v>54</v>
      </c>
      <c r="K198" s="17" t="s">
        <v>78</v>
      </c>
      <c r="L198" s="17" t="s">
        <v>20</v>
      </c>
      <c r="M198" s="17" t="s">
        <v>470</v>
      </c>
      <c r="N198" s="17" t="s">
        <v>156</v>
      </c>
      <c r="O198" s="17" t="s">
        <v>77</v>
      </c>
      <c r="P198" s="17" t="s">
        <v>20</v>
      </c>
      <c r="Q198" s="17" t="s">
        <v>1547</v>
      </c>
      <c r="R198" s="17" t="s">
        <v>156</v>
      </c>
      <c r="S198" s="17" t="s">
        <v>450</v>
      </c>
      <c r="T198" s="17">
        <v>402</v>
      </c>
      <c r="U198" s="18">
        <v>0</v>
      </c>
      <c r="X198" s="17" t="s">
        <v>67</v>
      </c>
      <c r="Y198" s="17" t="s">
        <v>221</v>
      </c>
      <c r="Z198" s="17" t="s">
        <v>380</v>
      </c>
      <c r="AA198" s="28">
        <v>776940.89081200003</v>
      </c>
      <c r="AB198" s="28">
        <v>2420601.2069700002</v>
      </c>
    </row>
    <row r="199" spans="1:28">
      <c r="A199" s="17">
        <v>198</v>
      </c>
      <c r="B199" s="17">
        <v>623311</v>
      </c>
      <c r="C199" s="17" t="s">
        <v>1044</v>
      </c>
      <c r="D199" s="17" t="s">
        <v>52</v>
      </c>
      <c r="E199" s="17" t="s">
        <v>1548</v>
      </c>
      <c r="F199" s="17" t="s">
        <v>1345</v>
      </c>
      <c r="G199" s="17" t="s">
        <v>1549</v>
      </c>
      <c r="H199" s="17" t="s">
        <v>53</v>
      </c>
      <c r="I199" s="17">
        <v>20240</v>
      </c>
      <c r="J199" s="17" t="s">
        <v>54</v>
      </c>
      <c r="K199" s="17" t="s">
        <v>78</v>
      </c>
      <c r="L199" s="17" t="s">
        <v>56</v>
      </c>
      <c r="M199" s="17" t="s">
        <v>500</v>
      </c>
      <c r="N199" s="17" t="s">
        <v>20</v>
      </c>
      <c r="O199" s="17" t="s">
        <v>82</v>
      </c>
      <c r="P199" s="17" t="s">
        <v>20</v>
      </c>
      <c r="Q199" s="17" t="s">
        <v>208</v>
      </c>
      <c r="R199" s="17" t="s">
        <v>20</v>
      </c>
      <c r="S199" s="17" t="s">
        <v>557</v>
      </c>
      <c r="T199" s="17">
        <v>1613</v>
      </c>
      <c r="U199" s="18">
        <v>0</v>
      </c>
      <c r="V199" s="17" t="s">
        <v>1550</v>
      </c>
      <c r="X199" s="17" t="s">
        <v>67</v>
      </c>
      <c r="Y199" s="17" t="s">
        <v>230</v>
      </c>
      <c r="Z199" s="17" t="s">
        <v>472</v>
      </c>
      <c r="AA199" s="28">
        <v>780092.38521500002</v>
      </c>
      <c r="AB199" s="28">
        <v>2421245.4184699999</v>
      </c>
    </row>
    <row r="200" spans="1:28">
      <c r="A200" s="17">
        <v>199</v>
      </c>
      <c r="B200" s="17">
        <v>623311</v>
      </c>
      <c r="C200" s="17" t="s">
        <v>1044</v>
      </c>
      <c r="D200" s="17" t="s">
        <v>52</v>
      </c>
      <c r="E200" s="17" t="s">
        <v>1551</v>
      </c>
      <c r="F200" s="17" t="s">
        <v>1345</v>
      </c>
      <c r="G200" s="17" t="s">
        <v>1551</v>
      </c>
      <c r="H200" s="17" t="s">
        <v>69</v>
      </c>
      <c r="I200" s="17">
        <v>20240</v>
      </c>
      <c r="J200" s="17" t="s">
        <v>54</v>
      </c>
      <c r="K200" s="17" t="s">
        <v>78</v>
      </c>
      <c r="L200" s="17" t="s">
        <v>20</v>
      </c>
      <c r="M200" s="17" t="s">
        <v>501</v>
      </c>
      <c r="N200" s="17" t="s">
        <v>20</v>
      </c>
      <c r="O200" s="17" t="s">
        <v>208</v>
      </c>
      <c r="P200" s="17" t="s">
        <v>20</v>
      </c>
      <c r="Q200" s="17" t="s">
        <v>527</v>
      </c>
      <c r="R200" s="17" t="s">
        <v>20</v>
      </c>
      <c r="S200" s="17" t="s">
        <v>199</v>
      </c>
      <c r="T200" s="17">
        <v>207</v>
      </c>
      <c r="U200" s="18">
        <v>4499179374</v>
      </c>
      <c r="X200" s="17" t="s">
        <v>67</v>
      </c>
      <c r="Y200" s="17" t="s">
        <v>230</v>
      </c>
      <c r="Z200" s="17" t="s">
        <v>472</v>
      </c>
      <c r="AA200" s="28">
        <v>780296.98610900005</v>
      </c>
      <c r="AB200" s="28">
        <v>2421699.2832300002</v>
      </c>
    </row>
    <row r="201" spans="1:28">
      <c r="A201" s="17">
        <v>200</v>
      </c>
      <c r="B201" s="17">
        <v>623311</v>
      </c>
      <c r="C201" s="17" t="s">
        <v>1044</v>
      </c>
      <c r="D201" s="17" t="s">
        <v>52</v>
      </c>
      <c r="E201" s="17" t="s">
        <v>1552</v>
      </c>
      <c r="F201" s="17" t="s">
        <v>1345</v>
      </c>
      <c r="G201" s="17" t="s">
        <v>1553</v>
      </c>
      <c r="H201" s="17" t="s">
        <v>69</v>
      </c>
      <c r="I201" s="17">
        <v>20000</v>
      </c>
      <c r="J201" s="17" t="s">
        <v>54</v>
      </c>
      <c r="K201" s="17" t="s">
        <v>55</v>
      </c>
      <c r="L201" s="17" t="s">
        <v>20</v>
      </c>
      <c r="M201" s="17" t="s">
        <v>505</v>
      </c>
      <c r="N201" s="17" t="s">
        <v>20</v>
      </c>
      <c r="O201" s="17" t="s">
        <v>242</v>
      </c>
      <c r="P201" s="17" t="s">
        <v>20</v>
      </c>
      <c r="Q201" s="17" t="s">
        <v>527</v>
      </c>
      <c r="R201" s="17" t="s">
        <v>56</v>
      </c>
      <c r="S201" s="17" t="s">
        <v>71</v>
      </c>
      <c r="T201" s="17">
        <v>406</v>
      </c>
      <c r="U201" s="18">
        <v>4491289724</v>
      </c>
      <c r="V201" s="17" t="s">
        <v>1554</v>
      </c>
      <c r="X201" s="17" t="s">
        <v>60</v>
      </c>
      <c r="Y201" s="17" t="s">
        <v>230</v>
      </c>
      <c r="Z201" s="17" t="s">
        <v>472</v>
      </c>
      <c r="AA201" s="28">
        <v>780067.88622900005</v>
      </c>
      <c r="AB201" s="28">
        <v>2422223.6494700001</v>
      </c>
    </row>
    <row r="202" spans="1:28">
      <c r="A202" s="17">
        <v>201</v>
      </c>
      <c r="B202" s="17">
        <v>623311</v>
      </c>
      <c r="C202" s="17" t="s">
        <v>1044</v>
      </c>
      <c r="D202" s="17" t="s">
        <v>52</v>
      </c>
      <c r="E202" s="17" t="s">
        <v>1555</v>
      </c>
      <c r="F202" s="17" t="s">
        <v>1345</v>
      </c>
      <c r="G202" s="17" t="s">
        <v>1556</v>
      </c>
      <c r="H202" s="17" t="s">
        <v>69</v>
      </c>
      <c r="I202" s="17">
        <v>20000</v>
      </c>
      <c r="J202" s="17" t="s">
        <v>54</v>
      </c>
      <c r="K202" s="17" t="s">
        <v>55</v>
      </c>
      <c r="L202" s="17" t="s">
        <v>20</v>
      </c>
      <c r="M202" s="17" t="s">
        <v>310</v>
      </c>
      <c r="N202" s="17" t="s">
        <v>20</v>
      </c>
      <c r="O202" s="17" t="s">
        <v>504</v>
      </c>
      <c r="P202" s="17" t="s">
        <v>20</v>
      </c>
      <c r="Q202" s="17" t="s">
        <v>127</v>
      </c>
      <c r="R202" s="17" t="s">
        <v>20</v>
      </c>
      <c r="S202" s="17" t="s">
        <v>502</v>
      </c>
      <c r="T202" s="17">
        <v>151</v>
      </c>
      <c r="U202" s="18">
        <v>4499153750</v>
      </c>
      <c r="X202" s="17" t="s">
        <v>60</v>
      </c>
      <c r="Y202" s="17" t="s">
        <v>230</v>
      </c>
      <c r="Z202" s="17" t="s">
        <v>472</v>
      </c>
      <c r="AA202" s="28">
        <v>779124.95162599999</v>
      </c>
      <c r="AB202" s="28">
        <v>2422806.6439999999</v>
      </c>
    </row>
    <row r="203" spans="1:28">
      <c r="A203" s="17">
        <v>202</v>
      </c>
      <c r="B203" s="17">
        <v>623991</v>
      </c>
      <c r="C203" s="17" t="s">
        <v>1044</v>
      </c>
      <c r="D203" s="17" t="s">
        <v>52</v>
      </c>
      <c r="E203" s="17" t="s">
        <v>1557</v>
      </c>
      <c r="F203" s="17" t="s">
        <v>1350</v>
      </c>
      <c r="G203" s="17" t="s">
        <v>1558</v>
      </c>
      <c r="H203" s="17" t="s">
        <v>53</v>
      </c>
      <c r="I203" s="17">
        <v>20240</v>
      </c>
      <c r="J203" s="17" t="s">
        <v>54</v>
      </c>
      <c r="K203" s="17" t="s">
        <v>55</v>
      </c>
      <c r="L203" s="17" t="s">
        <v>20</v>
      </c>
      <c r="M203" s="17" t="s">
        <v>514</v>
      </c>
      <c r="N203" s="17" t="s">
        <v>20</v>
      </c>
      <c r="O203" s="17" t="s">
        <v>208</v>
      </c>
      <c r="P203" s="17" t="s">
        <v>58</v>
      </c>
      <c r="Q203" s="17" t="s">
        <v>554</v>
      </c>
      <c r="R203" s="17" t="s">
        <v>20</v>
      </c>
      <c r="S203" s="17" t="s">
        <v>478</v>
      </c>
      <c r="T203" s="17">
        <v>134</v>
      </c>
      <c r="U203" s="18">
        <v>4491645533</v>
      </c>
      <c r="V203" s="17" t="s">
        <v>1559</v>
      </c>
      <c r="X203" s="17" t="s">
        <v>64</v>
      </c>
      <c r="Y203" s="17" t="s">
        <v>230</v>
      </c>
      <c r="Z203" s="17" t="s">
        <v>472</v>
      </c>
      <c r="AA203" s="28">
        <v>780073.86827500002</v>
      </c>
      <c r="AB203" s="28">
        <v>2421677.6631100001</v>
      </c>
    </row>
    <row r="204" spans="1:28">
      <c r="A204" s="17">
        <v>203</v>
      </c>
      <c r="B204" s="17">
        <v>623991</v>
      </c>
      <c r="C204" s="17" t="s">
        <v>1044</v>
      </c>
      <c r="D204" s="17" t="s">
        <v>52</v>
      </c>
      <c r="E204" s="17" t="s">
        <v>1560</v>
      </c>
      <c r="F204" s="17" t="s">
        <v>1350</v>
      </c>
      <c r="G204" s="17" t="s">
        <v>1561</v>
      </c>
      <c r="H204" s="17" t="s">
        <v>69</v>
      </c>
      <c r="I204" s="17">
        <v>20000</v>
      </c>
      <c r="J204" s="17" t="s">
        <v>54</v>
      </c>
      <c r="K204" s="17" t="s">
        <v>55</v>
      </c>
      <c r="L204" s="17" t="s">
        <v>56</v>
      </c>
      <c r="M204" s="17" t="s">
        <v>286</v>
      </c>
      <c r="N204" s="17" t="s">
        <v>20</v>
      </c>
      <c r="O204" s="17" t="s">
        <v>384</v>
      </c>
      <c r="P204" s="17" t="s">
        <v>20</v>
      </c>
      <c r="Q204" s="17" t="s">
        <v>386</v>
      </c>
      <c r="R204" s="17" t="s">
        <v>20</v>
      </c>
      <c r="S204" s="17" t="s">
        <v>484</v>
      </c>
      <c r="T204" s="17">
        <v>210</v>
      </c>
      <c r="U204" s="18">
        <v>4498906567</v>
      </c>
      <c r="V204" s="17" t="s">
        <v>1562</v>
      </c>
      <c r="X204" s="17" t="s">
        <v>60</v>
      </c>
      <c r="Y204" s="17" t="s">
        <v>230</v>
      </c>
      <c r="Z204" s="17" t="s">
        <v>472</v>
      </c>
      <c r="AA204" s="28">
        <v>779537.82310200005</v>
      </c>
      <c r="AB204" s="28">
        <v>2421871.0615400001</v>
      </c>
    </row>
    <row r="205" spans="1:28">
      <c r="A205" s="17">
        <v>204</v>
      </c>
      <c r="B205" s="17">
        <v>624111</v>
      </c>
      <c r="C205" s="17" t="s">
        <v>1044</v>
      </c>
      <c r="D205" s="17" t="s">
        <v>52</v>
      </c>
      <c r="E205" s="17" t="s">
        <v>1563</v>
      </c>
      <c r="F205" s="17" t="s">
        <v>1078</v>
      </c>
      <c r="H205" s="17" t="s">
        <v>69</v>
      </c>
      <c r="I205" s="17">
        <v>20000</v>
      </c>
      <c r="J205" s="17" t="s">
        <v>54</v>
      </c>
      <c r="K205" s="17" t="s">
        <v>63</v>
      </c>
      <c r="L205" s="17" t="s">
        <v>20</v>
      </c>
      <c r="M205" s="17" t="s">
        <v>505</v>
      </c>
      <c r="N205" s="17" t="s">
        <v>20</v>
      </c>
      <c r="O205" s="17" t="s">
        <v>242</v>
      </c>
      <c r="P205" s="17" t="s">
        <v>20</v>
      </c>
      <c r="Q205" s="17" t="s">
        <v>85</v>
      </c>
      <c r="R205" s="17" t="s">
        <v>56</v>
      </c>
      <c r="S205" s="17" t="s">
        <v>71</v>
      </c>
      <c r="T205" s="17">
        <v>334</v>
      </c>
      <c r="U205" s="18">
        <v>4491039351</v>
      </c>
      <c r="V205" s="17" t="s">
        <v>1564</v>
      </c>
      <c r="X205" s="17" t="s">
        <v>60</v>
      </c>
      <c r="Y205" s="17" t="s">
        <v>230</v>
      </c>
      <c r="Z205" s="17" t="s">
        <v>472</v>
      </c>
      <c r="AA205" s="28">
        <v>779926.32541100006</v>
      </c>
      <c r="AB205" s="28">
        <v>2422187.31592</v>
      </c>
    </row>
    <row r="206" spans="1:28">
      <c r="A206" s="17">
        <v>205</v>
      </c>
      <c r="B206" s="17">
        <v>624211</v>
      </c>
      <c r="C206" s="17" t="s">
        <v>1044</v>
      </c>
      <c r="D206" s="17" t="s">
        <v>52</v>
      </c>
      <c r="E206" s="17" t="s">
        <v>1565</v>
      </c>
      <c r="F206" s="17" t="s">
        <v>1080</v>
      </c>
      <c r="G206" s="17" t="s">
        <v>1566</v>
      </c>
      <c r="H206" s="17" t="s">
        <v>69</v>
      </c>
      <c r="I206" s="17">
        <v>20000</v>
      </c>
      <c r="J206" s="17" t="s">
        <v>54</v>
      </c>
      <c r="K206" s="17" t="s">
        <v>55</v>
      </c>
      <c r="L206" s="17" t="s">
        <v>20</v>
      </c>
      <c r="M206" s="17" t="s">
        <v>127</v>
      </c>
      <c r="N206" s="17" t="s">
        <v>20</v>
      </c>
      <c r="O206" s="17" t="s">
        <v>502</v>
      </c>
      <c r="P206" s="17" t="s">
        <v>20</v>
      </c>
      <c r="Q206" s="17" t="s">
        <v>310</v>
      </c>
      <c r="R206" s="17" t="s">
        <v>20</v>
      </c>
      <c r="S206" s="17" t="s">
        <v>504</v>
      </c>
      <c r="T206" s="17">
        <v>607</v>
      </c>
      <c r="U206" s="18">
        <v>0</v>
      </c>
      <c r="X206" s="17" t="s">
        <v>64</v>
      </c>
      <c r="Y206" s="17" t="s">
        <v>230</v>
      </c>
      <c r="Z206" s="17" t="s">
        <v>472</v>
      </c>
      <c r="AA206" s="28">
        <v>779027.71013400005</v>
      </c>
      <c r="AB206" s="28">
        <v>2422850.0483800001</v>
      </c>
    </row>
    <row r="207" spans="1:28">
      <c r="A207" s="17">
        <v>206</v>
      </c>
      <c r="B207" s="17">
        <v>624221</v>
      </c>
      <c r="C207" s="17" t="s">
        <v>1044</v>
      </c>
      <c r="D207" s="17" t="s">
        <v>52</v>
      </c>
      <c r="E207" s="17" t="s">
        <v>1567</v>
      </c>
      <c r="F207" s="17" t="s">
        <v>1568</v>
      </c>
      <c r="G207" s="17" t="s">
        <v>1569</v>
      </c>
      <c r="H207" s="17" t="s">
        <v>69</v>
      </c>
      <c r="I207" s="17">
        <v>20180</v>
      </c>
      <c r="J207" s="17" t="s">
        <v>54</v>
      </c>
      <c r="K207" s="17" t="s">
        <v>78</v>
      </c>
      <c r="L207" s="17" t="s">
        <v>56</v>
      </c>
      <c r="M207" s="17" t="s">
        <v>496</v>
      </c>
      <c r="N207" s="17" t="s">
        <v>56</v>
      </c>
      <c r="O207" s="17" t="s">
        <v>483</v>
      </c>
      <c r="P207" s="17" t="s">
        <v>56</v>
      </c>
      <c r="Q207" s="17" t="s">
        <v>815</v>
      </c>
      <c r="R207" s="17" t="s">
        <v>20</v>
      </c>
      <c r="S207" s="17" t="s">
        <v>91</v>
      </c>
      <c r="T207" s="17">
        <v>0</v>
      </c>
      <c r="U207" s="18">
        <v>4494974462</v>
      </c>
      <c r="V207" s="17" t="s">
        <v>1570</v>
      </c>
      <c r="X207" s="17" t="s">
        <v>60</v>
      </c>
      <c r="Y207" s="17" t="s">
        <v>230</v>
      </c>
      <c r="Z207" s="17" t="s">
        <v>472</v>
      </c>
      <c r="AA207" s="28">
        <v>780627.82664900005</v>
      </c>
      <c r="AB207" s="28">
        <v>2423623.1601900002</v>
      </c>
    </row>
    <row r="208" spans="1:28">
      <c r="A208" s="17">
        <v>207</v>
      </c>
      <c r="B208" s="17">
        <v>624221</v>
      </c>
      <c r="C208" s="17" t="s">
        <v>1044</v>
      </c>
      <c r="D208" s="17" t="s">
        <v>52</v>
      </c>
      <c r="E208" s="17" t="s">
        <v>1571</v>
      </c>
      <c r="F208" s="17" t="s">
        <v>1568</v>
      </c>
      <c r="G208" s="17" t="s">
        <v>1572</v>
      </c>
      <c r="H208" s="17" t="s">
        <v>69</v>
      </c>
      <c r="I208" s="17">
        <v>20000</v>
      </c>
      <c r="J208" s="17" t="s">
        <v>54</v>
      </c>
      <c r="K208" s="17" t="s">
        <v>63</v>
      </c>
      <c r="L208" s="17" t="s">
        <v>20</v>
      </c>
      <c r="M208" s="17" t="s">
        <v>484</v>
      </c>
      <c r="N208" s="17" t="s">
        <v>58</v>
      </c>
      <c r="O208" s="17" t="s">
        <v>1573</v>
      </c>
      <c r="P208" s="17" t="s">
        <v>20</v>
      </c>
      <c r="Q208" s="17" t="s">
        <v>208</v>
      </c>
      <c r="R208" s="17" t="s">
        <v>20</v>
      </c>
      <c r="S208" s="17" t="s">
        <v>505</v>
      </c>
      <c r="T208" s="17">
        <v>450</v>
      </c>
      <c r="U208" s="18">
        <v>0</v>
      </c>
      <c r="X208" s="17" t="s">
        <v>64</v>
      </c>
      <c r="Y208" s="17" t="s">
        <v>230</v>
      </c>
      <c r="Z208" s="17" t="s">
        <v>472</v>
      </c>
      <c r="AA208" s="28">
        <v>779990.29448399995</v>
      </c>
      <c r="AB208" s="28">
        <v>2422094.4238499999</v>
      </c>
    </row>
    <row r="209" spans="1:28">
      <c r="A209" s="17">
        <v>208</v>
      </c>
      <c r="B209" s="17">
        <v>624312</v>
      </c>
      <c r="C209" s="17" t="s">
        <v>1044</v>
      </c>
      <c r="D209" s="17" t="s">
        <v>52</v>
      </c>
      <c r="E209" s="17" t="s">
        <v>1574</v>
      </c>
      <c r="F209" s="17" t="s">
        <v>1132</v>
      </c>
      <c r="G209" s="17" t="s">
        <v>1036</v>
      </c>
      <c r="H209" s="17" t="s">
        <v>53</v>
      </c>
      <c r="I209" s="17">
        <v>20240</v>
      </c>
      <c r="J209" s="17" t="s">
        <v>54</v>
      </c>
      <c r="K209" s="17" t="s">
        <v>63</v>
      </c>
      <c r="L209" s="17" t="s">
        <v>56</v>
      </c>
      <c r="M209" s="17" t="s">
        <v>387</v>
      </c>
      <c r="N209" s="17" t="s">
        <v>56</v>
      </c>
      <c r="O209" s="17" t="s">
        <v>500</v>
      </c>
      <c r="P209" s="17" t="s">
        <v>20</v>
      </c>
      <c r="Q209" s="17" t="s">
        <v>512</v>
      </c>
      <c r="R209" s="17" t="s">
        <v>20</v>
      </c>
      <c r="S209" s="17" t="s">
        <v>537</v>
      </c>
      <c r="T209" s="17">
        <v>318</v>
      </c>
      <c r="U209" s="18">
        <v>0</v>
      </c>
      <c r="V209" s="17" t="s">
        <v>1575</v>
      </c>
      <c r="W209" s="17" t="s">
        <v>1014</v>
      </c>
      <c r="X209" s="17" t="s">
        <v>67</v>
      </c>
      <c r="Y209" s="17" t="s">
        <v>230</v>
      </c>
      <c r="Z209" s="17" t="s">
        <v>472</v>
      </c>
      <c r="AA209" s="28">
        <v>779639.51277399994</v>
      </c>
      <c r="AB209" s="28">
        <v>2421122.31654</v>
      </c>
    </row>
    <row r="210" spans="1:28">
      <c r="A210" s="17">
        <v>209</v>
      </c>
      <c r="B210" s="17">
        <v>624312</v>
      </c>
      <c r="C210" s="17" t="s">
        <v>1044</v>
      </c>
      <c r="D210" s="17" t="s">
        <v>52</v>
      </c>
      <c r="E210" s="17" t="s">
        <v>1576</v>
      </c>
      <c r="F210" s="17" t="s">
        <v>1132</v>
      </c>
      <c r="G210" s="17" t="s">
        <v>1577</v>
      </c>
      <c r="H210" s="17" t="s">
        <v>53</v>
      </c>
      <c r="I210" s="17">
        <v>20240</v>
      </c>
      <c r="J210" s="17" t="s">
        <v>54</v>
      </c>
      <c r="K210" s="17" t="s">
        <v>78</v>
      </c>
      <c r="L210" s="17" t="s">
        <v>20</v>
      </c>
      <c r="M210" s="17" t="s">
        <v>493</v>
      </c>
      <c r="N210" s="17" t="s">
        <v>20</v>
      </c>
      <c r="O210" s="17" t="s">
        <v>545</v>
      </c>
      <c r="P210" s="17" t="s">
        <v>20</v>
      </c>
      <c r="Q210" s="17" t="s">
        <v>562</v>
      </c>
      <c r="R210" s="17" t="s">
        <v>20</v>
      </c>
      <c r="S210" s="17" t="s">
        <v>494</v>
      </c>
      <c r="T210" s="17">
        <v>129</v>
      </c>
      <c r="U210" s="18">
        <v>0</v>
      </c>
      <c r="X210" s="17" t="s">
        <v>67</v>
      </c>
      <c r="Y210" s="17" t="s">
        <v>230</v>
      </c>
      <c r="Z210" s="17" t="s">
        <v>472</v>
      </c>
      <c r="AA210" s="28">
        <v>780576.78251499997</v>
      </c>
      <c r="AB210" s="28">
        <v>2421184.8773500002</v>
      </c>
    </row>
    <row r="211" spans="1:28">
      <c r="A211" s="17">
        <v>210</v>
      </c>
      <c r="B211" s="17">
        <v>624411</v>
      </c>
      <c r="C211" s="17" t="s">
        <v>1044</v>
      </c>
      <c r="D211" s="17" t="s">
        <v>52</v>
      </c>
      <c r="E211" s="17" t="s">
        <v>1578</v>
      </c>
      <c r="F211" s="17" t="s">
        <v>1046</v>
      </c>
      <c r="H211" s="17" t="s">
        <v>53</v>
      </c>
      <c r="I211" s="17">
        <v>20259</v>
      </c>
      <c r="J211" s="17" t="s">
        <v>54</v>
      </c>
      <c r="K211" s="17" t="s">
        <v>78</v>
      </c>
      <c r="L211" s="17" t="s">
        <v>20</v>
      </c>
      <c r="M211" s="17" t="s">
        <v>510</v>
      </c>
      <c r="N211" s="17" t="s">
        <v>56</v>
      </c>
      <c r="O211" s="17" t="s">
        <v>71</v>
      </c>
      <c r="P211" s="17" t="s">
        <v>20</v>
      </c>
      <c r="Q211" s="17" t="s">
        <v>525</v>
      </c>
      <c r="R211" s="17" t="s">
        <v>20</v>
      </c>
      <c r="S211" s="17" t="s">
        <v>530</v>
      </c>
      <c r="T211" s="17">
        <v>314</v>
      </c>
      <c r="U211" s="18">
        <v>4491021695</v>
      </c>
      <c r="V211" s="17" t="s">
        <v>1579</v>
      </c>
      <c r="X211" s="17" t="s">
        <v>67</v>
      </c>
      <c r="Y211" s="17" t="s">
        <v>230</v>
      </c>
      <c r="Z211" s="17" t="s">
        <v>472</v>
      </c>
      <c r="AA211" s="28">
        <v>780452.39105400001</v>
      </c>
      <c r="AB211" s="28">
        <v>2422542.6322499998</v>
      </c>
    </row>
    <row r="212" spans="1:28">
      <c r="A212" s="17">
        <v>211</v>
      </c>
      <c r="B212" s="17">
        <v>624411</v>
      </c>
      <c r="C212" s="17" t="s">
        <v>1044</v>
      </c>
      <c r="D212" s="17" t="s">
        <v>52</v>
      </c>
      <c r="E212" s="17" t="s">
        <v>1580</v>
      </c>
      <c r="F212" s="17" t="s">
        <v>1046</v>
      </c>
      <c r="H212" s="17" t="s">
        <v>69</v>
      </c>
      <c r="I212" s="17">
        <v>20240</v>
      </c>
      <c r="J212" s="17" t="s">
        <v>54</v>
      </c>
      <c r="K212" s="17" t="s">
        <v>55</v>
      </c>
      <c r="L212" s="17" t="s">
        <v>20</v>
      </c>
      <c r="M212" s="17" t="s">
        <v>478</v>
      </c>
      <c r="N212" s="17" t="s">
        <v>20</v>
      </c>
      <c r="O212" s="17" t="s">
        <v>527</v>
      </c>
      <c r="P212" s="17" t="s">
        <v>20</v>
      </c>
      <c r="Q212" s="17" t="s">
        <v>1581</v>
      </c>
      <c r="R212" s="17" t="s">
        <v>20</v>
      </c>
      <c r="S212" s="17" t="s">
        <v>1582</v>
      </c>
      <c r="T212" s="17">
        <v>538</v>
      </c>
      <c r="U212" s="18">
        <v>0</v>
      </c>
      <c r="V212" s="17" t="s">
        <v>1583</v>
      </c>
      <c r="X212" s="17" t="s">
        <v>67</v>
      </c>
      <c r="Y212" s="17" t="s">
        <v>230</v>
      </c>
      <c r="Z212" s="17" t="s">
        <v>472</v>
      </c>
      <c r="AA212" s="28">
        <v>780441.99738299998</v>
      </c>
      <c r="AB212" s="28">
        <v>2421703.1669000001</v>
      </c>
    </row>
    <row r="213" spans="1:28">
      <c r="A213" s="17">
        <v>212</v>
      </c>
      <c r="B213" s="17">
        <v>624411</v>
      </c>
      <c r="C213" s="17" t="s">
        <v>1044</v>
      </c>
      <c r="D213" s="17" t="s">
        <v>52</v>
      </c>
      <c r="E213" s="17" t="s">
        <v>1262</v>
      </c>
      <c r="F213" s="17" t="s">
        <v>1046</v>
      </c>
      <c r="G213" s="17" t="s">
        <v>1263</v>
      </c>
      <c r="H213" s="17" t="s">
        <v>69</v>
      </c>
      <c r="I213" s="17">
        <v>20188</v>
      </c>
      <c r="J213" s="17" t="s">
        <v>54</v>
      </c>
      <c r="K213" s="17" t="s">
        <v>88</v>
      </c>
      <c r="L213" s="17" t="s">
        <v>20</v>
      </c>
      <c r="M213" s="17" t="s">
        <v>1584</v>
      </c>
      <c r="N213" s="17" t="s">
        <v>20</v>
      </c>
      <c r="O213" s="17" t="s">
        <v>1585</v>
      </c>
      <c r="P213" s="17" t="s">
        <v>20</v>
      </c>
      <c r="Q213" s="17" t="s">
        <v>1586</v>
      </c>
      <c r="R213" s="17" t="s">
        <v>20</v>
      </c>
      <c r="S213" s="17" t="s">
        <v>1587</v>
      </c>
      <c r="T213" s="17">
        <v>202</v>
      </c>
      <c r="U213" s="18">
        <v>0</v>
      </c>
      <c r="V213" s="17" t="s">
        <v>1588</v>
      </c>
      <c r="X213" s="17" t="s">
        <v>67</v>
      </c>
      <c r="Y213" s="17" t="s">
        <v>230</v>
      </c>
      <c r="Z213" s="17" t="s">
        <v>472</v>
      </c>
      <c r="AA213" s="28">
        <v>781508.65558100003</v>
      </c>
      <c r="AB213" s="28">
        <v>2423204.6665400001</v>
      </c>
    </row>
    <row r="214" spans="1:28">
      <c r="A214" s="17">
        <v>213</v>
      </c>
      <c r="B214" s="17">
        <v>624411</v>
      </c>
      <c r="C214" s="17" t="s">
        <v>1044</v>
      </c>
      <c r="D214" s="17" t="s">
        <v>52</v>
      </c>
      <c r="E214" s="17" t="s">
        <v>1589</v>
      </c>
      <c r="F214" s="17" t="s">
        <v>1046</v>
      </c>
      <c r="H214" s="17" t="s">
        <v>69</v>
      </c>
      <c r="I214" s="17">
        <v>20050</v>
      </c>
      <c r="J214" s="17" t="s">
        <v>54</v>
      </c>
      <c r="K214" s="17" t="s">
        <v>63</v>
      </c>
      <c r="L214" s="17" t="s">
        <v>20</v>
      </c>
      <c r="M214" s="17" t="s">
        <v>247</v>
      </c>
      <c r="N214" s="17" t="s">
        <v>20</v>
      </c>
      <c r="O214" s="17" t="s">
        <v>242</v>
      </c>
      <c r="P214" s="17" t="s">
        <v>20</v>
      </c>
      <c r="Q214" s="17" t="s">
        <v>257</v>
      </c>
      <c r="R214" s="17" t="s">
        <v>20</v>
      </c>
      <c r="S214" s="17" t="s">
        <v>563</v>
      </c>
      <c r="T214" s="17">
        <v>101</v>
      </c>
      <c r="U214" s="18">
        <v>0</v>
      </c>
      <c r="V214" s="17" t="s">
        <v>1590</v>
      </c>
      <c r="X214" s="17" t="s">
        <v>67</v>
      </c>
      <c r="Y214" s="17" t="s">
        <v>230</v>
      </c>
      <c r="Z214" s="17" t="s">
        <v>472</v>
      </c>
      <c r="AA214" s="28">
        <v>779431.17490099999</v>
      </c>
      <c r="AB214" s="28">
        <v>2423201.1226599999</v>
      </c>
    </row>
    <row r="215" spans="1:28">
      <c r="A215" s="17">
        <v>214</v>
      </c>
      <c r="B215" s="17">
        <v>624411</v>
      </c>
      <c r="C215" s="17" t="s">
        <v>1044</v>
      </c>
      <c r="D215" s="17" t="s">
        <v>52</v>
      </c>
      <c r="E215" s="17" t="s">
        <v>1591</v>
      </c>
      <c r="F215" s="17" t="s">
        <v>1046</v>
      </c>
      <c r="G215" s="17" t="s">
        <v>1592</v>
      </c>
      <c r="H215" s="17" t="s">
        <v>69</v>
      </c>
      <c r="I215" s="17">
        <v>20000</v>
      </c>
      <c r="J215" s="17" t="s">
        <v>54</v>
      </c>
      <c r="K215" s="17" t="s">
        <v>78</v>
      </c>
      <c r="L215" s="17" t="s">
        <v>20</v>
      </c>
      <c r="M215" s="17" t="s">
        <v>505</v>
      </c>
      <c r="N215" s="17" t="s">
        <v>20</v>
      </c>
      <c r="O215" s="17" t="s">
        <v>208</v>
      </c>
      <c r="P215" s="17" t="s">
        <v>20</v>
      </c>
      <c r="Q215" s="17" t="s">
        <v>527</v>
      </c>
      <c r="R215" s="17" t="s">
        <v>20</v>
      </c>
      <c r="S215" s="17" t="s">
        <v>484</v>
      </c>
      <c r="T215" s="17">
        <v>427</v>
      </c>
      <c r="U215" s="18">
        <v>4499185047</v>
      </c>
      <c r="V215" s="17" t="s">
        <v>1593</v>
      </c>
      <c r="X215" s="17" t="s">
        <v>67</v>
      </c>
      <c r="Y215" s="17" t="s">
        <v>230</v>
      </c>
      <c r="Z215" s="17" t="s">
        <v>472</v>
      </c>
      <c r="AA215" s="28">
        <v>780088.10032600001</v>
      </c>
      <c r="AB215" s="28">
        <v>2422216.95646</v>
      </c>
    </row>
    <row r="216" spans="1:28">
      <c r="A216" s="17">
        <v>215</v>
      </c>
      <c r="B216" s="17">
        <v>624411</v>
      </c>
      <c r="C216" s="17" t="s">
        <v>1044</v>
      </c>
      <c r="D216" s="17" t="s">
        <v>52</v>
      </c>
      <c r="E216" s="17" t="s">
        <v>1594</v>
      </c>
      <c r="F216" s="17" t="s">
        <v>1046</v>
      </c>
      <c r="G216" s="17" t="s">
        <v>1595</v>
      </c>
      <c r="H216" s="17" t="s">
        <v>69</v>
      </c>
      <c r="I216" s="17">
        <v>20000</v>
      </c>
      <c r="J216" s="17" t="s">
        <v>54</v>
      </c>
      <c r="K216" s="17" t="s">
        <v>88</v>
      </c>
      <c r="L216" s="17" t="s">
        <v>20</v>
      </c>
      <c r="M216" s="17" t="s">
        <v>525</v>
      </c>
      <c r="N216" s="17" t="s">
        <v>20</v>
      </c>
      <c r="O216" s="17" t="s">
        <v>252</v>
      </c>
      <c r="P216" s="17" t="s">
        <v>20</v>
      </c>
      <c r="Q216" s="17" t="s">
        <v>506</v>
      </c>
      <c r="R216" s="17" t="s">
        <v>56</v>
      </c>
      <c r="S216" s="17" t="s">
        <v>71</v>
      </c>
      <c r="T216" s="17">
        <v>405</v>
      </c>
      <c r="U216" s="18">
        <v>0</v>
      </c>
      <c r="V216" s="17" t="s">
        <v>1596</v>
      </c>
      <c r="X216" s="17" t="s">
        <v>67</v>
      </c>
      <c r="Y216" s="17" t="s">
        <v>230</v>
      </c>
      <c r="Z216" s="17" t="s">
        <v>472</v>
      </c>
      <c r="AA216" s="28">
        <v>780208.54468100006</v>
      </c>
      <c r="AB216" s="28">
        <v>2422568.5452200002</v>
      </c>
    </row>
    <row r="217" spans="1:28">
      <c r="A217" s="17">
        <v>216</v>
      </c>
      <c r="B217" s="17">
        <v>624411</v>
      </c>
      <c r="C217" s="17" t="s">
        <v>1044</v>
      </c>
      <c r="D217" s="17" t="s">
        <v>52</v>
      </c>
      <c r="E217" s="17" t="s">
        <v>1597</v>
      </c>
      <c r="F217" s="17" t="s">
        <v>1046</v>
      </c>
      <c r="H217" s="17" t="s">
        <v>104</v>
      </c>
      <c r="I217" s="17">
        <v>20249</v>
      </c>
      <c r="J217" s="17" t="s">
        <v>54</v>
      </c>
      <c r="K217" s="17" t="s">
        <v>55</v>
      </c>
      <c r="L217" s="17" t="s">
        <v>58</v>
      </c>
      <c r="M217" s="17" t="s">
        <v>520</v>
      </c>
      <c r="N217" s="17" t="s">
        <v>20</v>
      </c>
      <c r="O217" s="17" t="s">
        <v>478</v>
      </c>
      <c r="P217" s="17" t="s">
        <v>56</v>
      </c>
      <c r="Q217" s="17" t="s">
        <v>286</v>
      </c>
      <c r="R217" s="17" t="s">
        <v>56</v>
      </c>
      <c r="S217" s="17" t="s">
        <v>286</v>
      </c>
      <c r="T217" s="17">
        <v>506</v>
      </c>
      <c r="U217" s="18">
        <v>4491963977</v>
      </c>
      <c r="V217" s="17" t="s">
        <v>1598</v>
      </c>
      <c r="X217" s="17" t="s">
        <v>67</v>
      </c>
      <c r="Y217" s="17" t="s">
        <v>230</v>
      </c>
      <c r="Z217" s="17" t="s">
        <v>472</v>
      </c>
      <c r="AA217" s="28">
        <v>780750.73770299996</v>
      </c>
      <c r="AB217" s="28">
        <v>2421809.6469899998</v>
      </c>
    </row>
    <row r="218" spans="1:28">
      <c r="A218" s="17">
        <v>217</v>
      </c>
      <c r="B218" s="17">
        <v>624112</v>
      </c>
      <c r="C218" s="17" t="s">
        <v>1044</v>
      </c>
      <c r="D218" s="17" t="s">
        <v>1008</v>
      </c>
      <c r="E218" s="17" t="s">
        <v>1599</v>
      </c>
      <c r="F218" s="17" t="s">
        <v>1149</v>
      </c>
      <c r="G218" s="17" t="s">
        <v>1600</v>
      </c>
      <c r="H218" s="17" t="s">
        <v>69</v>
      </c>
      <c r="I218" s="17">
        <v>20190</v>
      </c>
      <c r="J218" s="17" t="s">
        <v>54</v>
      </c>
      <c r="K218" s="17" t="s">
        <v>55</v>
      </c>
      <c r="L218" s="17" t="s">
        <v>20</v>
      </c>
      <c r="M218" s="17" t="s">
        <v>473</v>
      </c>
      <c r="N218" s="17" t="s">
        <v>58</v>
      </c>
      <c r="O218" s="17" t="s">
        <v>539</v>
      </c>
      <c r="P218" s="17" t="s">
        <v>20</v>
      </c>
      <c r="Q218" s="17" t="s">
        <v>540</v>
      </c>
      <c r="R218" s="17" t="s">
        <v>20</v>
      </c>
      <c r="S218" s="17" t="s">
        <v>534</v>
      </c>
      <c r="T218" s="17">
        <v>311</v>
      </c>
      <c r="U218" s="18">
        <v>0</v>
      </c>
      <c r="X218" s="17" t="s">
        <v>67</v>
      </c>
      <c r="Y218" s="17" t="s">
        <v>230</v>
      </c>
      <c r="Z218" s="17" t="s">
        <v>472</v>
      </c>
      <c r="AA218" s="28">
        <v>781779.71502899996</v>
      </c>
      <c r="AB218" s="28">
        <v>2422243.4381599999</v>
      </c>
    </row>
    <row r="219" spans="1:28">
      <c r="A219" s="17">
        <v>218</v>
      </c>
      <c r="B219" s="17">
        <v>624112</v>
      </c>
      <c r="C219" s="17" t="s">
        <v>1044</v>
      </c>
      <c r="D219" s="17" t="s">
        <v>1008</v>
      </c>
      <c r="E219" s="17" t="s">
        <v>1601</v>
      </c>
      <c r="F219" s="17" t="s">
        <v>1149</v>
      </c>
      <c r="G219" s="17" t="s">
        <v>1035</v>
      </c>
      <c r="H219" s="17" t="s">
        <v>69</v>
      </c>
      <c r="I219" s="17">
        <v>20240</v>
      </c>
      <c r="J219" s="17" t="s">
        <v>54</v>
      </c>
      <c r="K219" s="17" t="s">
        <v>55</v>
      </c>
      <c r="L219" s="17" t="s">
        <v>20</v>
      </c>
      <c r="M219" s="17" t="s">
        <v>527</v>
      </c>
      <c r="N219" s="17" t="s">
        <v>56</v>
      </c>
      <c r="O219" s="17" t="s">
        <v>500</v>
      </c>
      <c r="P219" s="17" t="s">
        <v>20</v>
      </c>
      <c r="Q219" s="17" t="s">
        <v>199</v>
      </c>
      <c r="R219" s="17" t="s">
        <v>156</v>
      </c>
      <c r="S219" s="17" t="s">
        <v>199</v>
      </c>
      <c r="T219" s="17">
        <v>815</v>
      </c>
      <c r="U219" s="18">
        <v>0</v>
      </c>
      <c r="X219" s="17" t="s">
        <v>60</v>
      </c>
      <c r="Y219" s="17" t="s">
        <v>230</v>
      </c>
      <c r="Z219" s="17" t="s">
        <v>472</v>
      </c>
      <c r="AA219" s="28">
        <v>780353.69767599995</v>
      </c>
      <c r="AB219" s="28">
        <v>2421462.7440599999</v>
      </c>
    </row>
    <row r="220" spans="1:28">
      <c r="A220" s="17">
        <v>219</v>
      </c>
      <c r="B220" s="17">
        <v>624122</v>
      </c>
      <c r="C220" s="17" t="s">
        <v>1044</v>
      </c>
      <c r="D220" s="17" t="s">
        <v>1008</v>
      </c>
      <c r="E220" s="17" t="s">
        <v>1602</v>
      </c>
      <c r="F220" s="17" t="s">
        <v>1153</v>
      </c>
      <c r="G220" s="17" t="s">
        <v>1603</v>
      </c>
      <c r="H220" s="17" t="s">
        <v>69</v>
      </c>
      <c r="I220" s="17">
        <v>20240</v>
      </c>
      <c r="J220" s="17" t="s">
        <v>54</v>
      </c>
      <c r="K220" s="17" t="s">
        <v>55</v>
      </c>
      <c r="L220" s="17" t="s">
        <v>311</v>
      </c>
      <c r="M220" s="17" t="s">
        <v>501</v>
      </c>
      <c r="N220" s="17" t="s">
        <v>20</v>
      </c>
      <c r="O220" s="17" t="s">
        <v>208</v>
      </c>
      <c r="P220" s="17" t="s">
        <v>20</v>
      </c>
      <c r="Q220" s="17" t="s">
        <v>527</v>
      </c>
      <c r="R220" s="17" t="s">
        <v>20</v>
      </c>
      <c r="S220" s="17" t="s">
        <v>199</v>
      </c>
      <c r="T220" s="17">
        <v>119</v>
      </c>
      <c r="U220" s="18">
        <v>0</v>
      </c>
      <c r="X220" s="17" t="s">
        <v>64</v>
      </c>
      <c r="Y220" s="17" t="s">
        <v>230</v>
      </c>
      <c r="Z220" s="17" t="s">
        <v>472</v>
      </c>
      <c r="AA220" s="28">
        <v>780192.98031500005</v>
      </c>
      <c r="AB220" s="28">
        <v>2421728.2734599998</v>
      </c>
    </row>
    <row r="221" spans="1:28">
      <c r="A221" s="17">
        <v>220</v>
      </c>
      <c r="B221" s="17">
        <v>624199</v>
      </c>
      <c r="C221" s="17" t="s">
        <v>1044</v>
      </c>
      <c r="D221" s="17" t="s">
        <v>1008</v>
      </c>
      <c r="E221" s="17" t="s">
        <v>1604</v>
      </c>
      <c r="F221" s="17" t="s">
        <v>1156</v>
      </c>
      <c r="G221" s="17" t="s">
        <v>1605</v>
      </c>
      <c r="H221" s="17" t="s">
        <v>53</v>
      </c>
      <c r="I221" s="17">
        <v>20259</v>
      </c>
      <c r="J221" s="17" t="s">
        <v>54</v>
      </c>
      <c r="K221" s="17" t="s">
        <v>63</v>
      </c>
      <c r="L221" s="17" t="s">
        <v>20</v>
      </c>
      <c r="M221" s="17" t="s">
        <v>510</v>
      </c>
      <c r="N221" s="17" t="s">
        <v>20</v>
      </c>
      <c r="O221" s="17" t="s">
        <v>515</v>
      </c>
      <c r="P221" s="17" t="s">
        <v>20</v>
      </c>
      <c r="Q221" s="17" t="s">
        <v>105</v>
      </c>
      <c r="R221" s="17" t="s">
        <v>20</v>
      </c>
      <c r="S221" s="17" t="s">
        <v>477</v>
      </c>
      <c r="T221" s="17">
        <v>113</v>
      </c>
      <c r="U221" s="18">
        <v>4491521641</v>
      </c>
      <c r="X221" s="17" t="s">
        <v>64</v>
      </c>
      <c r="Y221" s="17" t="s">
        <v>230</v>
      </c>
      <c r="Z221" s="17" t="s">
        <v>472</v>
      </c>
      <c r="AA221" s="28">
        <v>780694.86591399997</v>
      </c>
      <c r="AB221" s="28">
        <v>2422248.3057499998</v>
      </c>
    </row>
    <row r="222" spans="1:28">
      <c r="A222" s="17">
        <v>221</v>
      </c>
      <c r="B222" s="17">
        <v>624412</v>
      </c>
      <c r="C222" s="17" t="s">
        <v>1044</v>
      </c>
      <c r="D222" s="17" t="s">
        <v>1008</v>
      </c>
      <c r="E222" s="17" t="s">
        <v>1606</v>
      </c>
      <c r="F222" s="17" t="s">
        <v>1123</v>
      </c>
      <c r="G222" s="17" t="s">
        <v>1015</v>
      </c>
      <c r="H222" s="17" t="s">
        <v>53</v>
      </c>
      <c r="I222" s="17">
        <v>20240</v>
      </c>
      <c r="J222" s="17" t="s">
        <v>54</v>
      </c>
      <c r="K222" s="17" t="s">
        <v>55</v>
      </c>
      <c r="L222" s="17" t="s">
        <v>20</v>
      </c>
      <c r="M222" s="17" t="s">
        <v>494</v>
      </c>
      <c r="N222" s="17" t="s">
        <v>20</v>
      </c>
      <c r="O222" s="17" t="s">
        <v>545</v>
      </c>
      <c r="P222" s="17" t="s">
        <v>20</v>
      </c>
      <c r="Q222" s="17" t="s">
        <v>495</v>
      </c>
      <c r="R222" s="17" t="s">
        <v>20</v>
      </c>
      <c r="S222" s="17" t="s">
        <v>493</v>
      </c>
      <c r="T222" s="17">
        <v>128</v>
      </c>
      <c r="U222" s="18">
        <v>0</v>
      </c>
      <c r="X222" s="17" t="s">
        <v>60</v>
      </c>
      <c r="Y222" s="17" t="s">
        <v>230</v>
      </c>
      <c r="Z222" s="17" t="s">
        <v>472</v>
      </c>
      <c r="AA222" s="28">
        <v>780667.02974300005</v>
      </c>
      <c r="AB222" s="28">
        <v>2421059.8213499999</v>
      </c>
    </row>
    <row r="223" spans="1:28">
      <c r="A223" s="17">
        <v>222</v>
      </c>
      <c r="B223" s="17">
        <v>624412</v>
      </c>
      <c r="C223" s="17" t="s">
        <v>1044</v>
      </c>
      <c r="D223" s="17" t="s">
        <v>1008</v>
      </c>
      <c r="E223" s="17" t="s">
        <v>1607</v>
      </c>
      <c r="F223" s="17" t="s">
        <v>1123</v>
      </c>
      <c r="H223" s="17" t="s">
        <v>69</v>
      </c>
      <c r="I223" s="17">
        <v>20180</v>
      </c>
      <c r="J223" s="17" t="s">
        <v>54</v>
      </c>
      <c r="K223" s="17" t="s">
        <v>55</v>
      </c>
      <c r="L223" s="17" t="s">
        <v>20</v>
      </c>
      <c r="M223" s="17" t="s">
        <v>499</v>
      </c>
      <c r="N223" s="17" t="s">
        <v>56</v>
      </c>
      <c r="O223" s="17" t="s">
        <v>497</v>
      </c>
      <c r="P223" s="17" t="s">
        <v>20</v>
      </c>
      <c r="Q223" s="17" t="s">
        <v>519</v>
      </c>
      <c r="R223" s="17" t="s">
        <v>20</v>
      </c>
      <c r="S223" s="17" t="s">
        <v>1608</v>
      </c>
      <c r="T223" s="17">
        <v>517</v>
      </c>
      <c r="U223" s="18">
        <v>0</v>
      </c>
      <c r="V223" s="17" t="s">
        <v>1609</v>
      </c>
      <c r="X223" s="17" t="s">
        <v>67</v>
      </c>
      <c r="Y223" s="17" t="s">
        <v>230</v>
      </c>
      <c r="Z223" s="17" t="s">
        <v>472</v>
      </c>
      <c r="AA223" s="28">
        <v>781646.43079999997</v>
      </c>
      <c r="AB223" s="28">
        <v>2422895.4215799998</v>
      </c>
    </row>
    <row r="224" spans="1:28">
      <c r="A224" s="17">
        <v>223</v>
      </c>
      <c r="B224" s="17">
        <v>624412</v>
      </c>
      <c r="C224" s="17" t="s">
        <v>1044</v>
      </c>
      <c r="D224" s="17" t="s">
        <v>1008</v>
      </c>
      <c r="E224" s="17" t="s">
        <v>1610</v>
      </c>
      <c r="F224" s="17" t="s">
        <v>1123</v>
      </c>
      <c r="H224" s="17" t="s">
        <v>69</v>
      </c>
      <c r="I224" s="17">
        <v>20190</v>
      </c>
      <c r="J224" s="17" t="s">
        <v>54</v>
      </c>
      <c r="K224" s="17" t="s">
        <v>55</v>
      </c>
      <c r="L224" s="17" t="s">
        <v>20</v>
      </c>
      <c r="M224" s="17" t="s">
        <v>535</v>
      </c>
      <c r="N224" s="17" t="s">
        <v>20</v>
      </c>
      <c r="O224" s="17" t="s">
        <v>1611</v>
      </c>
      <c r="P224" s="17" t="s">
        <v>20</v>
      </c>
      <c r="Q224" s="17" t="s">
        <v>1028</v>
      </c>
      <c r="R224" s="17" t="s">
        <v>20</v>
      </c>
      <c r="S224" s="17" t="s">
        <v>475</v>
      </c>
      <c r="T224" s="17">
        <v>316</v>
      </c>
      <c r="U224" s="18">
        <v>4498062173</v>
      </c>
      <c r="V224" s="17" t="s">
        <v>1612</v>
      </c>
      <c r="X224" s="17" t="s">
        <v>67</v>
      </c>
      <c r="Y224" s="17" t="s">
        <v>230</v>
      </c>
      <c r="Z224" s="17" t="s">
        <v>472</v>
      </c>
      <c r="AA224" s="28">
        <v>781395.38682100002</v>
      </c>
      <c r="AB224" s="28">
        <v>2422217.3362699999</v>
      </c>
    </row>
    <row r="225" spans="1:28">
      <c r="A225" s="17">
        <v>224</v>
      </c>
      <c r="B225" s="17">
        <v>624412</v>
      </c>
      <c r="C225" s="17" t="s">
        <v>1044</v>
      </c>
      <c r="D225" s="17" t="s">
        <v>1008</v>
      </c>
      <c r="E225" s="17" t="s">
        <v>1613</v>
      </c>
      <c r="F225" s="17" t="s">
        <v>1123</v>
      </c>
      <c r="H225" s="17" t="s">
        <v>69</v>
      </c>
      <c r="I225" s="17">
        <v>20000</v>
      </c>
      <c r="J225" s="17" t="s">
        <v>54</v>
      </c>
      <c r="K225" s="17" t="s">
        <v>63</v>
      </c>
      <c r="L225" s="17" t="s">
        <v>20</v>
      </c>
      <c r="M225" s="17" t="s">
        <v>242</v>
      </c>
      <c r="N225" s="17" t="s">
        <v>20</v>
      </c>
      <c r="O225" s="17" t="s">
        <v>544</v>
      </c>
      <c r="P225" s="17" t="s">
        <v>20</v>
      </c>
      <c r="Q225" s="17" t="s">
        <v>528</v>
      </c>
      <c r="R225" s="17" t="s">
        <v>20</v>
      </c>
      <c r="S225" s="17" t="s">
        <v>249</v>
      </c>
      <c r="T225" s="17">
        <v>609</v>
      </c>
      <c r="U225" s="18">
        <v>0</v>
      </c>
      <c r="V225" s="17" t="s">
        <v>1614</v>
      </c>
      <c r="X225" s="17" t="s">
        <v>67</v>
      </c>
      <c r="Y225" s="17" t="s">
        <v>230</v>
      </c>
      <c r="Z225" s="17" t="s">
        <v>472</v>
      </c>
      <c r="AA225" s="28">
        <v>779742.28134900006</v>
      </c>
      <c r="AB225" s="28">
        <v>2422838.8036699998</v>
      </c>
    </row>
    <row r="226" spans="1:28">
      <c r="A226" s="17">
        <v>225</v>
      </c>
      <c r="B226" s="17">
        <v>624412</v>
      </c>
      <c r="C226" s="17" t="s">
        <v>1044</v>
      </c>
      <c r="D226" s="17" t="s">
        <v>1008</v>
      </c>
      <c r="E226" s="17" t="s">
        <v>1615</v>
      </c>
      <c r="F226" s="17" t="s">
        <v>1123</v>
      </c>
      <c r="G226" s="17" t="s">
        <v>1017</v>
      </c>
      <c r="H226" s="17" t="s">
        <v>104</v>
      </c>
      <c r="I226" s="17">
        <v>20240</v>
      </c>
      <c r="J226" s="17" t="s">
        <v>54</v>
      </c>
      <c r="K226" s="17" t="s">
        <v>132</v>
      </c>
      <c r="L226" s="17" t="s">
        <v>56</v>
      </c>
      <c r="M226" s="17" t="s">
        <v>387</v>
      </c>
      <c r="N226" s="17" t="s">
        <v>20</v>
      </c>
      <c r="O226" s="17" t="s">
        <v>208</v>
      </c>
      <c r="P226" s="17" t="s">
        <v>20</v>
      </c>
      <c r="Q226" s="17" t="s">
        <v>386</v>
      </c>
      <c r="R226" s="17" t="s">
        <v>20</v>
      </c>
      <c r="S226" s="17" t="s">
        <v>541</v>
      </c>
      <c r="T226" s="17">
        <v>636</v>
      </c>
      <c r="U226" s="18">
        <v>0</v>
      </c>
      <c r="V226" s="17" t="s">
        <v>1616</v>
      </c>
      <c r="X226" s="17" t="s">
        <v>64</v>
      </c>
      <c r="Y226" s="17" t="s">
        <v>230</v>
      </c>
      <c r="Z226" s="17" t="s">
        <v>472</v>
      </c>
      <c r="AA226" s="28">
        <v>780185.46468500001</v>
      </c>
      <c r="AB226" s="28">
        <v>2421011.50832</v>
      </c>
    </row>
    <row r="227" spans="1:28">
      <c r="A227" s="17">
        <v>226</v>
      </c>
      <c r="B227" s="17">
        <v>812322</v>
      </c>
      <c r="C227" s="17" t="s">
        <v>1044</v>
      </c>
      <c r="D227" s="17" t="s">
        <v>1008</v>
      </c>
      <c r="E227" s="17" t="s">
        <v>1617</v>
      </c>
      <c r="F227" s="17" t="s">
        <v>1054</v>
      </c>
      <c r="G227" s="17" t="s">
        <v>1618</v>
      </c>
      <c r="H227" s="17" t="s">
        <v>92</v>
      </c>
      <c r="I227" s="17">
        <v>20260</v>
      </c>
      <c r="J227" s="17" t="s">
        <v>54</v>
      </c>
      <c r="K227" s="17" t="s">
        <v>55</v>
      </c>
      <c r="L227" s="17" t="s">
        <v>20</v>
      </c>
      <c r="M227" s="17" t="s">
        <v>491</v>
      </c>
      <c r="N227" s="17" t="s">
        <v>56</v>
      </c>
      <c r="O227" s="17" t="s">
        <v>467</v>
      </c>
      <c r="P227" s="17" t="s">
        <v>20</v>
      </c>
      <c r="Q227" s="17" t="s">
        <v>490</v>
      </c>
      <c r="R227" s="17" t="s">
        <v>56</v>
      </c>
      <c r="S227" s="17" t="s">
        <v>566</v>
      </c>
      <c r="T227" s="17">
        <v>0</v>
      </c>
      <c r="U227" s="18">
        <v>0</v>
      </c>
      <c r="X227" s="17" t="s">
        <v>67</v>
      </c>
      <c r="Y227" s="17" t="s">
        <v>230</v>
      </c>
      <c r="Z227" s="17" t="s">
        <v>472</v>
      </c>
      <c r="AA227" s="28">
        <v>780945.42564100004</v>
      </c>
      <c r="AB227" s="28">
        <v>2420823.2329199999</v>
      </c>
    </row>
    <row r="228" spans="1:28">
      <c r="A228" s="17">
        <v>227</v>
      </c>
      <c r="B228" s="17">
        <v>624191</v>
      </c>
      <c r="C228" s="17" t="s">
        <v>1044</v>
      </c>
      <c r="D228" s="17" t="s">
        <v>52</v>
      </c>
      <c r="E228" s="17" t="s">
        <v>1619</v>
      </c>
      <c r="F228" s="17" t="s">
        <v>1064</v>
      </c>
      <c r="G228" s="17" t="s">
        <v>1620</v>
      </c>
      <c r="H228" s="17" t="s">
        <v>53</v>
      </c>
      <c r="I228" s="17">
        <v>20240</v>
      </c>
      <c r="J228" s="17" t="s">
        <v>54</v>
      </c>
      <c r="K228" s="17" t="s">
        <v>55</v>
      </c>
      <c r="L228" s="17" t="s">
        <v>20</v>
      </c>
      <c r="M228" s="17" t="s">
        <v>206</v>
      </c>
      <c r="N228" s="17" t="s">
        <v>20</v>
      </c>
      <c r="O228" s="17" t="s">
        <v>208</v>
      </c>
      <c r="P228" s="17" t="s">
        <v>20</v>
      </c>
      <c r="Q228" s="17" t="s">
        <v>82</v>
      </c>
      <c r="R228" s="17" t="s">
        <v>95</v>
      </c>
      <c r="S228" s="17" t="s">
        <v>509</v>
      </c>
      <c r="T228" s="17">
        <v>221</v>
      </c>
      <c r="U228" s="18">
        <v>0</v>
      </c>
      <c r="X228" s="17" t="s">
        <v>64</v>
      </c>
      <c r="Y228" s="17" t="s">
        <v>230</v>
      </c>
      <c r="Z228" s="17" t="s">
        <v>472</v>
      </c>
      <c r="AA228" s="28">
        <v>779963.75747800001</v>
      </c>
      <c r="AB228" s="28">
        <v>2421538.4357799999</v>
      </c>
    </row>
    <row r="229" spans="1:28">
      <c r="A229" s="17">
        <v>228</v>
      </c>
      <c r="B229" s="17">
        <v>624191</v>
      </c>
      <c r="C229" s="17" t="s">
        <v>1044</v>
      </c>
      <c r="D229" s="17" t="s">
        <v>52</v>
      </c>
      <c r="E229" s="17" t="s">
        <v>1621</v>
      </c>
      <c r="F229" s="17" t="s">
        <v>1064</v>
      </c>
      <c r="G229" s="17" t="s">
        <v>1089</v>
      </c>
      <c r="H229" s="17" t="s">
        <v>53</v>
      </c>
      <c r="I229" s="17">
        <v>20240</v>
      </c>
      <c r="J229" s="17" t="s">
        <v>54</v>
      </c>
      <c r="K229" s="17" t="s">
        <v>63</v>
      </c>
      <c r="L229" s="17" t="s">
        <v>56</v>
      </c>
      <c r="M229" s="17" t="s">
        <v>500</v>
      </c>
      <c r="N229" s="17" t="s">
        <v>58</v>
      </c>
      <c r="O229" s="17" t="s">
        <v>1622</v>
      </c>
      <c r="P229" s="17" t="s">
        <v>20</v>
      </c>
      <c r="Q229" s="17" t="s">
        <v>545</v>
      </c>
      <c r="R229" s="17" t="s">
        <v>20</v>
      </c>
      <c r="S229" s="17" t="s">
        <v>493</v>
      </c>
      <c r="T229" s="17">
        <v>1232</v>
      </c>
      <c r="U229" s="18">
        <v>0</v>
      </c>
      <c r="X229" s="17" t="s">
        <v>64</v>
      </c>
      <c r="Y229" s="17" t="s">
        <v>230</v>
      </c>
      <c r="Z229" s="17" t="s">
        <v>472</v>
      </c>
      <c r="AA229" s="28">
        <v>780610.07100400003</v>
      </c>
      <c r="AB229" s="28">
        <v>2421300.9720100001</v>
      </c>
    </row>
    <row r="230" spans="1:28">
      <c r="A230" s="17">
        <v>229</v>
      </c>
      <c r="B230" s="17">
        <v>624191</v>
      </c>
      <c r="C230" s="17" t="s">
        <v>1044</v>
      </c>
      <c r="D230" s="17" t="s">
        <v>52</v>
      </c>
      <c r="E230" s="17" t="s">
        <v>1623</v>
      </c>
      <c r="F230" s="17" t="s">
        <v>1064</v>
      </c>
      <c r="G230" s="17" t="s">
        <v>1624</v>
      </c>
      <c r="H230" s="17" t="s">
        <v>53</v>
      </c>
      <c r="I230" s="17">
        <v>20240</v>
      </c>
      <c r="J230" s="17" t="s">
        <v>54</v>
      </c>
      <c r="K230" s="17" t="s">
        <v>63</v>
      </c>
      <c r="L230" s="17" t="s">
        <v>20</v>
      </c>
      <c r="M230" s="17" t="s">
        <v>494</v>
      </c>
      <c r="N230" s="17" t="s">
        <v>20</v>
      </c>
      <c r="O230" s="17" t="s">
        <v>545</v>
      </c>
      <c r="P230" s="17" t="s">
        <v>20</v>
      </c>
      <c r="Q230" s="17" t="s">
        <v>562</v>
      </c>
      <c r="R230" s="17" t="s">
        <v>20</v>
      </c>
      <c r="S230" s="17" t="s">
        <v>493</v>
      </c>
      <c r="T230" s="17">
        <v>110</v>
      </c>
      <c r="U230" s="18">
        <v>0</v>
      </c>
      <c r="V230" s="17" t="s">
        <v>1625</v>
      </c>
      <c r="X230" s="17" t="s">
        <v>64</v>
      </c>
      <c r="Y230" s="17" t="s">
        <v>230</v>
      </c>
      <c r="Z230" s="17" t="s">
        <v>472</v>
      </c>
      <c r="AA230" s="28">
        <v>780575.15834900003</v>
      </c>
      <c r="AB230" s="28">
        <v>2421059.1377599998</v>
      </c>
    </row>
    <row r="231" spans="1:28">
      <c r="A231" s="17">
        <v>230</v>
      </c>
      <c r="B231" s="17">
        <v>624191</v>
      </c>
      <c r="C231" s="17" t="s">
        <v>1044</v>
      </c>
      <c r="D231" s="17" t="s">
        <v>52</v>
      </c>
      <c r="E231" s="17" t="s">
        <v>1626</v>
      </c>
      <c r="F231" s="17" t="s">
        <v>1064</v>
      </c>
      <c r="G231" s="17" t="s">
        <v>1627</v>
      </c>
      <c r="H231" s="17" t="s">
        <v>69</v>
      </c>
      <c r="I231" s="17">
        <v>20050</v>
      </c>
      <c r="J231" s="17" t="s">
        <v>54</v>
      </c>
      <c r="K231" s="17" t="s">
        <v>55</v>
      </c>
      <c r="L231" s="17" t="s">
        <v>20</v>
      </c>
      <c r="M231" s="17" t="s">
        <v>503</v>
      </c>
      <c r="N231" s="17" t="s">
        <v>20</v>
      </c>
      <c r="O231" s="17" t="s">
        <v>127</v>
      </c>
      <c r="P231" s="17" t="s">
        <v>20</v>
      </c>
      <c r="Q231" s="17" t="s">
        <v>504</v>
      </c>
      <c r="R231" s="17" t="s">
        <v>20</v>
      </c>
      <c r="S231" s="17" t="s">
        <v>502</v>
      </c>
      <c r="T231" s="17">
        <v>242</v>
      </c>
      <c r="U231" s="18">
        <v>0</v>
      </c>
      <c r="X231" s="17" t="s">
        <v>60</v>
      </c>
      <c r="Y231" s="17" t="s">
        <v>230</v>
      </c>
      <c r="Z231" s="17" t="s">
        <v>472</v>
      </c>
      <c r="AA231" s="28">
        <v>779098.1777</v>
      </c>
      <c r="AB231" s="28">
        <v>2423002.5751</v>
      </c>
    </row>
    <row r="232" spans="1:28">
      <c r="A232" s="17">
        <v>231</v>
      </c>
      <c r="B232" s="17">
        <v>624191</v>
      </c>
      <c r="C232" s="17" t="s">
        <v>1044</v>
      </c>
      <c r="D232" s="17" t="s">
        <v>52</v>
      </c>
      <c r="E232" s="17" t="s">
        <v>1628</v>
      </c>
      <c r="F232" s="17" t="s">
        <v>1064</v>
      </c>
      <c r="H232" s="17" t="s">
        <v>69</v>
      </c>
      <c r="I232" s="17">
        <v>20190</v>
      </c>
      <c r="J232" s="17" t="s">
        <v>54</v>
      </c>
      <c r="K232" s="17" t="s">
        <v>78</v>
      </c>
      <c r="L232" s="17" t="s">
        <v>20</v>
      </c>
      <c r="M232" s="17" t="s">
        <v>774</v>
      </c>
      <c r="N232" s="17" t="s">
        <v>56</v>
      </c>
      <c r="O232" s="17" t="s">
        <v>543</v>
      </c>
      <c r="P232" s="17" t="s">
        <v>20</v>
      </c>
      <c r="Q232" s="17" t="s">
        <v>474</v>
      </c>
      <c r="R232" s="17" t="s">
        <v>20</v>
      </c>
      <c r="S232" s="17" t="s">
        <v>474</v>
      </c>
      <c r="T232" s="17">
        <v>303</v>
      </c>
      <c r="U232" s="18">
        <v>0</v>
      </c>
      <c r="X232" s="17" t="s">
        <v>67</v>
      </c>
      <c r="Y232" s="17" t="s">
        <v>230</v>
      </c>
      <c r="Z232" s="17" t="s">
        <v>472</v>
      </c>
      <c r="AA232" s="28">
        <v>781944.66854600003</v>
      </c>
      <c r="AB232" s="28">
        <v>2422254.0019800002</v>
      </c>
    </row>
    <row r="233" spans="1:28">
      <c r="A233" s="17">
        <v>232</v>
      </c>
      <c r="B233" s="17">
        <v>624191</v>
      </c>
      <c r="C233" s="17" t="s">
        <v>1044</v>
      </c>
      <c r="D233" s="17" t="s">
        <v>52</v>
      </c>
      <c r="E233" s="17" t="s">
        <v>1629</v>
      </c>
      <c r="F233" s="17" t="s">
        <v>1064</v>
      </c>
      <c r="G233" s="17" t="s">
        <v>1383</v>
      </c>
      <c r="H233" s="17" t="s">
        <v>69</v>
      </c>
      <c r="I233" s="17">
        <v>20190</v>
      </c>
      <c r="J233" s="17" t="s">
        <v>54</v>
      </c>
      <c r="K233" s="17" t="s">
        <v>55</v>
      </c>
      <c r="L233" s="17" t="s">
        <v>56</v>
      </c>
      <c r="M233" s="17" t="s">
        <v>486</v>
      </c>
      <c r="N233" s="17" t="s">
        <v>20</v>
      </c>
      <c r="O233" s="17" t="s">
        <v>534</v>
      </c>
      <c r="P233" s="17" t="s">
        <v>20</v>
      </c>
      <c r="Q233" s="17" t="s">
        <v>535</v>
      </c>
      <c r="R233" s="17" t="s">
        <v>20</v>
      </c>
      <c r="S233" s="17" t="s">
        <v>535</v>
      </c>
      <c r="T233" s="17">
        <v>501</v>
      </c>
      <c r="U233" s="18">
        <v>0</v>
      </c>
      <c r="X233" s="17" t="s">
        <v>67</v>
      </c>
      <c r="Y233" s="17" t="s">
        <v>230</v>
      </c>
      <c r="Z233" s="17" t="s">
        <v>472</v>
      </c>
      <c r="AA233" s="28">
        <v>781389.09843799996</v>
      </c>
      <c r="AB233" s="28">
        <v>2422380.6487099999</v>
      </c>
    </row>
    <row r="234" spans="1:28">
      <c r="A234" s="17">
        <v>233</v>
      </c>
      <c r="B234" s="17">
        <v>624191</v>
      </c>
      <c r="C234" s="17" t="s">
        <v>1044</v>
      </c>
      <c r="D234" s="17" t="s">
        <v>52</v>
      </c>
      <c r="E234" s="17" t="s">
        <v>1630</v>
      </c>
      <c r="F234" s="17" t="s">
        <v>1064</v>
      </c>
      <c r="G234" s="17" t="s">
        <v>1631</v>
      </c>
      <c r="H234" s="17" t="s">
        <v>69</v>
      </c>
      <c r="I234" s="17">
        <v>20190</v>
      </c>
      <c r="J234" s="17" t="s">
        <v>54</v>
      </c>
      <c r="K234" s="17" t="s">
        <v>78</v>
      </c>
      <c r="L234" s="17" t="s">
        <v>20</v>
      </c>
      <c r="M234" s="17" t="s">
        <v>533</v>
      </c>
      <c r="N234" s="17" t="s">
        <v>20</v>
      </c>
      <c r="O234" s="17" t="s">
        <v>535</v>
      </c>
      <c r="P234" s="17" t="s">
        <v>20</v>
      </c>
      <c r="Q234" s="17" t="s">
        <v>475</v>
      </c>
      <c r="R234" s="17" t="s">
        <v>20</v>
      </c>
      <c r="S234" s="17" t="s">
        <v>534</v>
      </c>
      <c r="T234" s="17">
        <v>308</v>
      </c>
      <c r="U234" s="18">
        <v>0</v>
      </c>
      <c r="X234" s="17" t="s">
        <v>60</v>
      </c>
      <c r="Y234" s="17" t="s">
        <v>230</v>
      </c>
      <c r="Z234" s="17" t="s">
        <v>472</v>
      </c>
      <c r="AA234" s="28">
        <v>781458.64472800004</v>
      </c>
      <c r="AB234" s="28">
        <v>2422254.26828</v>
      </c>
    </row>
    <row r="235" spans="1:28">
      <c r="A235" s="17">
        <v>234</v>
      </c>
      <c r="B235" s="17">
        <v>624191</v>
      </c>
      <c r="C235" s="17" t="s">
        <v>1044</v>
      </c>
      <c r="D235" s="17" t="s">
        <v>52</v>
      </c>
      <c r="E235" s="17" t="s">
        <v>1632</v>
      </c>
      <c r="F235" s="17" t="s">
        <v>1064</v>
      </c>
      <c r="G235" s="17" t="s">
        <v>1633</v>
      </c>
      <c r="H235" s="17" t="s">
        <v>69</v>
      </c>
      <c r="I235" s="17">
        <v>20190</v>
      </c>
      <c r="J235" s="17" t="s">
        <v>54</v>
      </c>
      <c r="K235" s="17" t="s">
        <v>78</v>
      </c>
      <c r="L235" s="17" t="s">
        <v>56</v>
      </c>
      <c r="M235" s="17" t="s">
        <v>543</v>
      </c>
      <c r="N235" s="17" t="s">
        <v>20</v>
      </c>
      <c r="O235" s="17" t="s">
        <v>539</v>
      </c>
      <c r="P235" s="17" t="s">
        <v>20</v>
      </c>
      <c r="Q235" s="17" t="s">
        <v>473</v>
      </c>
      <c r="R235" s="17" t="s">
        <v>20</v>
      </c>
      <c r="S235" s="17" t="s">
        <v>473</v>
      </c>
      <c r="T235" s="17">
        <v>305</v>
      </c>
      <c r="U235" s="18">
        <v>0</v>
      </c>
      <c r="X235" s="17" t="s">
        <v>60</v>
      </c>
      <c r="Y235" s="17" t="s">
        <v>230</v>
      </c>
      <c r="Z235" s="17" t="s">
        <v>472</v>
      </c>
      <c r="AA235" s="28">
        <v>781859.20923100004</v>
      </c>
      <c r="AB235" s="28">
        <v>2422274.51235</v>
      </c>
    </row>
    <row r="236" spans="1:28">
      <c r="A236" s="17">
        <v>235</v>
      </c>
      <c r="B236" s="17">
        <v>624191</v>
      </c>
      <c r="C236" s="17" t="s">
        <v>1044</v>
      </c>
      <c r="D236" s="17" t="s">
        <v>52</v>
      </c>
      <c r="E236" s="17" t="s">
        <v>1634</v>
      </c>
      <c r="F236" s="17" t="s">
        <v>1064</v>
      </c>
      <c r="G236" s="17" t="s">
        <v>1635</v>
      </c>
      <c r="H236" s="17" t="s">
        <v>69</v>
      </c>
      <c r="I236" s="17">
        <v>20000</v>
      </c>
      <c r="J236" s="17" t="s">
        <v>54</v>
      </c>
      <c r="K236" s="17" t="s">
        <v>63</v>
      </c>
      <c r="L236" s="17" t="s">
        <v>56</v>
      </c>
      <c r="M236" s="17" t="s">
        <v>286</v>
      </c>
      <c r="N236" s="17" t="s">
        <v>20</v>
      </c>
      <c r="O236" s="17" t="s">
        <v>82</v>
      </c>
      <c r="P236" s="17" t="s">
        <v>20</v>
      </c>
      <c r="Q236" s="17" t="s">
        <v>522</v>
      </c>
      <c r="R236" s="17" t="s">
        <v>20</v>
      </c>
      <c r="S236" s="17" t="s">
        <v>484</v>
      </c>
      <c r="T236" s="17">
        <v>408</v>
      </c>
      <c r="U236" s="18">
        <v>0</v>
      </c>
      <c r="X236" s="17" t="s">
        <v>64</v>
      </c>
      <c r="Y236" s="17" t="s">
        <v>230</v>
      </c>
      <c r="Z236" s="17" t="s">
        <v>472</v>
      </c>
      <c r="AA236" s="28">
        <v>779913.01679699996</v>
      </c>
      <c r="AB236" s="28">
        <v>2421932.3506399998</v>
      </c>
    </row>
    <row r="237" spans="1:28">
      <c r="A237" s="17">
        <v>236</v>
      </c>
      <c r="B237" s="17">
        <v>624191</v>
      </c>
      <c r="C237" s="17" t="s">
        <v>1044</v>
      </c>
      <c r="D237" s="17" t="s">
        <v>52</v>
      </c>
      <c r="E237" s="17" t="s">
        <v>1636</v>
      </c>
      <c r="F237" s="17" t="s">
        <v>1064</v>
      </c>
      <c r="G237" s="17" t="s">
        <v>1383</v>
      </c>
      <c r="H237" s="17" t="s">
        <v>69</v>
      </c>
      <c r="I237" s="17">
        <v>20000</v>
      </c>
      <c r="J237" s="17" t="s">
        <v>54</v>
      </c>
      <c r="K237" s="17" t="s">
        <v>63</v>
      </c>
      <c r="L237" s="17" t="s">
        <v>20</v>
      </c>
      <c r="M237" s="17" t="s">
        <v>257</v>
      </c>
      <c r="N237" s="17" t="s">
        <v>20</v>
      </c>
      <c r="O237" s="17" t="s">
        <v>247</v>
      </c>
      <c r="P237" s="17" t="s">
        <v>20</v>
      </c>
      <c r="Q237" s="17" t="s">
        <v>1637</v>
      </c>
      <c r="R237" s="17" t="s">
        <v>20</v>
      </c>
      <c r="S237" s="17" t="s">
        <v>127</v>
      </c>
      <c r="T237" s="17">
        <v>0</v>
      </c>
      <c r="U237" s="18">
        <v>0</v>
      </c>
      <c r="X237" s="17" t="s">
        <v>64</v>
      </c>
      <c r="Y237" s="17" t="s">
        <v>230</v>
      </c>
      <c r="Z237" s="17" t="s">
        <v>472</v>
      </c>
      <c r="AA237" s="28">
        <v>779248.84901200002</v>
      </c>
      <c r="AB237" s="28">
        <v>2423158.8439500001</v>
      </c>
    </row>
    <row r="238" spans="1:28">
      <c r="A238" s="17">
        <v>237</v>
      </c>
      <c r="B238" s="17">
        <v>624191</v>
      </c>
      <c r="C238" s="17" t="s">
        <v>1044</v>
      </c>
      <c r="D238" s="17" t="s">
        <v>52</v>
      </c>
      <c r="E238" s="17" t="s">
        <v>1638</v>
      </c>
      <c r="F238" s="17" t="s">
        <v>1064</v>
      </c>
      <c r="G238" s="17" t="s">
        <v>1639</v>
      </c>
      <c r="H238" s="17" t="s">
        <v>69</v>
      </c>
      <c r="I238" s="17">
        <v>20000</v>
      </c>
      <c r="J238" s="17" t="s">
        <v>54</v>
      </c>
      <c r="K238" s="17" t="s">
        <v>78</v>
      </c>
      <c r="L238" s="17" t="s">
        <v>20</v>
      </c>
      <c r="M238" s="17" t="s">
        <v>505</v>
      </c>
      <c r="N238" s="17" t="s">
        <v>20</v>
      </c>
      <c r="O238" s="17" t="s">
        <v>208</v>
      </c>
      <c r="P238" s="17" t="s">
        <v>20</v>
      </c>
      <c r="Q238" s="17" t="s">
        <v>527</v>
      </c>
      <c r="R238" s="17" t="s">
        <v>20</v>
      </c>
      <c r="S238" s="17" t="s">
        <v>484</v>
      </c>
      <c r="T238" s="17">
        <v>457</v>
      </c>
      <c r="U238" s="18">
        <v>4491714021</v>
      </c>
      <c r="X238" s="17" t="s">
        <v>67</v>
      </c>
      <c r="Y238" s="17" t="s">
        <v>230</v>
      </c>
      <c r="Z238" s="17" t="s">
        <v>472</v>
      </c>
      <c r="AA238" s="28">
        <v>780166.16281000001</v>
      </c>
      <c r="AB238" s="28">
        <v>2422233.1746800002</v>
      </c>
    </row>
    <row r="239" spans="1:28">
      <c r="A239" s="17">
        <v>238</v>
      </c>
      <c r="B239" s="17">
        <v>624191</v>
      </c>
      <c r="C239" s="17" t="s">
        <v>1044</v>
      </c>
      <c r="D239" s="17" t="s">
        <v>52</v>
      </c>
      <c r="E239" s="17" t="s">
        <v>1640</v>
      </c>
      <c r="F239" s="17" t="s">
        <v>1064</v>
      </c>
      <c r="H239" s="17" t="s">
        <v>69</v>
      </c>
      <c r="I239" s="17">
        <v>20000</v>
      </c>
      <c r="J239" s="17" t="s">
        <v>54</v>
      </c>
      <c r="K239" s="17" t="s">
        <v>55</v>
      </c>
      <c r="L239" s="17" t="s">
        <v>20</v>
      </c>
      <c r="M239" s="17" t="s">
        <v>481</v>
      </c>
      <c r="N239" s="17" t="s">
        <v>20</v>
      </c>
      <c r="O239" s="17" t="s">
        <v>550</v>
      </c>
      <c r="P239" s="17" t="s">
        <v>58</v>
      </c>
      <c r="Q239" s="17" t="s">
        <v>556</v>
      </c>
      <c r="R239" s="17" t="s">
        <v>20</v>
      </c>
      <c r="S239" s="17" t="s">
        <v>550</v>
      </c>
      <c r="T239" s="17">
        <v>244</v>
      </c>
      <c r="U239" s="18">
        <v>0</v>
      </c>
      <c r="X239" s="17" t="s">
        <v>60</v>
      </c>
      <c r="Y239" s="17" t="s">
        <v>230</v>
      </c>
      <c r="Z239" s="17" t="s">
        <v>472</v>
      </c>
      <c r="AA239" s="28">
        <v>779822.427272</v>
      </c>
      <c r="AB239" s="28">
        <v>2422578.3167099999</v>
      </c>
    </row>
    <row r="240" spans="1:28">
      <c r="A240" s="17">
        <v>239</v>
      </c>
      <c r="B240" s="17">
        <v>624191</v>
      </c>
      <c r="C240" s="17" t="s">
        <v>1044</v>
      </c>
      <c r="D240" s="17" t="s">
        <v>52</v>
      </c>
      <c r="E240" s="17" t="s">
        <v>1641</v>
      </c>
      <c r="F240" s="17" t="s">
        <v>1064</v>
      </c>
      <c r="G240" s="17" t="s">
        <v>1642</v>
      </c>
      <c r="H240" s="17" t="s">
        <v>69</v>
      </c>
      <c r="I240" s="17">
        <v>20000</v>
      </c>
      <c r="J240" s="17" t="s">
        <v>54</v>
      </c>
      <c r="K240" s="17" t="s">
        <v>78</v>
      </c>
      <c r="L240" s="17" t="s">
        <v>20</v>
      </c>
      <c r="M240" s="17" t="s">
        <v>506</v>
      </c>
      <c r="N240" s="17" t="s">
        <v>58</v>
      </c>
      <c r="O240" s="17" t="s">
        <v>507</v>
      </c>
      <c r="P240" s="17" t="s">
        <v>20</v>
      </c>
      <c r="Q240" s="17" t="s">
        <v>523</v>
      </c>
      <c r="R240" s="17" t="s">
        <v>20</v>
      </c>
      <c r="S240" s="17" t="s">
        <v>524</v>
      </c>
      <c r="T240" s="17">
        <v>222</v>
      </c>
      <c r="U240" s="18">
        <v>0</v>
      </c>
      <c r="X240" s="17" t="s">
        <v>64</v>
      </c>
      <c r="Y240" s="17" t="s">
        <v>230</v>
      </c>
      <c r="Z240" s="17" t="s">
        <v>472</v>
      </c>
      <c r="AA240" s="28">
        <v>780192.36510199995</v>
      </c>
      <c r="AB240" s="28">
        <v>2422491.8300999999</v>
      </c>
    </row>
    <row r="241" spans="1:28">
      <c r="A241" s="17">
        <v>240</v>
      </c>
      <c r="B241" s="17">
        <v>624191</v>
      </c>
      <c r="C241" s="17" t="s">
        <v>1044</v>
      </c>
      <c r="D241" s="17" t="s">
        <v>52</v>
      </c>
      <c r="E241" s="17" t="s">
        <v>1643</v>
      </c>
      <c r="F241" s="17" t="s">
        <v>1064</v>
      </c>
      <c r="G241" s="17" t="s">
        <v>1644</v>
      </c>
      <c r="H241" s="17" t="s">
        <v>69</v>
      </c>
      <c r="I241" s="17">
        <v>20000</v>
      </c>
      <c r="J241" s="17" t="s">
        <v>54</v>
      </c>
      <c r="K241" s="17" t="s">
        <v>78</v>
      </c>
      <c r="L241" s="17" t="s">
        <v>20</v>
      </c>
      <c r="M241" s="17" t="s">
        <v>529</v>
      </c>
      <c r="N241" s="17" t="s">
        <v>20</v>
      </c>
      <c r="O241" s="17" t="s">
        <v>481</v>
      </c>
      <c r="P241" s="17" t="s">
        <v>20</v>
      </c>
      <c r="Q241" s="17" t="s">
        <v>525</v>
      </c>
      <c r="R241" s="17" t="s">
        <v>20</v>
      </c>
      <c r="S241" s="17" t="s">
        <v>242</v>
      </c>
      <c r="T241" s="17">
        <v>103</v>
      </c>
      <c r="U241" s="18">
        <v>0</v>
      </c>
      <c r="X241" s="17" t="s">
        <v>60</v>
      </c>
      <c r="Y241" s="17" t="s">
        <v>230</v>
      </c>
      <c r="Z241" s="17" t="s">
        <v>472</v>
      </c>
      <c r="AA241" s="28">
        <v>779681.65851099999</v>
      </c>
      <c r="AB241" s="28">
        <v>2422419.4390400001</v>
      </c>
    </row>
    <row r="242" spans="1:28">
      <c r="A242" s="17">
        <v>241</v>
      </c>
      <c r="B242" s="17">
        <v>624191</v>
      </c>
      <c r="C242" s="17" t="s">
        <v>1044</v>
      </c>
      <c r="D242" s="17" t="s">
        <v>52</v>
      </c>
      <c r="E242" s="17" t="s">
        <v>1645</v>
      </c>
      <c r="F242" s="17" t="s">
        <v>1064</v>
      </c>
      <c r="G242" s="17" t="s">
        <v>1646</v>
      </c>
      <c r="H242" s="17" t="s">
        <v>69</v>
      </c>
      <c r="I242" s="17">
        <v>20000</v>
      </c>
      <c r="J242" s="17" t="s">
        <v>54</v>
      </c>
      <c r="K242" s="17" t="s">
        <v>55</v>
      </c>
      <c r="L242" s="17" t="s">
        <v>20</v>
      </c>
      <c r="M242" s="17" t="s">
        <v>484</v>
      </c>
      <c r="N242" s="17" t="s">
        <v>20</v>
      </c>
      <c r="O242" s="17" t="s">
        <v>82</v>
      </c>
      <c r="P242" s="17" t="s">
        <v>20</v>
      </c>
      <c r="Q242" s="17" t="s">
        <v>386</v>
      </c>
      <c r="R242" s="17" t="s">
        <v>20</v>
      </c>
      <c r="S242" s="17" t="s">
        <v>505</v>
      </c>
      <c r="T242" s="17">
        <v>312</v>
      </c>
      <c r="U242" s="18">
        <v>0</v>
      </c>
      <c r="V242" s="17" t="s">
        <v>1647</v>
      </c>
      <c r="W242" s="17" t="s">
        <v>1648</v>
      </c>
      <c r="X242" s="17" t="s">
        <v>64</v>
      </c>
      <c r="Y242" s="17" t="s">
        <v>230</v>
      </c>
      <c r="Z242" s="17" t="s">
        <v>472</v>
      </c>
      <c r="AA242" s="28">
        <v>779671.92149400001</v>
      </c>
      <c r="AB242" s="28">
        <v>2421972.7132100002</v>
      </c>
    </row>
    <row r="243" spans="1:28">
      <c r="A243" s="17">
        <v>242</v>
      </c>
      <c r="B243" s="17">
        <v>624191</v>
      </c>
      <c r="C243" s="17" t="s">
        <v>1044</v>
      </c>
      <c r="D243" s="17" t="s">
        <v>52</v>
      </c>
      <c r="E243" s="17" t="s">
        <v>1649</v>
      </c>
      <c r="F243" s="17" t="s">
        <v>1064</v>
      </c>
      <c r="G243" s="17" t="s">
        <v>1644</v>
      </c>
      <c r="H243" s="17" t="s">
        <v>69</v>
      </c>
      <c r="I243" s="17">
        <v>20000</v>
      </c>
      <c r="J243" s="17" t="s">
        <v>54</v>
      </c>
      <c r="K243" s="17" t="s">
        <v>78</v>
      </c>
      <c r="L243" s="17" t="s">
        <v>20</v>
      </c>
      <c r="M243" s="17" t="s">
        <v>529</v>
      </c>
      <c r="N243" s="17" t="s">
        <v>20</v>
      </c>
      <c r="O243" s="17" t="s">
        <v>481</v>
      </c>
      <c r="P243" s="17" t="s">
        <v>20</v>
      </c>
      <c r="Q243" s="17" t="s">
        <v>525</v>
      </c>
      <c r="R243" s="17" t="s">
        <v>20</v>
      </c>
      <c r="S243" s="17" t="s">
        <v>242</v>
      </c>
      <c r="T243" s="17">
        <v>103</v>
      </c>
      <c r="U243" s="18">
        <v>4491707999</v>
      </c>
      <c r="V243" s="17" t="s">
        <v>1650</v>
      </c>
      <c r="X243" s="17" t="s">
        <v>67</v>
      </c>
      <c r="Y243" s="17" t="s">
        <v>230</v>
      </c>
      <c r="Z243" s="17" t="s">
        <v>472</v>
      </c>
      <c r="AA243" s="28">
        <v>779681.65851099999</v>
      </c>
      <c r="AB243" s="28">
        <v>2422419.4390400001</v>
      </c>
    </row>
    <row r="244" spans="1:28">
      <c r="A244" s="17">
        <v>243</v>
      </c>
      <c r="B244" s="17">
        <v>624191</v>
      </c>
      <c r="C244" s="17" t="s">
        <v>1044</v>
      </c>
      <c r="D244" s="17" t="s">
        <v>52</v>
      </c>
      <c r="E244" s="17" t="s">
        <v>1651</v>
      </c>
      <c r="F244" s="17" t="s">
        <v>1064</v>
      </c>
      <c r="G244" s="17" t="s">
        <v>1652</v>
      </c>
      <c r="H244" s="17" t="s">
        <v>104</v>
      </c>
      <c r="I244" s="17">
        <v>20240</v>
      </c>
      <c r="J244" s="17" t="s">
        <v>54</v>
      </c>
      <c r="K244" s="17" t="s">
        <v>63</v>
      </c>
      <c r="L244" s="17" t="s">
        <v>20</v>
      </c>
      <c r="M244" s="17" t="s">
        <v>490</v>
      </c>
      <c r="N244" s="17" t="s">
        <v>56</v>
      </c>
      <c r="O244" s="17" t="s">
        <v>387</v>
      </c>
      <c r="P244" s="17" t="s">
        <v>20</v>
      </c>
      <c r="Q244" s="17" t="s">
        <v>492</v>
      </c>
      <c r="R244" s="17" t="s">
        <v>56</v>
      </c>
      <c r="S244" s="17" t="s">
        <v>387</v>
      </c>
      <c r="T244" s="17">
        <v>113</v>
      </c>
      <c r="U244" s="18">
        <v>0</v>
      </c>
      <c r="X244" s="17" t="s">
        <v>60</v>
      </c>
      <c r="Y244" s="17" t="s">
        <v>230</v>
      </c>
      <c r="Z244" s="17" t="s">
        <v>472</v>
      </c>
      <c r="AA244" s="28">
        <v>780436.75334499998</v>
      </c>
      <c r="AB244" s="28">
        <v>2420883.26376</v>
      </c>
    </row>
    <row r="245" spans="1:28">
      <c r="A245" s="17">
        <v>244</v>
      </c>
      <c r="B245" s="17">
        <v>624191</v>
      </c>
      <c r="C245" s="17" t="s">
        <v>1044</v>
      </c>
      <c r="D245" s="17" t="s">
        <v>52</v>
      </c>
      <c r="E245" s="17" t="s">
        <v>1653</v>
      </c>
      <c r="F245" s="17" t="s">
        <v>1064</v>
      </c>
      <c r="G245" s="17" t="s">
        <v>1089</v>
      </c>
      <c r="H245" s="17" t="s">
        <v>104</v>
      </c>
      <c r="I245" s="17">
        <v>20240</v>
      </c>
      <c r="J245" s="17" t="s">
        <v>54</v>
      </c>
      <c r="K245" s="17" t="s">
        <v>55</v>
      </c>
      <c r="L245" s="17" t="s">
        <v>20</v>
      </c>
      <c r="M245" s="17" t="s">
        <v>208</v>
      </c>
      <c r="N245" s="17" t="s">
        <v>58</v>
      </c>
      <c r="O245" s="17" t="s">
        <v>59</v>
      </c>
      <c r="P245" s="17" t="s">
        <v>56</v>
      </c>
      <c r="Q245" s="17" t="s">
        <v>387</v>
      </c>
      <c r="R245" s="17" t="s">
        <v>20</v>
      </c>
      <c r="S245" s="17" t="s">
        <v>1654</v>
      </c>
      <c r="T245" s="17">
        <v>645</v>
      </c>
      <c r="U245" s="18">
        <v>4491184928</v>
      </c>
      <c r="X245" s="17" t="s">
        <v>67</v>
      </c>
      <c r="Y245" s="17" t="s">
        <v>230</v>
      </c>
      <c r="Z245" s="17" t="s">
        <v>472</v>
      </c>
      <c r="AA245" s="28">
        <v>780314.57717499998</v>
      </c>
      <c r="AB245" s="28">
        <v>2420987.5214499999</v>
      </c>
    </row>
    <row r="246" spans="1:28">
      <c r="A246" s="17">
        <v>245</v>
      </c>
      <c r="B246" s="17">
        <v>624191</v>
      </c>
      <c r="C246" s="17" t="s">
        <v>1044</v>
      </c>
      <c r="D246" s="17" t="s">
        <v>52</v>
      </c>
      <c r="E246" s="17" t="s">
        <v>1655</v>
      </c>
      <c r="F246" s="17" t="s">
        <v>1064</v>
      </c>
      <c r="G246" s="17" t="s">
        <v>1656</v>
      </c>
      <c r="H246" s="17" t="s">
        <v>104</v>
      </c>
      <c r="I246" s="17">
        <v>20050</v>
      </c>
      <c r="J246" s="17" t="s">
        <v>54</v>
      </c>
      <c r="K246" s="17" t="s">
        <v>55</v>
      </c>
      <c r="L246" s="17" t="s">
        <v>20</v>
      </c>
      <c r="M246" s="17" t="s">
        <v>248</v>
      </c>
      <c r="N246" s="17" t="s">
        <v>20</v>
      </c>
      <c r="O246" s="17" t="s">
        <v>261</v>
      </c>
      <c r="P246" s="17" t="s">
        <v>20</v>
      </c>
      <c r="Q246" s="17" t="s">
        <v>252</v>
      </c>
      <c r="R246" s="17" t="s">
        <v>20</v>
      </c>
      <c r="S246" s="17" t="s">
        <v>1657</v>
      </c>
      <c r="T246" s="17">
        <v>162</v>
      </c>
      <c r="U246" s="18">
        <v>0</v>
      </c>
      <c r="X246" s="17" t="s">
        <v>67</v>
      </c>
      <c r="Y246" s="17" t="s">
        <v>230</v>
      </c>
      <c r="Z246" s="17" t="s">
        <v>472</v>
      </c>
      <c r="AA246" s="28">
        <v>780001.85537100001</v>
      </c>
      <c r="AB246" s="28">
        <v>2423162.93695</v>
      </c>
    </row>
    <row r="247" spans="1:28">
      <c r="A247" s="17">
        <v>246</v>
      </c>
      <c r="B247" s="17">
        <v>812310</v>
      </c>
      <c r="C247" s="17" t="s">
        <v>1044</v>
      </c>
      <c r="D247" s="17" t="s">
        <v>52</v>
      </c>
      <c r="E247" s="17" t="s">
        <v>1658</v>
      </c>
      <c r="F247" s="17" t="s">
        <v>1057</v>
      </c>
      <c r="H247" s="17" t="s">
        <v>53</v>
      </c>
      <c r="I247" s="17">
        <v>20259</v>
      </c>
      <c r="J247" s="17" t="s">
        <v>54</v>
      </c>
      <c r="K247" s="17" t="s">
        <v>55</v>
      </c>
      <c r="L247" s="17" t="s">
        <v>56</v>
      </c>
      <c r="M247" s="17" t="s">
        <v>486</v>
      </c>
      <c r="N247" s="17" t="s">
        <v>20</v>
      </c>
      <c r="O247" s="17" t="s">
        <v>548</v>
      </c>
      <c r="P247" s="17" t="s">
        <v>56</v>
      </c>
      <c r="Q247" s="17" t="s">
        <v>296</v>
      </c>
      <c r="R247" s="17" t="s">
        <v>20</v>
      </c>
      <c r="S247" s="17" t="s">
        <v>549</v>
      </c>
      <c r="T247" s="17">
        <v>331</v>
      </c>
      <c r="U247" s="18">
        <v>4499407546</v>
      </c>
      <c r="V247" s="17" t="s">
        <v>1659</v>
      </c>
      <c r="X247" s="17" t="s">
        <v>67</v>
      </c>
      <c r="Y247" s="17" t="s">
        <v>230</v>
      </c>
      <c r="Z247" s="17" t="s">
        <v>472</v>
      </c>
      <c r="AA247" s="28">
        <v>781143.08281699999</v>
      </c>
      <c r="AB247" s="28">
        <v>2422348.2067800001</v>
      </c>
    </row>
    <row r="248" spans="1:28">
      <c r="A248" s="17">
        <v>247</v>
      </c>
      <c r="B248" s="17">
        <v>812310</v>
      </c>
      <c r="C248" s="17" t="s">
        <v>1044</v>
      </c>
      <c r="D248" s="17" t="s">
        <v>52</v>
      </c>
      <c r="E248" s="17" t="s">
        <v>811</v>
      </c>
      <c r="F248" s="17" t="s">
        <v>1057</v>
      </c>
      <c r="G248" s="17" t="s">
        <v>1660</v>
      </c>
      <c r="H248" s="17" t="s">
        <v>69</v>
      </c>
      <c r="I248" s="17">
        <v>20000</v>
      </c>
      <c r="J248" s="17" t="s">
        <v>54</v>
      </c>
      <c r="K248" s="17" t="s">
        <v>63</v>
      </c>
      <c r="L248" s="17" t="s">
        <v>20</v>
      </c>
      <c r="M248" s="17" t="s">
        <v>480</v>
      </c>
      <c r="N248" s="17" t="s">
        <v>20</v>
      </c>
      <c r="O248" s="17" t="s">
        <v>1661</v>
      </c>
      <c r="P248" s="17" t="s">
        <v>58</v>
      </c>
      <c r="Q248" s="17" t="s">
        <v>1662</v>
      </c>
      <c r="R248" s="17" t="s">
        <v>20</v>
      </c>
      <c r="S248" s="17" t="s">
        <v>1663</v>
      </c>
      <c r="T248" s="17">
        <v>101</v>
      </c>
      <c r="U248" s="18">
        <v>0</v>
      </c>
      <c r="V248" s="17" t="s">
        <v>1664</v>
      </c>
      <c r="W248" s="17" t="s">
        <v>1665</v>
      </c>
      <c r="X248" s="17" t="s">
        <v>67</v>
      </c>
      <c r="Y248" s="17" t="s">
        <v>230</v>
      </c>
      <c r="Z248" s="17" t="s">
        <v>472</v>
      </c>
      <c r="AA248" s="28">
        <v>779998.97978000005</v>
      </c>
      <c r="AB248" s="28">
        <v>2422660.5491300002</v>
      </c>
    </row>
    <row r="249" spans="1:28">
      <c r="A249" s="17">
        <v>248</v>
      </c>
      <c r="B249" s="17">
        <v>812310</v>
      </c>
      <c r="C249" s="17" t="s">
        <v>1044</v>
      </c>
      <c r="D249" s="17" t="s">
        <v>52</v>
      </c>
      <c r="E249" s="17" t="s">
        <v>1666</v>
      </c>
      <c r="F249" s="17" t="s">
        <v>1057</v>
      </c>
      <c r="G249" s="17" t="s">
        <v>1667</v>
      </c>
      <c r="H249" s="17" t="s">
        <v>104</v>
      </c>
      <c r="I249" s="17">
        <v>20249</v>
      </c>
      <c r="J249" s="17" t="s">
        <v>54</v>
      </c>
      <c r="K249" s="17" t="s">
        <v>63</v>
      </c>
      <c r="L249" s="17" t="s">
        <v>56</v>
      </c>
      <c r="M249" s="17" t="s">
        <v>286</v>
      </c>
      <c r="N249" s="17" t="s">
        <v>20</v>
      </c>
      <c r="O249" s="17" t="s">
        <v>476</v>
      </c>
      <c r="P249" s="17" t="s">
        <v>20</v>
      </c>
      <c r="Q249" s="17" t="s">
        <v>477</v>
      </c>
      <c r="R249" s="17" t="s">
        <v>20</v>
      </c>
      <c r="S249" s="17" t="s">
        <v>478</v>
      </c>
      <c r="T249" s="17">
        <v>827</v>
      </c>
      <c r="U249" s="18">
        <v>0</v>
      </c>
      <c r="V249" s="17" t="s">
        <v>1668</v>
      </c>
      <c r="W249" s="17" t="s">
        <v>1669</v>
      </c>
      <c r="X249" s="17" t="s">
        <v>60</v>
      </c>
      <c r="Y249" s="17" t="s">
        <v>230</v>
      </c>
      <c r="Z249" s="17" t="s">
        <v>472</v>
      </c>
      <c r="AA249" s="28">
        <v>780772.99823899998</v>
      </c>
      <c r="AB249" s="28">
        <v>2421880.7504099999</v>
      </c>
    </row>
    <row r="250" spans="1:28">
      <c r="A250" s="17">
        <v>249</v>
      </c>
      <c r="B250" s="17">
        <v>813110</v>
      </c>
      <c r="C250" s="17" t="s">
        <v>1044</v>
      </c>
      <c r="D250" s="17" t="s">
        <v>52</v>
      </c>
      <c r="E250" s="17" t="s">
        <v>1670</v>
      </c>
      <c r="F250" s="17" t="s">
        <v>1069</v>
      </c>
      <c r="G250" s="17" t="s">
        <v>1671</v>
      </c>
      <c r="H250" s="17" t="s">
        <v>53</v>
      </c>
      <c r="I250" s="17">
        <v>20259</v>
      </c>
      <c r="J250" s="17" t="s">
        <v>54</v>
      </c>
      <c r="K250" s="17" t="s">
        <v>55</v>
      </c>
      <c r="L250" s="17" t="s">
        <v>20</v>
      </c>
      <c r="M250" s="17" t="s">
        <v>487</v>
      </c>
      <c r="N250" s="17" t="s">
        <v>20</v>
      </c>
      <c r="O250" s="17" t="s">
        <v>532</v>
      </c>
      <c r="P250" s="17" t="s">
        <v>56</v>
      </c>
      <c r="Q250" s="17" t="s">
        <v>227</v>
      </c>
      <c r="R250" s="17" t="s">
        <v>20</v>
      </c>
      <c r="S250" s="17" t="s">
        <v>1672</v>
      </c>
      <c r="T250" s="17">
        <v>120</v>
      </c>
      <c r="U250" s="18">
        <v>4492637018</v>
      </c>
      <c r="X250" s="17" t="s">
        <v>64</v>
      </c>
      <c r="Y250" s="17" t="s">
        <v>230</v>
      </c>
      <c r="Z250" s="17" t="s">
        <v>472</v>
      </c>
      <c r="AA250" s="28">
        <v>780762.33002999995</v>
      </c>
      <c r="AB250" s="28">
        <v>2422375.2267399998</v>
      </c>
    </row>
    <row r="251" spans="1:28">
      <c r="A251" s="17">
        <v>250</v>
      </c>
      <c r="B251" s="17">
        <v>813110</v>
      </c>
      <c r="C251" s="17" t="s">
        <v>1044</v>
      </c>
      <c r="D251" s="17" t="s">
        <v>52</v>
      </c>
      <c r="E251" s="17" t="s">
        <v>1673</v>
      </c>
      <c r="F251" s="17" t="s">
        <v>1069</v>
      </c>
      <c r="G251" s="17" t="s">
        <v>1674</v>
      </c>
      <c r="H251" s="17" t="s">
        <v>53</v>
      </c>
      <c r="I251" s="17">
        <v>20259</v>
      </c>
      <c r="J251" s="17" t="s">
        <v>54</v>
      </c>
      <c r="K251" s="17" t="s">
        <v>63</v>
      </c>
      <c r="L251" s="17" t="s">
        <v>20</v>
      </c>
      <c r="M251" s="17" t="s">
        <v>510</v>
      </c>
      <c r="N251" s="17" t="s">
        <v>58</v>
      </c>
      <c r="O251" s="17" t="s">
        <v>1675</v>
      </c>
      <c r="P251" s="17" t="s">
        <v>20</v>
      </c>
      <c r="Q251" s="17" t="s">
        <v>525</v>
      </c>
      <c r="R251" s="17" t="s">
        <v>20</v>
      </c>
      <c r="S251" s="17" t="s">
        <v>536</v>
      </c>
      <c r="T251" s="17">
        <v>407</v>
      </c>
      <c r="U251" s="18">
        <v>4491558454</v>
      </c>
      <c r="V251" s="17" t="s">
        <v>1676</v>
      </c>
      <c r="X251" s="17" t="s">
        <v>67</v>
      </c>
      <c r="Y251" s="17" t="s">
        <v>230</v>
      </c>
      <c r="Z251" s="17" t="s">
        <v>472</v>
      </c>
      <c r="AA251" s="28">
        <v>780377.21458899998</v>
      </c>
      <c r="AB251" s="28">
        <v>2422674.23642</v>
      </c>
    </row>
    <row r="252" spans="1:28">
      <c r="A252" s="17">
        <v>251</v>
      </c>
      <c r="B252" s="17">
        <v>813110</v>
      </c>
      <c r="C252" s="17" t="s">
        <v>1044</v>
      </c>
      <c r="D252" s="17" t="s">
        <v>52</v>
      </c>
      <c r="E252" s="17" t="s">
        <v>1677</v>
      </c>
      <c r="F252" s="17" t="s">
        <v>1069</v>
      </c>
      <c r="G252" s="17" t="s">
        <v>1678</v>
      </c>
      <c r="H252" s="17" t="s">
        <v>53</v>
      </c>
      <c r="I252" s="17">
        <v>20259</v>
      </c>
      <c r="J252" s="17" t="s">
        <v>54</v>
      </c>
      <c r="K252" s="17" t="s">
        <v>55</v>
      </c>
      <c r="L252" s="17" t="s">
        <v>20</v>
      </c>
      <c r="M252" s="17" t="s">
        <v>515</v>
      </c>
      <c r="N252" s="17" t="s">
        <v>20</v>
      </c>
      <c r="O252" s="17" t="s">
        <v>477</v>
      </c>
      <c r="P252" s="17" t="s">
        <v>56</v>
      </c>
      <c r="Q252" s="17" t="s">
        <v>227</v>
      </c>
      <c r="R252" s="17" t="s">
        <v>56</v>
      </c>
      <c r="S252" s="17" t="s">
        <v>286</v>
      </c>
      <c r="T252" s="17">
        <v>104</v>
      </c>
      <c r="U252" s="18">
        <v>0</v>
      </c>
      <c r="X252" s="17" t="s">
        <v>64</v>
      </c>
      <c r="Y252" s="17" t="s">
        <v>230</v>
      </c>
      <c r="Z252" s="17" t="s">
        <v>472</v>
      </c>
      <c r="AA252" s="28">
        <v>780686.72842900001</v>
      </c>
      <c r="AB252" s="28">
        <v>2422132.0944400001</v>
      </c>
    </row>
    <row r="253" spans="1:28">
      <c r="A253" s="17">
        <v>252</v>
      </c>
      <c r="B253" s="17">
        <v>813110</v>
      </c>
      <c r="C253" s="17" t="s">
        <v>1044</v>
      </c>
      <c r="D253" s="17" t="s">
        <v>52</v>
      </c>
      <c r="E253" s="17" t="s">
        <v>1679</v>
      </c>
      <c r="F253" s="17" t="s">
        <v>1069</v>
      </c>
      <c r="G253" s="17" t="s">
        <v>1680</v>
      </c>
      <c r="H253" s="17" t="s">
        <v>69</v>
      </c>
      <c r="I253" s="17">
        <v>20000</v>
      </c>
      <c r="J253" s="17" t="s">
        <v>54</v>
      </c>
      <c r="K253" s="17" t="s">
        <v>55</v>
      </c>
      <c r="L253" s="17" t="s">
        <v>56</v>
      </c>
      <c r="M253" s="17" t="s">
        <v>286</v>
      </c>
      <c r="N253" s="17" t="s">
        <v>20</v>
      </c>
      <c r="O253" s="17" t="s">
        <v>208</v>
      </c>
      <c r="P253" s="17" t="s">
        <v>20</v>
      </c>
      <c r="Q253" s="17" t="s">
        <v>313</v>
      </c>
      <c r="R253" s="17" t="s">
        <v>20</v>
      </c>
      <c r="S253" s="17" t="s">
        <v>1025</v>
      </c>
      <c r="T253" s="17">
        <v>520</v>
      </c>
      <c r="U253" s="18">
        <v>4491759235</v>
      </c>
      <c r="X253" s="17" t="s">
        <v>64</v>
      </c>
      <c r="Y253" s="17" t="s">
        <v>230</v>
      </c>
      <c r="Z253" s="17" t="s">
        <v>472</v>
      </c>
      <c r="AA253" s="28">
        <v>780298.11219300004</v>
      </c>
      <c r="AB253" s="28">
        <v>2421944.5824000002</v>
      </c>
    </row>
    <row r="254" spans="1:28">
      <c r="A254" s="17">
        <v>253</v>
      </c>
      <c r="B254" s="17">
        <v>813110</v>
      </c>
      <c r="C254" s="17" t="s">
        <v>1044</v>
      </c>
      <c r="D254" s="17" t="s">
        <v>52</v>
      </c>
      <c r="E254" s="17" t="s">
        <v>1681</v>
      </c>
      <c r="F254" s="17" t="s">
        <v>1069</v>
      </c>
      <c r="G254" s="17" t="s">
        <v>1682</v>
      </c>
      <c r="H254" s="17" t="s">
        <v>104</v>
      </c>
      <c r="I254" s="17">
        <v>20000</v>
      </c>
      <c r="J254" s="17" t="s">
        <v>54</v>
      </c>
      <c r="K254" s="17" t="s">
        <v>55</v>
      </c>
      <c r="L254" s="17" t="s">
        <v>20</v>
      </c>
      <c r="M254" s="17" t="s">
        <v>516</v>
      </c>
      <c r="N254" s="17" t="s">
        <v>20</v>
      </c>
      <c r="O254" s="17" t="s">
        <v>477</v>
      </c>
      <c r="P254" s="17" t="s">
        <v>56</v>
      </c>
      <c r="Q254" s="17" t="s">
        <v>467</v>
      </c>
      <c r="R254" s="17" t="s">
        <v>142</v>
      </c>
      <c r="S254" s="17" t="s">
        <v>68</v>
      </c>
      <c r="T254" s="17">
        <v>113</v>
      </c>
      <c r="U254" s="18">
        <v>0</v>
      </c>
      <c r="V254" s="17" t="s">
        <v>1683</v>
      </c>
      <c r="X254" s="17" t="s">
        <v>64</v>
      </c>
      <c r="Y254" s="17" t="s">
        <v>230</v>
      </c>
      <c r="Z254" s="17" t="s">
        <v>472</v>
      </c>
      <c r="AA254" s="28">
        <v>780830.52224099997</v>
      </c>
      <c r="AB254" s="28">
        <v>2421635.3406199999</v>
      </c>
    </row>
    <row r="255" spans="1:28">
      <c r="A255" s="17">
        <v>254</v>
      </c>
      <c r="B255" s="17">
        <v>813120</v>
      </c>
      <c r="C255" s="17" t="s">
        <v>1044</v>
      </c>
      <c r="D255" s="17" t="s">
        <v>52</v>
      </c>
      <c r="E255" s="17" t="s">
        <v>1684</v>
      </c>
      <c r="F255" s="17" t="s">
        <v>1173</v>
      </c>
      <c r="G255" s="17" t="s">
        <v>1685</v>
      </c>
      <c r="H255" s="17" t="s">
        <v>53</v>
      </c>
      <c r="I255" s="17">
        <v>20259</v>
      </c>
      <c r="J255" s="17" t="s">
        <v>54</v>
      </c>
      <c r="K255" s="17" t="s">
        <v>55</v>
      </c>
      <c r="L255" s="17" t="s">
        <v>20</v>
      </c>
      <c r="M255" s="17" t="s">
        <v>515</v>
      </c>
      <c r="N255" s="17" t="s">
        <v>20</v>
      </c>
      <c r="O255" s="17" t="s">
        <v>477</v>
      </c>
      <c r="P255" s="17" t="s">
        <v>20</v>
      </c>
      <c r="Q255" s="17" t="s">
        <v>510</v>
      </c>
      <c r="R255" s="17" t="s">
        <v>20</v>
      </c>
      <c r="S255" s="17" t="s">
        <v>105</v>
      </c>
      <c r="T255" s="17">
        <v>0</v>
      </c>
      <c r="U255" s="18">
        <v>0</v>
      </c>
      <c r="X255" s="17" t="s">
        <v>60</v>
      </c>
      <c r="Y255" s="17" t="s">
        <v>230</v>
      </c>
      <c r="Z255" s="17" t="s">
        <v>472</v>
      </c>
      <c r="AA255" s="28">
        <v>780682.58384700003</v>
      </c>
      <c r="AB255" s="28">
        <v>2422144.1082600001</v>
      </c>
    </row>
    <row r="256" spans="1:28">
      <c r="A256" s="17">
        <v>255</v>
      </c>
      <c r="B256" s="17">
        <v>813120</v>
      </c>
      <c r="C256" s="17" t="s">
        <v>1044</v>
      </c>
      <c r="D256" s="17" t="s">
        <v>52</v>
      </c>
      <c r="E256" s="17" t="s">
        <v>1686</v>
      </c>
      <c r="F256" s="17" t="s">
        <v>1173</v>
      </c>
      <c r="G256" s="17" t="s">
        <v>1687</v>
      </c>
      <c r="H256" s="17" t="s">
        <v>53</v>
      </c>
      <c r="I256" s="17">
        <v>20259</v>
      </c>
      <c r="J256" s="17" t="s">
        <v>54</v>
      </c>
      <c r="K256" s="17" t="s">
        <v>78</v>
      </c>
      <c r="L256" s="17" t="s">
        <v>20</v>
      </c>
      <c r="M256" s="17" t="s">
        <v>477</v>
      </c>
      <c r="N256" s="17" t="s">
        <v>20</v>
      </c>
      <c r="O256" s="17" t="s">
        <v>489</v>
      </c>
      <c r="P256" s="17" t="s">
        <v>20</v>
      </c>
      <c r="Q256" s="17" t="s">
        <v>485</v>
      </c>
      <c r="R256" s="17" t="s">
        <v>20</v>
      </c>
      <c r="S256" s="17" t="s">
        <v>488</v>
      </c>
      <c r="T256" s="17">
        <v>133</v>
      </c>
      <c r="U256" s="18">
        <v>4499184595</v>
      </c>
      <c r="X256" s="17" t="s">
        <v>67</v>
      </c>
      <c r="Y256" s="17" t="s">
        <v>230</v>
      </c>
      <c r="Z256" s="17" t="s">
        <v>472</v>
      </c>
      <c r="AA256" s="28">
        <v>780627.35981699999</v>
      </c>
      <c r="AB256" s="28">
        <v>2422090.9295899998</v>
      </c>
    </row>
    <row r="257" spans="1:28">
      <c r="A257" s="17">
        <v>256</v>
      </c>
      <c r="B257" s="17">
        <v>813120</v>
      </c>
      <c r="C257" s="17" t="s">
        <v>1044</v>
      </c>
      <c r="D257" s="17" t="s">
        <v>52</v>
      </c>
      <c r="E257" s="17" t="s">
        <v>1688</v>
      </c>
      <c r="F257" s="17" t="s">
        <v>1173</v>
      </c>
      <c r="G257" s="17" t="s">
        <v>1689</v>
      </c>
      <c r="H257" s="17" t="s">
        <v>69</v>
      </c>
      <c r="I257" s="17">
        <v>20259</v>
      </c>
      <c r="J257" s="17" t="s">
        <v>54</v>
      </c>
      <c r="K257" s="17" t="s">
        <v>132</v>
      </c>
      <c r="L257" s="17" t="s">
        <v>20</v>
      </c>
      <c r="M257" s="17" t="s">
        <v>477</v>
      </c>
      <c r="N257" s="17" t="s">
        <v>20</v>
      </c>
      <c r="O257" s="17" t="s">
        <v>1690</v>
      </c>
      <c r="P257" s="17" t="s">
        <v>20</v>
      </c>
      <c r="Q257" s="17" t="s">
        <v>1691</v>
      </c>
      <c r="R257" s="17" t="s">
        <v>20</v>
      </c>
      <c r="S257" s="17" t="s">
        <v>1692</v>
      </c>
      <c r="T257" s="17">
        <v>133</v>
      </c>
      <c r="U257" s="18">
        <v>0</v>
      </c>
      <c r="V257" s="17" t="s">
        <v>1693</v>
      </c>
      <c r="W257" s="17" t="s">
        <v>1694</v>
      </c>
      <c r="X257" s="17" t="s">
        <v>90</v>
      </c>
      <c r="Y257" s="17" t="s">
        <v>230</v>
      </c>
      <c r="Z257" s="17" t="s">
        <v>472</v>
      </c>
      <c r="AA257" s="28">
        <v>780627.64163900004</v>
      </c>
      <c r="AB257" s="28">
        <v>2422123.5469</v>
      </c>
    </row>
    <row r="258" spans="1:28">
      <c r="A258" s="17">
        <v>257</v>
      </c>
      <c r="B258" s="17">
        <v>813120</v>
      </c>
      <c r="C258" s="17" t="s">
        <v>1044</v>
      </c>
      <c r="D258" s="17" t="s">
        <v>52</v>
      </c>
      <c r="E258" s="17" t="s">
        <v>1695</v>
      </c>
      <c r="F258" s="17" t="s">
        <v>1173</v>
      </c>
      <c r="G258" s="17" t="s">
        <v>1696</v>
      </c>
      <c r="H258" s="17" t="s">
        <v>69</v>
      </c>
      <c r="I258" s="17">
        <v>20240</v>
      </c>
      <c r="J258" s="17" t="s">
        <v>54</v>
      </c>
      <c r="K258" s="17" t="s">
        <v>78</v>
      </c>
      <c r="L258" s="17" t="s">
        <v>20</v>
      </c>
      <c r="M258" s="17" t="s">
        <v>59</v>
      </c>
      <c r="N258" s="17" t="s">
        <v>20</v>
      </c>
      <c r="O258" s="17" t="s">
        <v>520</v>
      </c>
      <c r="P258" s="17" t="s">
        <v>56</v>
      </c>
      <c r="Q258" s="17" t="s">
        <v>286</v>
      </c>
      <c r="R258" s="17" t="s">
        <v>20</v>
      </c>
      <c r="S258" s="17" t="s">
        <v>59</v>
      </c>
      <c r="T258" s="17">
        <v>607</v>
      </c>
      <c r="U258" s="18">
        <v>4499155320</v>
      </c>
      <c r="V258" s="17" t="s">
        <v>1697</v>
      </c>
      <c r="X258" s="17" t="s">
        <v>67</v>
      </c>
      <c r="Y258" s="17" t="s">
        <v>230</v>
      </c>
      <c r="Z258" s="17" t="s">
        <v>472</v>
      </c>
      <c r="AA258" s="28">
        <v>780392.58271800005</v>
      </c>
      <c r="AB258" s="28">
        <v>2421894.30547</v>
      </c>
    </row>
    <row r="259" spans="1:28">
      <c r="A259" s="17">
        <v>258</v>
      </c>
      <c r="B259" s="17">
        <v>813120</v>
      </c>
      <c r="C259" s="17" t="s">
        <v>1044</v>
      </c>
      <c r="D259" s="17" t="s">
        <v>52</v>
      </c>
      <c r="E259" s="17" t="s">
        <v>1698</v>
      </c>
      <c r="F259" s="17" t="s">
        <v>1173</v>
      </c>
      <c r="G259" s="17" t="s">
        <v>1698</v>
      </c>
      <c r="H259" s="17" t="s">
        <v>69</v>
      </c>
      <c r="I259" s="17">
        <v>20000</v>
      </c>
      <c r="J259" s="17" t="s">
        <v>54</v>
      </c>
      <c r="K259" s="17" t="s">
        <v>78</v>
      </c>
      <c r="L259" s="17" t="s">
        <v>20</v>
      </c>
      <c r="M259" s="17" t="s">
        <v>503</v>
      </c>
      <c r="N259" s="17" t="s">
        <v>20</v>
      </c>
      <c r="O259" s="17" t="s">
        <v>504</v>
      </c>
      <c r="P259" s="17" t="s">
        <v>20</v>
      </c>
      <c r="Q259" s="17" t="s">
        <v>81</v>
      </c>
      <c r="R259" s="17" t="s">
        <v>20</v>
      </c>
      <c r="S259" s="17" t="s">
        <v>555</v>
      </c>
      <c r="T259" s="17">
        <v>111</v>
      </c>
      <c r="U259" s="18">
        <v>0</v>
      </c>
      <c r="X259" s="17" t="s">
        <v>67</v>
      </c>
      <c r="Y259" s="17" t="s">
        <v>230</v>
      </c>
      <c r="Z259" s="17" t="s">
        <v>472</v>
      </c>
      <c r="AA259" s="28">
        <v>779354.58090499998</v>
      </c>
      <c r="AB259" s="28">
        <v>2422952.19906</v>
      </c>
    </row>
    <row r="260" spans="1:28">
      <c r="A260" s="17">
        <v>259</v>
      </c>
      <c r="B260" s="17">
        <v>813120</v>
      </c>
      <c r="C260" s="17" t="s">
        <v>1044</v>
      </c>
      <c r="D260" s="17" t="s">
        <v>52</v>
      </c>
      <c r="E260" s="17" t="s">
        <v>1699</v>
      </c>
      <c r="F260" s="17" t="s">
        <v>1173</v>
      </c>
      <c r="G260" s="17" t="s">
        <v>1699</v>
      </c>
      <c r="H260" s="17" t="s">
        <v>69</v>
      </c>
      <c r="I260" s="17">
        <v>20000</v>
      </c>
      <c r="J260" s="17" t="s">
        <v>54</v>
      </c>
      <c r="K260" s="17" t="s">
        <v>78</v>
      </c>
      <c r="L260" s="17" t="s">
        <v>20</v>
      </c>
      <c r="M260" s="17" t="s">
        <v>529</v>
      </c>
      <c r="N260" s="17" t="s">
        <v>20</v>
      </c>
      <c r="O260" s="17" t="s">
        <v>552</v>
      </c>
      <c r="P260" s="17" t="s">
        <v>20</v>
      </c>
      <c r="Q260" s="17" t="s">
        <v>481</v>
      </c>
      <c r="R260" s="17" t="s">
        <v>20</v>
      </c>
      <c r="S260" s="17" t="s">
        <v>553</v>
      </c>
      <c r="T260" s="17">
        <v>214</v>
      </c>
      <c r="U260" s="18">
        <v>0</v>
      </c>
      <c r="V260" s="17" t="s">
        <v>1700</v>
      </c>
      <c r="X260" s="17" t="s">
        <v>67</v>
      </c>
      <c r="Y260" s="17" t="s">
        <v>230</v>
      </c>
      <c r="Z260" s="17" t="s">
        <v>472</v>
      </c>
      <c r="AA260" s="28">
        <v>779603.04565500002</v>
      </c>
      <c r="AB260" s="28">
        <v>2422560.9649800002</v>
      </c>
    </row>
    <row r="261" spans="1:28">
      <c r="A261" s="17">
        <v>260</v>
      </c>
      <c r="B261" s="17">
        <v>813120</v>
      </c>
      <c r="C261" s="17" t="s">
        <v>1044</v>
      </c>
      <c r="D261" s="17" t="s">
        <v>52</v>
      </c>
      <c r="E261" s="17" t="s">
        <v>1701</v>
      </c>
      <c r="F261" s="17" t="s">
        <v>1173</v>
      </c>
      <c r="G261" s="17" t="s">
        <v>1701</v>
      </c>
      <c r="H261" s="17" t="s">
        <v>69</v>
      </c>
      <c r="I261" s="17">
        <v>20000</v>
      </c>
      <c r="J261" s="17" t="s">
        <v>54</v>
      </c>
      <c r="K261" s="17" t="s">
        <v>55</v>
      </c>
      <c r="L261" s="17" t="s">
        <v>20</v>
      </c>
      <c r="M261" s="17" t="s">
        <v>85</v>
      </c>
      <c r="N261" s="17" t="s">
        <v>56</v>
      </c>
      <c r="O261" s="17" t="s">
        <v>71</v>
      </c>
      <c r="P261" s="17" t="s">
        <v>20</v>
      </c>
      <c r="Q261" s="17" t="s">
        <v>505</v>
      </c>
      <c r="R261" s="17" t="s">
        <v>20</v>
      </c>
      <c r="S261" s="17" t="s">
        <v>1702</v>
      </c>
      <c r="T261" s="17">
        <v>106</v>
      </c>
      <c r="U261" s="18">
        <v>0</v>
      </c>
      <c r="V261" s="17" t="s">
        <v>1703</v>
      </c>
      <c r="X261" s="17" t="s">
        <v>60</v>
      </c>
      <c r="Y261" s="17" t="s">
        <v>230</v>
      </c>
      <c r="Z261" s="17" t="s">
        <v>472</v>
      </c>
      <c r="AA261" s="28">
        <v>779753.19897100003</v>
      </c>
      <c r="AB261" s="28">
        <v>2422211.0508300001</v>
      </c>
    </row>
    <row r="262" spans="1:28">
      <c r="A262" s="17">
        <v>261</v>
      </c>
      <c r="B262" s="17">
        <v>813130</v>
      </c>
      <c r="C262" s="17" t="s">
        <v>1044</v>
      </c>
      <c r="D262" s="17" t="s">
        <v>52</v>
      </c>
      <c r="E262" s="17" t="s">
        <v>1704</v>
      </c>
      <c r="F262" s="17" t="s">
        <v>1705</v>
      </c>
      <c r="G262" s="17" t="s">
        <v>1706</v>
      </c>
      <c r="H262" s="17" t="s">
        <v>53</v>
      </c>
      <c r="I262" s="17">
        <v>20240</v>
      </c>
      <c r="J262" s="17" t="s">
        <v>54</v>
      </c>
      <c r="K262" s="17" t="s">
        <v>55</v>
      </c>
      <c r="L262" s="17" t="s">
        <v>20</v>
      </c>
      <c r="M262" s="17" t="s">
        <v>559</v>
      </c>
      <c r="N262" s="17" t="s">
        <v>20</v>
      </c>
      <c r="O262" s="17" t="s">
        <v>80</v>
      </c>
      <c r="P262" s="17" t="s">
        <v>20</v>
      </c>
      <c r="Q262" s="17" t="s">
        <v>82</v>
      </c>
      <c r="R262" s="17" t="s">
        <v>20</v>
      </c>
      <c r="S262" s="17" t="s">
        <v>538</v>
      </c>
      <c r="T262" s="17">
        <v>103</v>
      </c>
      <c r="U262" s="18">
        <v>0</v>
      </c>
      <c r="V262" s="17" t="s">
        <v>1707</v>
      </c>
      <c r="X262" s="17" t="s">
        <v>67</v>
      </c>
      <c r="Y262" s="17" t="s">
        <v>230</v>
      </c>
      <c r="Z262" s="17" t="s">
        <v>472</v>
      </c>
      <c r="AA262" s="28">
        <v>779901.15661299997</v>
      </c>
      <c r="AB262" s="28">
        <v>2421426.5877299998</v>
      </c>
    </row>
    <row r="263" spans="1:28">
      <c r="A263" s="17">
        <v>262</v>
      </c>
      <c r="B263" s="17">
        <v>813130</v>
      </c>
      <c r="C263" s="17" t="s">
        <v>1044</v>
      </c>
      <c r="D263" s="17" t="s">
        <v>52</v>
      </c>
      <c r="E263" s="17" t="s">
        <v>1708</v>
      </c>
      <c r="F263" s="17" t="s">
        <v>1705</v>
      </c>
      <c r="G263" s="17" t="s">
        <v>1709</v>
      </c>
      <c r="H263" s="17" t="s">
        <v>69</v>
      </c>
      <c r="I263" s="17">
        <v>20000</v>
      </c>
      <c r="J263" s="17" t="s">
        <v>54</v>
      </c>
      <c r="K263" s="17" t="s">
        <v>55</v>
      </c>
      <c r="L263" s="17" t="s">
        <v>20</v>
      </c>
      <c r="M263" s="17" t="s">
        <v>480</v>
      </c>
      <c r="N263" s="17" t="s">
        <v>20</v>
      </c>
      <c r="O263" s="17" t="s">
        <v>526</v>
      </c>
      <c r="P263" s="17" t="s">
        <v>20</v>
      </c>
      <c r="Q263" s="17" t="s">
        <v>481</v>
      </c>
      <c r="R263" s="17" t="s">
        <v>20</v>
      </c>
      <c r="S263" s="17" t="s">
        <v>526</v>
      </c>
      <c r="T263" s="17">
        <v>101</v>
      </c>
      <c r="U263" s="18">
        <v>0</v>
      </c>
      <c r="V263" s="17" t="s">
        <v>1710</v>
      </c>
      <c r="W263" s="17" t="s">
        <v>1711</v>
      </c>
      <c r="X263" s="17" t="s">
        <v>67</v>
      </c>
      <c r="Y263" s="17" t="s">
        <v>230</v>
      </c>
      <c r="Z263" s="17" t="s">
        <v>472</v>
      </c>
      <c r="AA263" s="28">
        <v>779991.40923500003</v>
      </c>
      <c r="AB263" s="28">
        <v>2422658.0420400002</v>
      </c>
    </row>
    <row r="264" spans="1:28">
      <c r="A264" s="17">
        <v>263</v>
      </c>
      <c r="B264" s="17">
        <v>813130</v>
      </c>
      <c r="C264" s="17" t="s">
        <v>1044</v>
      </c>
      <c r="D264" s="17" t="s">
        <v>52</v>
      </c>
      <c r="E264" s="17" t="s">
        <v>1712</v>
      </c>
      <c r="F264" s="17" t="s">
        <v>1705</v>
      </c>
      <c r="G264" s="17" t="s">
        <v>1713</v>
      </c>
      <c r="H264" s="17" t="s">
        <v>69</v>
      </c>
      <c r="I264" s="17">
        <v>20000</v>
      </c>
      <c r="J264" s="17" t="s">
        <v>54</v>
      </c>
      <c r="K264" s="17" t="s">
        <v>55</v>
      </c>
      <c r="L264" s="17" t="s">
        <v>20</v>
      </c>
      <c r="M264" s="17" t="s">
        <v>85</v>
      </c>
      <c r="N264" s="17" t="s">
        <v>56</v>
      </c>
      <c r="O264" s="17" t="s">
        <v>71</v>
      </c>
      <c r="P264" s="17" t="s">
        <v>20</v>
      </c>
      <c r="Q264" s="17" t="s">
        <v>505</v>
      </c>
      <c r="R264" s="17" t="s">
        <v>20</v>
      </c>
      <c r="S264" s="17" t="s">
        <v>1702</v>
      </c>
      <c r="T264" s="17">
        <v>104</v>
      </c>
      <c r="U264" s="18">
        <v>0</v>
      </c>
      <c r="X264" s="17" t="s">
        <v>64</v>
      </c>
      <c r="Y264" s="17" t="s">
        <v>230</v>
      </c>
      <c r="Z264" s="17" t="s">
        <v>472</v>
      </c>
      <c r="AA264" s="28">
        <v>779756.26433699997</v>
      </c>
      <c r="AB264" s="28">
        <v>2422204.7754600001</v>
      </c>
    </row>
    <row r="265" spans="1:28">
      <c r="A265" s="17">
        <v>264</v>
      </c>
      <c r="B265" s="17">
        <v>813230</v>
      </c>
      <c r="C265" s="17" t="s">
        <v>1044</v>
      </c>
      <c r="D265" s="17" t="s">
        <v>52</v>
      </c>
      <c r="E265" s="17" t="s">
        <v>1714</v>
      </c>
      <c r="F265" s="17" t="s">
        <v>1061</v>
      </c>
      <c r="G265" s="17" t="s">
        <v>1715</v>
      </c>
      <c r="H265" s="17" t="s">
        <v>53</v>
      </c>
      <c r="I265" s="17">
        <v>20259</v>
      </c>
      <c r="J265" s="17" t="s">
        <v>54</v>
      </c>
      <c r="K265" s="17" t="s">
        <v>78</v>
      </c>
      <c r="L265" s="17" t="s">
        <v>20</v>
      </c>
      <c r="M265" s="17" t="s">
        <v>480</v>
      </c>
      <c r="N265" s="17" t="s">
        <v>20</v>
      </c>
      <c r="O265" s="17" t="s">
        <v>235</v>
      </c>
      <c r="P265" s="17" t="s">
        <v>20</v>
      </c>
      <c r="Q265" s="17" t="s">
        <v>113</v>
      </c>
      <c r="R265" s="17" t="s">
        <v>20</v>
      </c>
      <c r="S265" s="17" t="s">
        <v>228</v>
      </c>
      <c r="T265" s="17">
        <v>312</v>
      </c>
      <c r="U265" s="18">
        <v>0</v>
      </c>
      <c r="V265" s="17" t="s">
        <v>1716</v>
      </c>
      <c r="X265" s="17" t="s">
        <v>138</v>
      </c>
      <c r="Y265" s="17" t="s">
        <v>230</v>
      </c>
      <c r="Z265" s="17" t="s">
        <v>472</v>
      </c>
      <c r="AA265" s="28">
        <v>780498.39732400002</v>
      </c>
      <c r="AB265" s="28">
        <v>2422834.5869999998</v>
      </c>
    </row>
    <row r="266" spans="1:28">
      <c r="A266" s="17">
        <v>265</v>
      </c>
      <c r="B266" s="17">
        <v>813230</v>
      </c>
      <c r="C266" s="17" t="s">
        <v>1044</v>
      </c>
      <c r="D266" s="17" t="s">
        <v>52</v>
      </c>
      <c r="E266" s="17" t="s">
        <v>1717</v>
      </c>
      <c r="F266" s="17" t="s">
        <v>1061</v>
      </c>
      <c r="G266" s="17" t="s">
        <v>1718</v>
      </c>
      <c r="H266" s="17" t="s">
        <v>53</v>
      </c>
      <c r="I266" s="17">
        <v>20259</v>
      </c>
      <c r="J266" s="17" t="s">
        <v>54</v>
      </c>
      <c r="K266" s="17" t="s">
        <v>55</v>
      </c>
      <c r="L266" s="17" t="s">
        <v>20</v>
      </c>
      <c r="M266" s="17" t="s">
        <v>549</v>
      </c>
      <c r="N266" s="17" t="s">
        <v>20</v>
      </c>
      <c r="O266" s="17" t="s">
        <v>531</v>
      </c>
      <c r="P266" s="17" t="s">
        <v>20</v>
      </c>
      <c r="Q266" s="17" t="s">
        <v>510</v>
      </c>
      <c r="R266" s="17" t="s">
        <v>20</v>
      </c>
      <c r="S266" s="17" t="s">
        <v>510</v>
      </c>
      <c r="T266" s="17">
        <v>113</v>
      </c>
      <c r="U266" s="18">
        <v>4492140082</v>
      </c>
      <c r="V266" s="17" t="s">
        <v>1719</v>
      </c>
      <c r="X266" s="17" t="s">
        <v>64</v>
      </c>
      <c r="Y266" s="17" t="s">
        <v>230</v>
      </c>
      <c r="Z266" s="17" t="s">
        <v>472</v>
      </c>
      <c r="AA266" s="28">
        <v>780912.36695399997</v>
      </c>
      <c r="AB266" s="28">
        <v>2422171.0095600002</v>
      </c>
    </row>
    <row r="267" spans="1:28">
      <c r="A267" s="17">
        <v>266</v>
      </c>
      <c r="B267" s="17">
        <v>813230</v>
      </c>
      <c r="C267" s="17" t="s">
        <v>1044</v>
      </c>
      <c r="D267" s="17" t="s">
        <v>52</v>
      </c>
      <c r="E267" s="17" t="s">
        <v>1720</v>
      </c>
      <c r="F267" s="17" t="s">
        <v>1061</v>
      </c>
      <c r="H267" s="17" t="s">
        <v>53</v>
      </c>
      <c r="I267" s="17">
        <v>20240</v>
      </c>
      <c r="J267" s="17" t="s">
        <v>54</v>
      </c>
      <c r="K267" s="17" t="s">
        <v>63</v>
      </c>
      <c r="L267" s="17" t="s">
        <v>20</v>
      </c>
      <c r="M267" s="17" t="s">
        <v>82</v>
      </c>
      <c r="N267" s="17" t="s">
        <v>20</v>
      </c>
      <c r="O267" s="17" t="s">
        <v>206</v>
      </c>
      <c r="P267" s="17" t="s">
        <v>20</v>
      </c>
      <c r="Q267" s="17" t="s">
        <v>80</v>
      </c>
      <c r="R267" s="17" t="s">
        <v>20</v>
      </c>
      <c r="S267" s="17" t="s">
        <v>1721</v>
      </c>
      <c r="T267" s="17">
        <v>509</v>
      </c>
      <c r="U267" s="18">
        <v>0</v>
      </c>
      <c r="X267" s="17" t="s">
        <v>67</v>
      </c>
      <c r="Y267" s="17" t="s">
        <v>230</v>
      </c>
      <c r="Z267" s="17" t="s">
        <v>472</v>
      </c>
      <c r="AA267" s="28">
        <v>779928.66211499996</v>
      </c>
      <c r="AB267" s="28">
        <v>2421511.1309799999</v>
      </c>
    </row>
    <row r="268" spans="1:28">
      <c r="A268" s="17">
        <v>267</v>
      </c>
      <c r="B268" s="17">
        <v>813230</v>
      </c>
      <c r="C268" s="17" t="s">
        <v>1044</v>
      </c>
      <c r="D268" s="17" t="s">
        <v>52</v>
      </c>
      <c r="E268" s="17" t="s">
        <v>1722</v>
      </c>
      <c r="F268" s="17" t="s">
        <v>1061</v>
      </c>
      <c r="G268" s="17" t="s">
        <v>1723</v>
      </c>
      <c r="H268" s="17" t="s">
        <v>53</v>
      </c>
      <c r="I268" s="17">
        <v>20259</v>
      </c>
      <c r="J268" s="17" t="s">
        <v>54</v>
      </c>
      <c r="K268" s="17" t="s">
        <v>55</v>
      </c>
      <c r="L268" s="17" t="s">
        <v>56</v>
      </c>
      <c r="M268" s="17" t="s">
        <v>486</v>
      </c>
      <c r="N268" s="17" t="s">
        <v>20</v>
      </c>
      <c r="O268" s="17" t="s">
        <v>531</v>
      </c>
      <c r="P268" s="17" t="s">
        <v>20</v>
      </c>
      <c r="Q268" s="17" t="s">
        <v>229</v>
      </c>
      <c r="R268" s="17" t="s">
        <v>20</v>
      </c>
      <c r="S268" s="17" t="s">
        <v>549</v>
      </c>
      <c r="T268" s="17">
        <v>231</v>
      </c>
      <c r="U268" s="18">
        <v>4991040505</v>
      </c>
      <c r="V268" s="17" t="s">
        <v>1724</v>
      </c>
      <c r="X268" s="17" t="s">
        <v>67</v>
      </c>
      <c r="Y268" s="17" t="s">
        <v>230</v>
      </c>
      <c r="Z268" s="17" t="s">
        <v>472</v>
      </c>
      <c r="AA268" s="28">
        <v>780975.03700200003</v>
      </c>
      <c r="AB268" s="28">
        <v>2422325.9913599999</v>
      </c>
    </row>
    <row r="269" spans="1:28">
      <c r="A269" s="17">
        <v>268</v>
      </c>
      <c r="B269" s="17">
        <v>813230</v>
      </c>
      <c r="C269" s="17" t="s">
        <v>1044</v>
      </c>
      <c r="D269" s="17" t="s">
        <v>52</v>
      </c>
      <c r="E269" s="17" t="s">
        <v>1725</v>
      </c>
      <c r="F269" s="17" t="s">
        <v>1061</v>
      </c>
      <c r="G269" s="17" t="s">
        <v>1726</v>
      </c>
      <c r="H269" s="17" t="s">
        <v>53</v>
      </c>
      <c r="I269" s="17">
        <v>20259</v>
      </c>
      <c r="J269" s="17" t="s">
        <v>54</v>
      </c>
      <c r="K269" s="17" t="s">
        <v>78</v>
      </c>
      <c r="L269" s="17" t="s">
        <v>56</v>
      </c>
      <c r="M269" s="17" t="s">
        <v>71</v>
      </c>
      <c r="N269" s="17" t="s">
        <v>20</v>
      </c>
      <c r="O269" s="17" t="s">
        <v>252</v>
      </c>
      <c r="P269" s="17" t="s">
        <v>20</v>
      </c>
      <c r="Q269" s="17" t="s">
        <v>510</v>
      </c>
      <c r="R269" s="17" t="s">
        <v>20</v>
      </c>
      <c r="S269" s="17" t="s">
        <v>525</v>
      </c>
      <c r="T269" s="17">
        <v>530</v>
      </c>
      <c r="U269" s="18">
        <v>0</v>
      </c>
      <c r="X269" s="17" t="s">
        <v>67</v>
      </c>
      <c r="Y269" s="17" t="s">
        <v>230</v>
      </c>
      <c r="Z269" s="17" t="s">
        <v>472</v>
      </c>
      <c r="AA269" s="28">
        <v>780415.48425199999</v>
      </c>
      <c r="AB269" s="28">
        <v>2422448.2166300002</v>
      </c>
    </row>
    <row r="270" spans="1:28">
      <c r="A270" s="17">
        <v>269</v>
      </c>
      <c r="B270" s="17">
        <v>813230</v>
      </c>
      <c r="C270" s="17" t="s">
        <v>1044</v>
      </c>
      <c r="D270" s="17" t="s">
        <v>52</v>
      </c>
      <c r="E270" s="17" t="s">
        <v>1727</v>
      </c>
      <c r="F270" s="17" t="s">
        <v>1061</v>
      </c>
      <c r="G270" s="17" t="s">
        <v>1728</v>
      </c>
      <c r="H270" s="17" t="s">
        <v>53</v>
      </c>
      <c r="I270" s="17">
        <v>20259</v>
      </c>
      <c r="J270" s="17" t="s">
        <v>54</v>
      </c>
      <c r="K270" s="17" t="s">
        <v>55</v>
      </c>
      <c r="L270" s="17" t="s">
        <v>20</v>
      </c>
      <c r="M270" s="17" t="s">
        <v>505</v>
      </c>
      <c r="N270" s="17" t="s">
        <v>20</v>
      </c>
      <c r="O270" s="17" t="s">
        <v>510</v>
      </c>
      <c r="P270" s="17" t="s">
        <v>20</v>
      </c>
      <c r="Q270" s="17" t="s">
        <v>511</v>
      </c>
      <c r="R270" s="17" t="s">
        <v>20</v>
      </c>
      <c r="S270" s="17" t="s">
        <v>1729</v>
      </c>
      <c r="T270" s="17">
        <v>626</v>
      </c>
      <c r="U270" s="18">
        <v>4491201239</v>
      </c>
      <c r="X270" s="17" t="s">
        <v>64</v>
      </c>
      <c r="Y270" s="17" t="s">
        <v>230</v>
      </c>
      <c r="Z270" s="17" t="s">
        <v>472</v>
      </c>
      <c r="AA270" s="28">
        <v>780523.70734399999</v>
      </c>
      <c r="AB270" s="28">
        <v>2422314.79636</v>
      </c>
    </row>
    <row r="271" spans="1:28">
      <c r="A271" s="17">
        <v>270</v>
      </c>
      <c r="B271" s="17">
        <v>813230</v>
      </c>
      <c r="C271" s="17" t="s">
        <v>1044</v>
      </c>
      <c r="D271" s="17" t="s">
        <v>52</v>
      </c>
      <c r="E271" s="17" t="s">
        <v>1730</v>
      </c>
      <c r="F271" s="17" t="s">
        <v>1061</v>
      </c>
      <c r="G271" s="17" t="s">
        <v>1731</v>
      </c>
      <c r="H271" s="17" t="s">
        <v>53</v>
      </c>
      <c r="I271" s="17">
        <v>20260</v>
      </c>
      <c r="J271" s="17" t="s">
        <v>54</v>
      </c>
      <c r="K271" s="17" t="s">
        <v>78</v>
      </c>
      <c r="L271" s="17" t="s">
        <v>20</v>
      </c>
      <c r="M271" s="17" t="s">
        <v>208</v>
      </c>
      <c r="N271" s="17" t="s">
        <v>56</v>
      </c>
      <c r="O271" s="17" t="s">
        <v>500</v>
      </c>
      <c r="P271" s="17" t="s">
        <v>20</v>
      </c>
      <c r="Q271" s="17" t="s">
        <v>492</v>
      </c>
      <c r="R271" s="17" t="s">
        <v>20</v>
      </c>
      <c r="S271" s="17" t="s">
        <v>1732</v>
      </c>
      <c r="T271" s="17">
        <v>584</v>
      </c>
      <c r="U271" s="18">
        <v>0</v>
      </c>
      <c r="V271" s="17" t="s">
        <v>1733</v>
      </c>
      <c r="X271" s="17" t="s">
        <v>60</v>
      </c>
      <c r="Y271" s="17" t="s">
        <v>230</v>
      </c>
      <c r="Z271" s="17" t="s">
        <v>472</v>
      </c>
      <c r="AA271" s="28">
        <v>780206.12324400002</v>
      </c>
      <c r="AB271" s="28">
        <v>2421232.5532</v>
      </c>
    </row>
    <row r="272" spans="1:28">
      <c r="A272" s="17">
        <v>271</v>
      </c>
      <c r="B272" s="17">
        <v>813230</v>
      </c>
      <c r="C272" s="17" t="s">
        <v>1044</v>
      </c>
      <c r="D272" s="17" t="s">
        <v>52</v>
      </c>
      <c r="E272" s="17" t="s">
        <v>1734</v>
      </c>
      <c r="F272" s="17" t="s">
        <v>1061</v>
      </c>
      <c r="G272" s="17" t="s">
        <v>1735</v>
      </c>
      <c r="H272" s="17" t="s">
        <v>69</v>
      </c>
      <c r="I272" s="17">
        <v>20000</v>
      </c>
      <c r="J272" s="17" t="s">
        <v>54</v>
      </c>
      <c r="K272" s="17" t="s">
        <v>55</v>
      </c>
      <c r="L272" s="17" t="s">
        <v>20</v>
      </c>
      <c r="M272" s="17" t="s">
        <v>484</v>
      </c>
      <c r="N272" s="17" t="s">
        <v>58</v>
      </c>
      <c r="O272" s="17" t="s">
        <v>1573</v>
      </c>
      <c r="P272" s="17" t="s">
        <v>20</v>
      </c>
      <c r="Q272" s="17" t="s">
        <v>208</v>
      </c>
      <c r="R272" s="17" t="s">
        <v>20</v>
      </c>
      <c r="S272" s="17" t="s">
        <v>505</v>
      </c>
      <c r="T272" s="17">
        <v>458</v>
      </c>
      <c r="U272" s="18">
        <v>4491091828</v>
      </c>
      <c r="V272" s="17" t="s">
        <v>1736</v>
      </c>
      <c r="X272" s="17" t="s">
        <v>64</v>
      </c>
      <c r="Y272" s="17" t="s">
        <v>230</v>
      </c>
      <c r="Z272" s="17" t="s">
        <v>472</v>
      </c>
      <c r="AA272" s="28">
        <v>780048.23246099998</v>
      </c>
      <c r="AB272" s="28">
        <v>2422115.5111099998</v>
      </c>
    </row>
    <row r="273" spans="1:28">
      <c r="A273" s="17">
        <v>272</v>
      </c>
      <c r="B273" s="17">
        <v>813230</v>
      </c>
      <c r="C273" s="17" t="s">
        <v>1044</v>
      </c>
      <c r="D273" s="17" t="s">
        <v>52</v>
      </c>
      <c r="E273" s="17" t="s">
        <v>1737</v>
      </c>
      <c r="F273" s="17" t="s">
        <v>1061</v>
      </c>
      <c r="G273" s="17" t="s">
        <v>1738</v>
      </c>
      <c r="H273" s="17" t="s">
        <v>69</v>
      </c>
      <c r="I273" s="17">
        <v>20000</v>
      </c>
      <c r="J273" s="17" t="s">
        <v>54</v>
      </c>
      <c r="K273" s="17" t="s">
        <v>78</v>
      </c>
      <c r="L273" s="17" t="s">
        <v>20</v>
      </c>
      <c r="M273" s="17" t="s">
        <v>252</v>
      </c>
      <c r="N273" s="17" t="s">
        <v>20</v>
      </c>
      <c r="O273" s="17" t="s">
        <v>480</v>
      </c>
      <c r="P273" s="17" t="s">
        <v>20</v>
      </c>
      <c r="Q273" s="17" t="s">
        <v>481</v>
      </c>
      <c r="R273" s="17" t="s">
        <v>56</v>
      </c>
      <c r="S273" s="17" t="s">
        <v>198</v>
      </c>
      <c r="T273" s="17">
        <v>300</v>
      </c>
      <c r="U273" s="18">
        <v>4492203316</v>
      </c>
      <c r="V273" s="17" t="s">
        <v>1739</v>
      </c>
      <c r="X273" s="17" t="s">
        <v>138</v>
      </c>
      <c r="Y273" s="17" t="s">
        <v>230</v>
      </c>
      <c r="Z273" s="17" t="s">
        <v>472</v>
      </c>
      <c r="AA273" s="28">
        <v>780208.35310900002</v>
      </c>
      <c r="AB273" s="28">
        <v>2422774.8629399999</v>
      </c>
    </row>
    <row r="274" spans="1:28">
      <c r="A274" s="17">
        <v>273</v>
      </c>
      <c r="B274" s="17">
        <v>813230</v>
      </c>
      <c r="C274" s="17" t="s">
        <v>1044</v>
      </c>
      <c r="D274" s="17" t="s">
        <v>52</v>
      </c>
      <c r="E274" s="17" t="s">
        <v>1740</v>
      </c>
      <c r="F274" s="17" t="s">
        <v>1061</v>
      </c>
      <c r="G274" s="17" t="s">
        <v>1741</v>
      </c>
      <c r="H274" s="17" t="s">
        <v>69</v>
      </c>
      <c r="I274" s="17">
        <v>20000</v>
      </c>
      <c r="J274" s="17" t="s">
        <v>54</v>
      </c>
      <c r="K274" s="17" t="s">
        <v>55</v>
      </c>
      <c r="L274" s="17" t="s">
        <v>20</v>
      </c>
      <c r="M274" s="17" t="s">
        <v>479</v>
      </c>
      <c r="N274" s="17" t="s">
        <v>20</v>
      </c>
      <c r="O274" s="17" t="s">
        <v>242</v>
      </c>
      <c r="P274" s="17" t="s">
        <v>20</v>
      </c>
      <c r="Q274" s="17" t="s">
        <v>249</v>
      </c>
      <c r="R274" s="17" t="s">
        <v>20</v>
      </c>
      <c r="S274" s="17" t="s">
        <v>544</v>
      </c>
      <c r="T274" s="17">
        <v>452</v>
      </c>
      <c r="U274" s="18">
        <v>4492189292</v>
      </c>
      <c r="X274" s="17" t="s">
        <v>131</v>
      </c>
      <c r="Y274" s="17" t="s">
        <v>230</v>
      </c>
      <c r="Z274" s="17" t="s">
        <v>472</v>
      </c>
      <c r="AA274" s="28">
        <v>779987.03854400001</v>
      </c>
      <c r="AB274" s="28">
        <v>2422988.41946</v>
      </c>
    </row>
    <row r="275" spans="1:28">
      <c r="A275" s="17">
        <v>274</v>
      </c>
      <c r="B275" s="17">
        <v>813230</v>
      </c>
      <c r="C275" s="17" t="s">
        <v>1044</v>
      </c>
      <c r="D275" s="17" t="s">
        <v>52</v>
      </c>
      <c r="E275" s="17" t="s">
        <v>1742</v>
      </c>
      <c r="F275" s="17" t="s">
        <v>1061</v>
      </c>
      <c r="H275" s="17" t="s">
        <v>69</v>
      </c>
      <c r="I275" s="17">
        <v>20059</v>
      </c>
      <c r="J275" s="17" t="s">
        <v>54</v>
      </c>
      <c r="K275" s="17" t="s">
        <v>55</v>
      </c>
      <c r="L275" s="17" t="s">
        <v>56</v>
      </c>
      <c r="M275" s="17" t="s">
        <v>496</v>
      </c>
      <c r="N275" s="17" t="s">
        <v>56</v>
      </c>
      <c r="O275" s="17" t="s">
        <v>1743</v>
      </c>
      <c r="P275" s="17" t="s">
        <v>58</v>
      </c>
      <c r="Q275" s="17" t="s">
        <v>1744</v>
      </c>
      <c r="R275" s="17" t="s">
        <v>56</v>
      </c>
      <c r="S275" s="17" t="s">
        <v>1745</v>
      </c>
      <c r="T275" s="17">
        <v>600</v>
      </c>
      <c r="U275" s="18">
        <v>0</v>
      </c>
      <c r="V275" s="17" t="s">
        <v>1746</v>
      </c>
      <c r="W275" s="17" t="s">
        <v>1747</v>
      </c>
      <c r="X275" s="17" t="s">
        <v>67</v>
      </c>
      <c r="Y275" s="17" t="s">
        <v>230</v>
      </c>
      <c r="Z275" s="17" t="s">
        <v>472</v>
      </c>
      <c r="AA275" s="28">
        <v>781360.42780599999</v>
      </c>
      <c r="AB275" s="28">
        <v>2423223.0824799999</v>
      </c>
    </row>
    <row r="276" spans="1:28">
      <c r="A276" s="17">
        <v>275</v>
      </c>
      <c r="B276" s="17">
        <v>813230</v>
      </c>
      <c r="C276" s="17" t="s">
        <v>1044</v>
      </c>
      <c r="D276" s="17" t="s">
        <v>52</v>
      </c>
      <c r="E276" s="17" t="s">
        <v>1748</v>
      </c>
      <c r="F276" s="17" t="s">
        <v>1061</v>
      </c>
      <c r="G276" s="17" t="s">
        <v>1749</v>
      </c>
      <c r="H276" s="17" t="s">
        <v>69</v>
      </c>
      <c r="I276" s="17">
        <v>20000</v>
      </c>
      <c r="J276" s="17" t="s">
        <v>54</v>
      </c>
      <c r="K276" s="17" t="s">
        <v>78</v>
      </c>
      <c r="L276" s="17" t="s">
        <v>20</v>
      </c>
      <c r="M276" s="17" t="s">
        <v>242</v>
      </c>
      <c r="N276" s="17" t="s">
        <v>20</v>
      </c>
      <c r="O276" s="17" t="s">
        <v>521</v>
      </c>
      <c r="P276" s="17" t="s">
        <v>20</v>
      </c>
      <c r="Q276" s="17" t="s">
        <v>564</v>
      </c>
      <c r="R276" s="17" t="s">
        <v>20</v>
      </c>
      <c r="S276" s="17" t="s">
        <v>546</v>
      </c>
      <c r="T276" s="17">
        <v>815</v>
      </c>
      <c r="U276" s="18">
        <v>0</v>
      </c>
      <c r="V276" s="17" t="s">
        <v>1750</v>
      </c>
      <c r="X276" s="17" t="s">
        <v>64</v>
      </c>
      <c r="Y276" s="17" t="s">
        <v>230</v>
      </c>
      <c r="Z276" s="17" t="s">
        <v>472</v>
      </c>
      <c r="AA276" s="28">
        <v>779537.43197000003</v>
      </c>
      <c r="AB276" s="28">
        <v>2423084.2041500001</v>
      </c>
    </row>
    <row r="277" spans="1:28">
      <c r="A277" s="17">
        <v>276</v>
      </c>
      <c r="B277" s="17">
        <v>813230</v>
      </c>
      <c r="C277" s="17" t="s">
        <v>1044</v>
      </c>
      <c r="D277" s="17" t="s">
        <v>52</v>
      </c>
      <c r="E277" s="17" t="s">
        <v>1751</v>
      </c>
      <c r="F277" s="17" t="s">
        <v>1061</v>
      </c>
      <c r="G277" s="17" t="s">
        <v>1752</v>
      </c>
      <c r="H277" s="17" t="s">
        <v>69</v>
      </c>
      <c r="I277" s="17">
        <v>20259</v>
      </c>
      <c r="J277" s="17" t="s">
        <v>54</v>
      </c>
      <c r="K277" s="17" t="s">
        <v>55</v>
      </c>
      <c r="L277" s="17" t="s">
        <v>56</v>
      </c>
      <c r="M277" s="17" t="s">
        <v>227</v>
      </c>
      <c r="N277" s="17" t="s">
        <v>20</v>
      </c>
      <c r="O277" s="17" t="s">
        <v>510</v>
      </c>
      <c r="P277" s="17" t="s">
        <v>56</v>
      </c>
      <c r="Q277" s="17" t="s">
        <v>486</v>
      </c>
      <c r="R277" s="17" t="s">
        <v>56</v>
      </c>
      <c r="S277" s="17" t="s">
        <v>486</v>
      </c>
      <c r="T277" s="17">
        <v>119</v>
      </c>
      <c r="U277" s="18">
        <v>0</v>
      </c>
      <c r="X277" s="17" t="s">
        <v>60</v>
      </c>
      <c r="Y277" s="17" t="s">
        <v>230</v>
      </c>
      <c r="Z277" s="17" t="s">
        <v>472</v>
      </c>
      <c r="AA277" s="28">
        <v>780831.32147099997</v>
      </c>
      <c r="AB277" s="28">
        <v>2422239.2770600002</v>
      </c>
    </row>
    <row r="278" spans="1:28">
      <c r="A278" s="17">
        <v>277</v>
      </c>
      <c r="B278" s="17">
        <v>813230</v>
      </c>
      <c r="C278" s="17" t="s">
        <v>1044</v>
      </c>
      <c r="D278" s="17" t="s">
        <v>52</v>
      </c>
      <c r="E278" s="17" t="s">
        <v>1753</v>
      </c>
      <c r="F278" s="17" t="s">
        <v>1061</v>
      </c>
      <c r="G278" s="17" t="s">
        <v>1754</v>
      </c>
      <c r="H278" s="17" t="s">
        <v>69</v>
      </c>
      <c r="I278" s="17">
        <v>20000</v>
      </c>
      <c r="J278" s="17" t="s">
        <v>54</v>
      </c>
      <c r="K278" s="17" t="s">
        <v>78</v>
      </c>
      <c r="L278" s="17" t="s">
        <v>20</v>
      </c>
      <c r="M278" s="17" t="s">
        <v>249</v>
      </c>
      <c r="N278" s="17" t="s">
        <v>20</v>
      </c>
      <c r="O278" s="17" t="s">
        <v>544</v>
      </c>
      <c r="P278" s="17" t="s">
        <v>20</v>
      </c>
      <c r="Q278" s="17" t="s">
        <v>1755</v>
      </c>
      <c r="R278" s="17" t="s">
        <v>20</v>
      </c>
      <c r="S278" s="17" t="s">
        <v>1755</v>
      </c>
      <c r="T278" s="17">
        <v>111</v>
      </c>
      <c r="U278" s="18">
        <v>0</v>
      </c>
      <c r="V278" s="17" t="s">
        <v>1716</v>
      </c>
      <c r="X278" s="17" t="s">
        <v>67</v>
      </c>
      <c r="Y278" s="17" t="s">
        <v>230</v>
      </c>
      <c r="Z278" s="17" t="s">
        <v>472</v>
      </c>
      <c r="AA278" s="28">
        <v>779831.90875599999</v>
      </c>
      <c r="AB278" s="28">
        <v>2422969.4639699999</v>
      </c>
    </row>
    <row r="279" spans="1:28">
      <c r="A279" s="17">
        <v>278</v>
      </c>
      <c r="B279" s="17">
        <v>813230</v>
      </c>
      <c r="C279" s="17" t="s">
        <v>1044</v>
      </c>
      <c r="D279" s="17" t="s">
        <v>52</v>
      </c>
      <c r="E279" s="17" t="s">
        <v>1756</v>
      </c>
      <c r="F279" s="17" t="s">
        <v>1061</v>
      </c>
      <c r="G279" s="17" t="s">
        <v>1577</v>
      </c>
      <c r="H279" s="17" t="s">
        <v>69</v>
      </c>
      <c r="I279" s="17">
        <v>20000</v>
      </c>
      <c r="J279" s="17" t="s">
        <v>54</v>
      </c>
      <c r="K279" s="17" t="s">
        <v>63</v>
      </c>
      <c r="L279" s="17" t="s">
        <v>20</v>
      </c>
      <c r="M279" s="17" t="s">
        <v>505</v>
      </c>
      <c r="N279" s="17" t="s">
        <v>20</v>
      </c>
      <c r="O279" s="17" t="s">
        <v>82</v>
      </c>
      <c r="P279" s="17" t="s">
        <v>20</v>
      </c>
      <c r="Q279" s="17" t="s">
        <v>386</v>
      </c>
      <c r="R279" s="17" t="s">
        <v>20</v>
      </c>
      <c r="S279" s="17" t="s">
        <v>484</v>
      </c>
      <c r="T279" s="17">
        <v>219</v>
      </c>
      <c r="U279" s="18">
        <v>0</v>
      </c>
      <c r="W279" s="17" t="s">
        <v>1757</v>
      </c>
      <c r="X279" s="17" t="s">
        <v>67</v>
      </c>
      <c r="Y279" s="17" t="s">
        <v>230</v>
      </c>
      <c r="Z279" s="17" t="s">
        <v>472</v>
      </c>
      <c r="AA279" s="28">
        <v>779702.64631400001</v>
      </c>
      <c r="AB279" s="28">
        <v>2422133.7430500002</v>
      </c>
    </row>
    <row r="280" spans="1:28">
      <c r="A280" s="17">
        <v>279</v>
      </c>
      <c r="B280" s="17">
        <v>813230</v>
      </c>
      <c r="C280" s="17" t="s">
        <v>1044</v>
      </c>
      <c r="D280" s="17" t="s">
        <v>52</v>
      </c>
      <c r="E280" s="17" t="s">
        <v>1758</v>
      </c>
      <c r="F280" s="17" t="s">
        <v>1061</v>
      </c>
      <c r="G280" s="17" t="s">
        <v>1759</v>
      </c>
      <c r="H280" s="17" t="s">
        <v>69</v>
      </c>
      <c r="I280" s="17">
        <v>20000</v>
      </c>
      <c r="J280" s="17" t="s">
        <v>54</v>
      </c>
      <c r="K280" s="17" t="s">
        <v>55</v>
      </c>
      <c r="L280" s="17" t="s">
        <v>20</v>
      </c>
      <c r="M280" s="17" t="s">
        <v>480</v>
      </c>
      <c r="N280" s="17" t="s">
        <v>20</v>
      </c>
      <c r="O280" s="17" t="s">
        <v>526</v>
      </c>
      <c r="P280" s="17" t="s">
        <v>20</v>
      </c>
      <c r="Q280" s="17" t="s">
        <v>481</v>
      </c>
      <c r="R280" s="17" t="s">
        <v>20</v>
      </c>
      <c r="S280" s="17" t="s">
        <v>525</v>
      </c>
      <c r="T280" s="17">
        <v>101</v>
      </c>
      <c r="U280" s="18">
        <v>0</v>
      </c>
      <c r="X280" s="17" t="s">
        <v>64</v>
      </c>
      <c r="Y280" s="17" t="s">
        <v>230</v>
      </c>
      <c r="Z280" s="17" t="s">
        <v>472</v>
      </c>
      <c r="AA280" s="28">
        <v>780011.68303800002</v>
      </c>
      <c r="AB280" s="28">
        <v>2422664.7557299999</v>
      </c>
    </row>
    <row r="281" spans="1:28">
      <c r="A281" s="17">
        <v>280</v>
      </c>
      <c r="B281" s="17">
        <v>813230</v>
      </c>
      <c r="C281" s="17" t="s">
        <v>1044</v>
      </c>
      <c r="D281" s="17" t="s">
        <v>52</v>
      </c>
      <c r="E281" s="17" t="s">
        <v>1760</v>
      </c>
      <c r="F281" s="17" t="s">
        <v>1061</v>
      </c>
      <c r="G281" s="17" t="s">
        <v>1761</v>
      </c>
      <c r="H281" s="17" t="s">
        <v>69</v>
      </c>
      <c r="I281" s="17">
        <v>20000</v>
      </c>
      <c r="J281" s="17" t="s">
        <v>54</v>
      </c>
      <c r="K281" s="17" t="s">
        <v>63</v>
      </c>
      <c r="L281" s="17" t="s">
        <v>20</v>
      </c>
      <c r="M281" s="17" t="s">
        <v>85</v>
      </c>
      <c r="N281" s="17" t="s">
        <v>56</v>
      </c>
      <c r="O281" s="17" t="s">
        <v>71</v>
      </c>
      <c r="P281" s="17" t="s">
        <v>20</v>
      </c>
      <c r="Q281" s="17" t="s">
        <v>505</v>
      </c>
      <c r="R281" s="17" t="s">
        <v>20</v>
      </c>
      <c r="S281" s="17" t="s">
        <v>1702</v>
      </c>
      <c r="T281" s="17">
        <v>104</v>
      </c>
      <c r="U281" s="18">
        <v>0</v>
      </c>
      <c r="V281" s="17" t="s">
        <v>1762</v>
      </c>
      <c r="X281" s="17" t="s">
        <v>60</v>
      </c>
      <c r="Y281" s="17" t="s">
        <v>230</v>
      </c>
      <c r="Z281" s="17" t="s">
        <v>472</v>
      </c>
      <c r="AA281" s="28">
        <v>779756.26433699997</v>
      </c>
      <c r="AB281" s="28">
        <v>2422204.7754600001</v>
      </c>
    </row>
    <row r="282" spans="1:28">
      <c r="A282" s="17">
        <v>281</v>
      </c>
      <c r="B282" s="17">
        <v>813230</v>
      </c>
      <c r="C282" s="17" t="s">
        <v>1044</v>
      </c>
      <c r="D282" s="17" t="s">
        <v>52</v>
      </c>
      <c r="E282" s="17" t="s">
        <v>1763</v>
      </c>
      <c r="F282" s="17" t="s">
        <v>1061</v>
      </c>
      <c r="H282" s="17" t="s">
        <v>69</v>
      </c>
      <c r="I282" s="17">
        <v>20000</v>
      </c>
      <c r="J282" s="17" t="s">
        <v>54</v>
      </c>
      <c r="K282" s="17" t="s">
        <v>55</v>
      </c>
      <c r="L282" s="17" t="s">
        <v>20</v>
      </c>
      <c r="M282" s="17" t="s">
        <v>82</v>
      </c>
      <c r="N282" s="17" t="s">
        <v>20</v>
      </c>
      <c r="O282" s="17" t="s">
        <v>484</v>
      </c>
      <c r="P282" s="17" t="s">
        <v>56</v>
      </c>
      <c r="Q282" s="17" t="s">
        <v>286</v>
      </c>
      <c r="R282" s="17" t="s">
        <v>20</v>
      </c>
      <c r="S282" s="17" t="s">
        <v>1764</v>
      </c>
      <c r="T282" s="17">
        <v>221</v>
      </c>
      <c r="U282" s="18">
        <v>0</v>
      </c>
      <c r="X282" s="17" t="s">
        <v>60</v>
      </c>
      <c r="Y282" s="17" t="s">
        <v>230</v>
      </c>
      <c r="Z282" s="17" t="s">
        <v>472</v>
      </c>
      <c r="AA282" s="28">
        <v>779842.66659599997</v>
      </c>
      <c r="AB282" s="28">
        <v>2421941.56856</v>
      </c>
    </row>
    <row r="283" spans="1:28">
      <c r="A283" s="17">
        <v>282</v>
      </c>
      <c r="B283" s="17">
        <v>813230</v>
      </c>
      <c r="C283" s="17" t="s">
        <v>1044</v>
      </c>
      <c r="D283" s="17" t="s">
        <v>52</v>
      </c>
      <c r="E283" s="17" t="s">
        <v>1765</v>
      </c>
      <c r="F283" s="17" t="s">
        <v>1061</v>
      </c>
      <c r="G283" s="17" t="s">
        <v>1766</v>
      </c>
      <c r="H283" s="17" t="s">
        <v>69</v>
      </c>
      <c r="I283" s="17">
        <v>20000</v>
      </c>
      <c r="J283" s="17" t="s">
        <v>54</v>
      </c>
      <c r="K283" s="17" t="s">
        <v>55</v>
      </c>
      <c r="L283" s="17" t="s">
        <v>20</v>
      </c>
      <c r="M283" s="17" t="s">
        <v>262</v>
      </c>
      <c r="N283" s="17" t="s">
        <v>20</v>
      </c>
      <c r="O283" s="17" t="s">
        <v>242</v>
      </c>
      <c r="P283" s="17" t="s">
        <v>311</v>
      </c>
      <c r="Q283" s="17" t="s">
        <v>385</v>
      </c>
      <c r="R283" s="17" t="s">
        <v>20</v>
      </c>
      <c r="S283" s="17" t="s">
        <v>81</v>
      </c>
      <c r="T283" s="17">
        <v>312</v>
      </c>
      <c r="U283" s="18">
        <v>0</v>
      </c>
      <c r="X283" s="17" t="s">
        <v>60</v>
      </c>
      <c r="Y283" s="17" t="s">
        <v>230</v>
      </c>
      <c r="Z283" s="17" t="s">
        <v>472</v>
      </c>
      <c r="AA283" s="28">
        <v>779458.44755499996</v>
      </c>
      <c r="AB283" s="28">
        <v>2422861.3642699998</v>
      </c>
    </row>
    <row r="284" spans="1:28">
      <c r="A284" s="17">
        <v>283</v>
      </c>
      <c r="B284" s="17">
        <v>813230</v>
      </c>
      <c r="C284" s="17" t="s">
        <v>1044</v>
      </c>
      <c r="D284" s="17" t="s">
        <v>52</v>
      </c>
      <c r="E284" s="17" t="s">
        <v>1767</v>
      </c>
      <c r="F284" s="17" t="s">
        <v>1061</v>
      </c>
      <c r="G284" s="17" t="s">
        <v>1768</v>
      </c>
      <c r="H284" s="17" t="s">
        <v>69</v>
      </c>
      <c r="I284" s="17">
        <v>20000</v>
      </c>
      <c r="J284" s="17" t="s">
        <v>54</v>
      </c>
      <c r="K284" s="17" t="s">
        <v>63</v>
      </c>
      <c r="L284" s="17" t="s">
        <v>20</v>
      </c>
      <c r="M284" s="17" t="s">
        <v>484</v>
      </c>
      <c r="N284" s="17" t="s">
        <v>20</v>
      </c>
      <c r="O284" s="17" t="s">
        <v>82</v>
      </c>
      <c r="P284" s="17" t="s">
        <v>20</v>
      </c>
      <c r="Q284" s="17" t="s">
        <v>386</v>
      </c>
      <c r="R284" s="17" t="s">
        <v>20</v>
      </c>
      <c r="S284" s="17" t="s">
        <v>505</v>
      </c>
      <c r="T284" s="17">
        <v>318</v>
      </c>
      <c r="U284" s="18">
        <v>0</v>
      </c>
      <c r="V284" s="17" t="s">
        <v>1769</v>
      </c>
      <c r="X284" s="17" t="s">
        <v>60</v>
      </c>
      <c r="Y284" s="17" t="s">
        <v>230</v>
      </c>
      <c r="Z284" s="17" t="s">
        <v>472</v>
      </c>
      <c r="AA284" s="28">
        <v>779684.59240700002</v>
      </c>
      <c r="AB284" s="28">
        <v>2421977.79317</v>
      </c>
    </row>
    <row r="285" spans="1:28">
      <c r="A285" s="17">
        <v>284</v>
      </c>
      <c r="B285" s="17">
        <v>813230</v>
      </c>
      <c r="C285" s="17" t="s">
        <v>1044</v>
      </c>
      <c r="D285" s="17" t="s">
        <v>52</v>
      </c>
      <c r="E285" s="17" t="s">
        <v>1770</v>
      </c>
      <c r="F285" s="17" t="s">
        <v>1061</v>
      </c>
      <c r="G285" s="17" t="s">
        <v>150</v>
      </c>
      <c r="H285" s="17" t="s">
        <v>69</v>
      </c>
      <c r="I285" s="17">
        <v>20000</v>
      </c>
      <c r="J285" s="17" t="s">
        <v>54</v>
      </c>
      <c r="K285" s="17" t="s">
        <v>55</v>
      </c>
      <c r="L285" s="17" t="s">
        <v>20</v>
      </c>
      <c r="M285" s="17" t="s">
        <v>529</v>
      </c>
      <c r="N285" s="17" t="s">
        <v>20</v>
      </c>
      <c r="O285" s="17" t="s">
        <v>552</v>
      </c>
      <c r="P285" s="17" t="s">
        <v>20</v>
      </c>
      <c r="Q285" s="17" t="s">
        <v>481</v>
      </c>
      <c r="R285" s="17" t="s">
        <v>20</v>
      </c>
      <c r="S285" s="17" t="s">
        <v>553</v>
      </c>
      <c r="T285" s="17">
        <v>228</v>
      </c>
      <c r="U285" s="18">
        <v>5535643413</v>
      </c>
      <c r="V285" s="17" t="s">
        <v>1771</v>
      </c>
      <c r="W285" s="17" t="s">
        <v>1772</v>
      </c>
      <c r="X285" s="17" t="s">
        <v>60</v>
      </c>
      <c r="Y285" s="17" t="s">
        <v>230</v>
      </c>
      <c r="Z285" s="17" t="s">
        <v>472</v>
      </c>
      <c r="AA285" s="28">
        <v>779580.26283000002</v>
      </c>
      <c r="AB285" s="28">
        <v>2422606.9037799998</v>
      </c>
    </row>
    <row r="286" spans="1:28">
      <c r="A286" s="17">
        <v>285</v>
      </c>
      <c r="B286" s="17">
        <v>813230</v>
      </c>
      <c r="C286" s="17" t="s">
        <v>1044</v>
      </c>
      <c r="D286" s="17" t="s">
        <v>52</v>
      </c>
      <c r="E286" s="17" t="s">
        <v>1773</v>
      </c>
      <c r="F286" s="17" t="s">
        <v>1061</v>
      </c>
      <c r="G286" s="17" t="s">
        <v>1774</v>
      </c>
      <c r="H286" s="17" t="s">
        <v>104</v>
      </c>
      <c r="I286" s="17">
        <v>20249</v>
      </c>
      <c r="J286" s="17" t="s">
        <v>54</v>
      </c>
      <c r="K286" s="17" t="s">
        <v>55</v>
      </c>
      <c r="L286" s="17" t="s">
        <v>20</v>
      </c>
      <c r="M286" s="17" t="s">
        <v>476</v>
      </c>
      <c r="N286" s="17" t="s">
        <v>56</v>
      </c>
      <c r="O286" s="17" t="s">
        <v>286</v>
      </c>
      <c r="P286" s="17" t="s">
        <v>20</v>
      </c>
      <c r="Q286" s="17" t="s">
        <v>478</v>
      </c>
      <c r="R286" s="17" t="s">
        <v>56</v>
      </c>
      <c r="S286" s="17" t="s">
        <v>542</v>
      </c>
      <c r="T286" s="17">
        <v>108</v>
      </c>
      <c r="U286" s="18">
        <v>4492091446</v>
      </c>
      <c r="V286" s="17" t="s">
        <v>1775</v>
      </c>
      <c r="X286" s="17" t="s">
        <v>64</v>
      </c>
      <c r="Y286" s="17" t="s">
        <v>230</v>
      </c>
      <c r="Z286" s="17" t="s">
        <v>472</v>
      </c>
      <c r="AA286" s="28">
        <v>780863.11198000005</v>
      </c>
      <c r="AB286" s="28">
        <v>2421850.1563400002</v>
      </c>
    </row>
    <row r="287" spans="1:28">
      <c r="A287" s="17">
        <v>286</v>
      </c>
      <c r="B287" s="17">
        <v>813230</v>
      </c>
      <c r="C287" s="17" t="s">
        <v>1044</v>
      </c>
      <c r="D287" s="17" t="s">
        <v>52</v>
      </c>
      <c r="E287" s="17" t="s">
        <v>1776</v>
      </c>
      <c r="F287" s="17" t="s">
        <v>1061</v>
      </c>
      <c r="G287" s="17" t="s">
        <v>1777</v>
      </c>
      <c r="H287" s="17" t="s">
        <v>104</v>
      </c>
      <c r="I287" s="17">
        <v>20240</v>
      </c>
      <c r="J287" s="17" t="s">
        <v>54</v>
      </c>
      <c r="K287" s="17" t="s">
        <v>55</v>
      </c>
      <c r="L287" s="17" t="s">
        <v>20</v>
      </c>
      <c r="M287" s="17" t="s">
        <v>560</v>
      </c>
      <c r="N287" s="17" t="s">
        <v>58</v>
      </c>
      <c r="O287" s="17" t="s">
        <v>560</v>
      </c>
      <c r="P287" s="17" t="s">
        <v>20</v>
      </c>
      <c r="Q287" s="17" t="s">
        <v>492</v>
      </c>
      <c r="R287" s="17" t="s">
        <v>20</v>
      </c>
      <c r="S287" s="17" t="s">
        <v>1778</v>
      </c>
      <c r="T287" s="17">
        <v>1023</v>
      </c>
      <c r="U287" s="18">
        <v>4492296094</v>
      </c>
      <c r="V287" s="17" t="s">
        <v>1779</v>
      </c>
      <c r="X287" s="17" t="s">
        <v>64</v>
      </c>
      <c r="Y287" s="17" t="s">
        <v>230</v>
      </c>
      <c r="Z287" s="17" t="s">
        <v>472</v>
      </c>
      <c r="AA287" s="28">
        <v>780339.58862599998</v>
      </c>
      <c r="AB287" s="28">
        <v>2421055.3281399999</v>
      </c>
    </row>
    <row r="288" spans="1:28">
      <c r="A288" s="17">
        <v>287</v>
      </c>
      <c r="B288" s="17">
        <v>813230</v>
      </c>
      <c r="C288" s="17" t="s">
        <v>1044</v>
      </c>
      <c r="D288" s="17" t="s">
        <v>52</v>
      </c>
      <c r="E288" s="17" t="s">
        <v>1780</v>
      </c>
      <c r="F288" s="17" t="s">
        <v>1061</v>
      </c>
      <c r="G288" s="17" t="s">
        <v>1781</v>
      </c>
      <c r="H288" s="17" t="s">
        <v>104</v>
      </c>
      <c r="I288" s="17">
        <v>20050</v>
      </c>
      <c r="J288" s="17" t="s">
        <v>54</v>
      </c>
      <c r="K288" s="17" t="s">
        <v>55</v>
      </c>
      <c r="L288" s="17" t="s">
        <v>20</v>
      </c>
      <c r="M288" s="17" t="s">
        <v>259</v>
      </c>
      <c r="N288" s="17" t="s">
        <v>20</v>
      </c>
      <c r="O288" s="17" t="s">
        <v>261</v>
      </c>
      <c r="P288" s="17" t="s">
        <v>20</v>
      </c>
      <c r="Q288" s="17" t="s">
        <v>252</v>
      </c>
      <c r="R288" s="17" t="s">
        <v>20</v>
      </c>
      <c r="S288" s="17" t="s">
        <v>1657</v>
      </c>
      <c r="T288" s="17">
        <v>225</v>
      </c>
      <c r="U288" s="18">
        <v>0</v>
      </c>
      <c r="X288" s="17" t="s">
        <v>60</v>
      </c>
      <c r="Y288" s="17" t="s">
        <v>230</v>
      </c>
      <c r="Z288" s="17" t="s">
        <v>472</v>
      </c>
      <c r="AA288" s="28">
        <v>780026.88108800002</v>
      </c>
      <c r="AB288" s="28">
        <v>2423285.9888200001</v>
      </c>
    </row>
    <row r="289" spans="1:28">
      <c r="A289" s="17">
        <v>288</v>
      </c>
      <c r="B289" s="17">
        <v>813230</v>
      </c>
      <c r="C289" s="17" t="s">
        <v>1044</v>
      </c>
      <c r="D289" s="17" t="s">
        <v>52</v>
      </c>
      <c r="E289" s="17" t="s">
        <v>1782</v>
      </c>
      <c r="F289" s="17" t="s">
        <v>1061</v>
      </c>
      <c r="G289" s="17" t="s">
        <v>1783</v>
      </c>
      <c r="H289" s="17" t="s">
        <v>92</v>
      </c>
      <c r="I289" s="17">
        <v>20260</v>
      </c>
      <c r="J289" s="17" t="s">
        <v>54</v>
      </c>
      <c r="K289" s="17" t="s">
        <v>55</v>
      </c>
      <c r="L289" s="17" t="s">
        <v>20</v>
      </c>
      <c r="M289" s="17" t="s">
        <v>490</v>
      </c>
      <c r="N289" s="17" t="s">
        <v>56</v>
      </c>
      <c r="O289" s="17" t="s">
        <v>381</v>
      </c>
      <c r="P289" s="17" t="s">
        <v>20</v>
      </c>
      <c r="Q289" s="17" t="s">
        <v>491</v>
      </c>
      <c r="R289" s="17" t="s">
        <v>56</v>
      </c>
      <c r="S289" s="17" t="s">
        <v>542</v>
      </c>
      <c r="T289" s="17">
        <v>411</v>
      </c>
      <c r="U289" s="18">
        <v>0</v>
      </c>
      <c r="X289" s="17" t="s">
        <v>60</v>
      </c>
      <c r="Y289" s="17" t="s">
        <v>230</v>
      </c>
      <c r="Z289" s="17" t="s">
        <v>472</v>
      </c>
      <c r="AA289" s="28">
        <v>781033.38140700001</v>
      </c>
      <c r="AB289" s="28">
        <v>2420827.0903699999</v>
      </c>
    </row>
    <row r="290" spans="1:28">
      <c r="A290" s="17">
        <v>289</v>
      </c>
      <c r="B290" s="17">
        <v>623311</v>
      </c>
      <c r="C290" s="17" t="s">
        <v>1044</v>
      </c>
      <c r="D290" s="17" t="s">
        <v>52</v>
      </c>
      <c r="E290" s="17" t="s">
        <v>1784</v>
      </c>
      <c r="F290" s="17" t="s">
        <v>1345</v>
      </c>
      <c r="H290" s="17" t="s">
        <v>53</v>
      </c>
      <c r="I290" s="17">
        <v>20059</v>
      </c>
      <c r="J290" s="17" t="s">
        <v>54</v>
      </c>
      <c r="K290" s="17" t="s">
        <v>63</v>
      </c>
      <c r="L290" s="17" t="s">
        <v>20</v>
      </c>
      <c r="M290" s="17" t="s">
        <v>580</v>
      </c>
      <c r="N290" s="17" t="s">
        <v>20</v>
      </c>
      <c r="O290" s="17" t="s">
        <v>581</v>
      </c>
      <c r="P290" s="17" t="s">
        <v>58</v>
      </c>
      <c r="Q290" s="17" t="s">
        <v>59</v>
      </c>
      <c r="R290" s="17" t="s">
        <v>56</v>
      </c>
      <c r="S290" s="17" t="s">
        <v>140</v>
      </c>
      <c r="T290" s="17">
        <v>235</v>
      </c>
      <c r="U290" s="18">
        <v>0</v>
      </c>
      <c r="X290" s="17" t="s">
        <v>64</v>
      </c>
      <c r="Y290" s="17" t="s">
        <v>144</v>
      </c>
      <c r="Z290" s="17" t="s">
        <v>472</v>
      </c>
      <c r="AA290" s="28">
        <v>778485.08773899998</v>
      </c>
      <c r="AB290" s="28">
        <v>2422377.3177200002</v>
      </c>
    </row>
    <row r="291" spans="1:28">
      <c r="A291" s="17">
        <v>290</v>
      </c>
      <c r="B291" s="17">
        <v>623311</v>
      </c>
      <c r="C291" s="17" t="s">
        <v>1044</v>
      </c>
      <c r="D291" s="17" t="s">
        <v>52</v>
      </c>
      <c r="E291" s="17" t="s">
        <v>1785</v>
      </c>
      <c r="F291" s="17" t="s">
        <v>1345</v>
      </c>
      <c r="G291" s="17" t="s">
        <v>1786</v>
      </c>
      <c r="H291" s="17" t="s">
        <v>53</v>
      </c>
      <c r="I291" s="17">
        <v>20059</v>
      </c>
      <c r="J291" s="17" t="s">
        <v>54</v>
      </c>
      <c r="K291" s="17" t="s">
        <v>55</v>
      </c>
      <c r="L291" s="17" t="s">
        <v>56</v>
      </c>
      <c r="M291" s="17" t="s">
        <v>140</v>
      </c>
      <c r="N291" s="17" t="s">
        <v>20</v>
      </c>
      <c r="O291" s="17" t="s">
        <v>581</v>
      </c>
      <c r="P291" s="17" t="s">
        <v>58</v>
      </c>
      <c r="Q291" s="17" t="s">
        <v>140</v>
      </c>
      <c r="R291" s="17" t="s">
        <v>20</v>
      </c>
      <c r="S291" s="17" t="s">
        <v>1787</v>
      </c>
      <c r="T291" s="17">
        <v>434</v>
      </c>
      <c r="U291" s="18">
        <v>4499167608</v>
      </c>
      <c r="X291" s="17" t="s">
        <v>67</v>
      </c>
      <c r="Y291" s="17" t="s">
        <v>144</v>
      </c>
      <c r="Z291" s="17" t="s">
        <v>472</v>
      </c>
      <c r="AA291" s="28">
        <v>778461.30669100001</v>
      </c>
      <c r="AB291" s="28">
        <v>2422495.9621299999</v>
      </c>
    </row>
    <row r="292" spans="1:28">
      <c r="A292" s="17">
        <v>291</v>
      </c>
      <c r="B292" s="17">
        <v>623311</v>
      </c>
      <c r="C292" s="17" t="s">
        <v>1044</v>
      </c>
      <c r="D292" s="17" t="s">
        <v>52</v>
      </c>
      <c r="E292" s="17" t="s">
        <v>1788</v>
      </c>
      <c r="F292" s="17" t="s">
        <v>1345</v>
      </c>
      <c r="G292" s="17" t="s">
        <v>1789</v>
      </c>
      <c r="H292" s="17" t="s">
        <v>53</v>
      </c>
      <c r="I292" s="17">
        <v>20070</v>
      </c>
      <c r="J292" s="17" t="s">
        <v>54</v>
      </c>
      <c r="K292" s="17" t="s">
        <v>55</v>
      </c>
      <c r="L292" s="17" t="s">
        <v>20</v>
      </c>
      <c r="M292" s="17" t="s">
        <v>284</v>
      </c>
      <c r="N292" s="17" t="s">
        <v>20</v>
      </c>
      <c r="O292" s="17" t="s">
        <v>572</v>
      </c>
      <c r="P292" s="17" t="s">
        <v>20</v>
      </c>
      <c r="Q292" s="17" t="s">
        <v>571</v>
      </c>
      <c r="R292" s="17" t="s">
        <v>20</v>
      </c>
      <c r="S292" s="17" t="s">
        <v>574</v>
      </c>
      <c r="T292" s="17">
        <v>661</v>
      </c>
      <c r="U292" s="18">
        <v>0</v>
      </c>
      <c r="X292" s="17" t="s">
        <v>67</v>
      </c>
      <c r="Y292" s="17" t="s">
        <v>144</v>
      </c>
      <c r="Z292" s="17" t="s">
        <v>472</v>
      </c>
      <c r="AA292" s="28">
        <v>778391.64980400004</v>
      </c>
      <c r="AB292" s="28">
        <v>2421632.5085800001</v>
      </c>
    </row>
    <row r="293" spans="1:28">
      <c r="A293" s="17">
        <v>292</v>
      </c>
      <c r="B293" s="17">
        <v>623991</v>
      </c>
      <c r="C293" s="17" t="s">
        <v>1044</v>
      </c>
      <c r="D293" s="17" t="s">
        <v>52</v>
      </c>
      <c r="E293" s="17" t="s">
        <v>1790</v>
      </c>
      <c r="F293" s="17" t="s">
        <v>1350</v>
      </c>
      <c r="G293" s="17" t="s">
        <v>1791</v>
      </c>
      <c r="H293" s="17" t="s">
        <v>53</v>
      </c>
      <c r="I293" s="17">
        <v>20070</v>
      </c>
      <c r="J293" s="17" t="s">
        <v>54</v>
      </c>
      <c r="K293" s="17" t="s">
        <v>63</v>
      </c>
      <c r="L293" s="17" t="s">
        <v>20</v>
      </c>
      <c r="M293" s="17" t="s">
        <v>594</v>
      </c>
      <c r="N293" s="17" t="s">
        <v>20</v>
      </c>
      <c r="O293" s="17" t="s">
        <v>595</v>
      </c>
      <c r="P293" s="17" t="s">
        <v>20</v>
      </c>
      <c r="Q293" s="17" t="s">
        <v>197</v>
      </c>
      <c r="R293" s="17" t="s">
        <v>20</v>
      </c>
      <c r="S293" s="17" t="s">
        <v>284</v>
      </c>
      <c r="T293" s="17">
        <v>111</v>
      </c>
      <c r="U293" s="18">
        <v>0</v>
      </c>
      <c r="X293" s="17" t="s">
        <v>67</v>
      </c>
      <c r="Y293" s="17" t="s">
        <v>144</v>
      </c>
      <c r="Z293" s="17" t="s">
        <v>472</v>
      </c>
      <c r="AA293" s="28">
        <v>778978.03415900003</v>
      </c>
      <c r="AB293" s="28">
        <v>2421790.7712300001</v>
      </c>
    </row>
    <row r="294" spans="1:28">
      <c r="A294" s="17">
        <v>293</v>
      </c>
      <c r="B294" s="17">
        <v>623991</v>
      </c>
      <c r="C294" s="17" t="s">
        <v>1044</v>
      </c>
      <c r="D294" s="17" t="s">
        <v>52</v>
      </c>
      <c r="E294" s="17" t="s">
        <v>1792</v>
      </c>
      <c r="F294" s="17" t="s">
        <v>1350</v>
      </c>
      <c r="H294" s="17" t="s">
        <v>69</v>
      </c>
      <c r="I294" s="17">
        <v>20230</v>
      </c>
      <c r="J294" s="17" t="s">
        <v>54</v>
      </c>
      <c r="K294" s="17" t="s">
        <v>55</v>
      </c>
      <c r="L294" s="17" t="s">
        <v>20</v>
      </c>
      <c r="M294" s="17" t="s">
        <v>576</v>
      </c>
      <c r="N294" s="17" t="s">
        <v>56</v>
      </c>
      <c r="O294" s="17" t="s">
        <v>387</v>
      </c>
      <c r="P294" s="17" t="s">
        <v>311</v>
      </c>
      <c r="Q294" s="17" t="s">
        <v>1793</v>
      </c>
      <c r="R294" s="17" t="s">
        <v>161</v>
      </c>
      <c r="S294" s="17" t="s">
        <v>561</v>
      </c>
      <c r="T294" s="17">
        <v>516</v>
      </c>
      <c r="U294" s="18">
        <v>4499804569</v>
      </c>
      <c r="X294" s="17" t="s">
        <v>60</v>
      </c>
      <c r="Y294" s="17" t="s">
        <v>144</v>
      </c>
      <c r="Z294" s="17" t="s">
        <v>472</v>
      </c>
      <c r="AA294" s="28">
        <v>779318.26810300001</v>
      </c>
      <c r="AB294" s="28">
        <v>2421295.7660400001</v>
      </c>
    </row>
    <row r="295" spans="1:28">
      <c r="A295" s="17">
        <v>294</v>
      </c>
      <c r="B295" s="17">
        <v>624111</v>
      </c>
      <c r="C295" s="17" t="s">
        <v>1044</v>
      </c>
      <c r="D295" s="17" t="s">
        <v>52</v>
      </c>
      <c r="E295" s="17" t="s">
        <v>1794</v>
      </c>
      <c r="F295" s="17" t="s">
        <v>1078</v>
      </c>
      <c r="G295" s="17" t="s">
        <v>1795</v>
      </c>
      <c r="H295" s="17" t="s">
        <v>53</v>
      </c>
      <c r="I295" s="17">
        <v>20059</v>
      </c>
      <c r="J295" s="17" t="s">
        <v>54</v>
      </c>
      <c r="K295" s="17" t="s">
        <v>78</v>
      </c>
      <c r="L295" s="17" t="s">
        <v>20</v>
      </c>
      <c r="M295" s="17" t="s">
        <v>273</v>
      </c>
      <c r="N295" s="17" t="s">
        <v>20</v>
      </c>
      <c r="O295" s="17" t="s">
        <v>570</v>
      </c>
      <c r="P295" s="17" t="s">
        <v>20</v>
      </c>
      <c r="Q295" s="17" t="s">
        <v>127</v>
      </c>
      <c r="R295" s="17" t="s">
        <v>56</v>
      </c>
      <c r="S295" s="17" t="s">
        <v>140</v>
      </c>
      <c r="T295" s="17">
        <v>117</v>
      </c>
      <c r="U295" s="18">
        <v>4499156526</v>
      </c>
      <c r="V295" s="17" t="s">
        <v>1796</v>
      </c>
      <c r="W295" s="17" t="s">
        <v>1797</v>
      </c>
      <c r="X295" s="17" t="s">
        <v>67</v>
      </c>
      <c r="Y295" s="17" t="s">
        <v>144</v>
      </c>
      <c r="Z295" s="17" t="s">
        <v>472</v>
      </c>
      <c r="AA295" s="28">
        <v>778983.83351999999</v>
      </c>
      <c r="AB295" s="28">
        <v>2422227.1972599998</v>
      </c>
    </row>
    <row r="296" spans="1:28">
      <c r="A296" s="17">
        <v>295</v>
      </c>
      <c r="B296" s="17">
        <v>624111</v>
      </c>
      <c r="C296" s="17" t="s">
        <v>1044</v>
      </c>
      <c r="D296" s="17" t="s">
        <v>52</v>
      </c>
      <c r="E296" s="17" t="s">
        <v>1798</v>
      </c>
      <c r="F296" s="17" t="s">
        <v>1078</v>
      </c>
      <c r="G296" s="17" t="s">
        <v>1799</v>
      </c>
      <c r="H296" s="17" t="s">
        <v>69</v>
      </c>
      <c r="I296" s="17">
        <v>20000</v>
      </c>
      <c r="J296" s="17" t="s">
        <v>54</v>
      </c>
      <c r="K296" s="17" t="s">
        <v>78</v>
      </c>
      <c r="L296" s="17" t="s">
        <v>20</v>
      </c>
      <c r="M296" s="17" t="s">
        <v>284</v>
      </c>
      <c r="N296" s="17" t="s">
        <v>20</v>
      </c>
      <c r="O296" s="17" t="s">
        <v>576</v>
      </c>
      <c r="P296" s="17" t="s">
        <v>20</v>
      </c>
      <c r="Q296" s="17" t="s">
        <v>587</v>
      </c>
      <c r="R296" s="17" t="s">
        <v>20</v>
      </c>
      <c r="S296" s="17" t="s">
        <v>177</v>
      </c>
      <c r="T296" s="17">
        <v>214</v>
      </c>
      <c r="U296" s="18">
        <v>4499280572</v>
      </c>
      <c r="V296" s="17" t="s">
        <v>1800</v>
      </c>
      <c r="X296" s="17" t="s">
        <v>67</v>
      </c>
      <c r="Y296" s="17" t="s">
        <v>144</v>
      </c>
      <c r="Z296" s="17" t="s">
        <v>472</v>
      </c>
      <c r="AA296" s="28">
        <v>779187.96772900003</v>
      </c>
      <c r="AB296" s="28">
        <v>2421945.5726800002</v>
      </c>
    </row>
    <row r="297" spans="1:28">
      <c r="A297" s="17">
        <v>296</v>
      </c>
      <c r="B297" s="17">
        <v>624211</v>
      </c>
      <c r="C297" s="17" t="s">
        <v>1044</v>
      </c>
      <c r="D297" s="17" t="s">
        <v>52</v>
      </c>
      <c r="E297" s="17" t="s">
        <v>1801</v>
      </c>
      <c r="F297" s="17" t="s">
        <v>1080</v>
      </c>
      <c r="G297" s="17" t="s">
        <v>1802</v>
      </c>
      <c r="H297" s="17" t="s">
        <v>53</v>
      </c>
      <c r="I297" s="17">
        <v>20070</v>
      </c>
      <c r="J297" s="17" t="s">
        <v>54</v>
      </c>
      <c r="K297" s="17" t="s">
        <v>55</v>
      </c>
      <c r="L297" s="17" t="s">
        <v>20</v>
      </c>
      <c r="M297" s="17" t="s">
        <v>273</v>
      </c>
      <c r="N297" s="17" t="s">
        <v>20</v>
      </c>
      <c r="O297" s="17" t="s">
        <v>596</v>
      </c>
      <c r="P297" s="17" t="s">
        <v>20</v>
      </c>
      <c r="Q297" s="17" t="s">
        <v>127</v>
      </c>
      <c r="R297" s="17" t="s">
        <v>20</v>
      </c>
      <c r="S297" s="17" t="s">
        <v>585</v>
      </c>
      <c r="T297" s="17">
        <v>202</v>
      </c>
      <c r="U297" s="18">
        <v>4499159294</v>
      </c>
      <c r="X297" s="17" t="s">
        <v>67</v>
      </c>
      <c r="Y297" s="17" t="s">
        <v>144</v>
      </c>
      <c r="Z297" s="17" t="s">
        <v>472</v>
      </c>
      <c r="AA297" s="28">
        <v>778900.74146000005</v>
      </c>
      <c r="AB297" s="28">
        <v>2422221.9164700001</v>
      </c>
    </row>
    <row r="298" spans="1:28">
      <c r="A298" s="17">
        <v>297</v>
      </c>
      <c r="B298" s="17">
        <v>624312</v>
      </c>
      <c r="C298" s="17" t="s">
        <v>1044</v>
      </c>
      <c r="D298" s="17" t="s">
        <v>52</v>
      </c>
      <c r="E298" s="17" t="s">
        <v>1803</v>
      </c>
      <c r="F298" s="17" t="s">
        <v>1132</v>
      </c>
      <c r="G298" s="17" t="s">
        <v>1804</v>
      </c>
      <c r="H298" s="17" t="s">
        <v>53</v>
      </c>
      <c r="I298" s="17">
        <v>20070</v>
      </c>
      <c r="J298" s="17" t="s">
        <v>54</v>
      </c>
      <c r="K298" s="17" t="s">
        <v>78</v>
      </c>
      <c r="L298" s="17" t="s">
        <v>20</v>
      </c>
      <c r="M298" s="17" t="s">
        <v>575</v>
      </c>
      <c r="N298" s="17" t="s">
        <v>20</v>
      </c>
      <c r="O298" s="17" t="s">
        <v>574</v>
      </c>
      <c r="P298" s="17" t="s">
        <v>20</v>
      </c>
      <c r="Q298" s="17" t="s">
        <v>582</v>
      </c>
      <c r="R298" s="17" t="s">
        <v>20</v>
      </c>
      <c r="S298" s="17" t="s">
        <v>583</v>
      </c>
      <c r="T298" s="17">
        <v>216</v>
      </c>
      <c r="U298" s="18">
        <v>0</v>
      </c>
      <c r="X298" s="17" t="s">
        <v>67</v>
      </c>
      <c r="Y298" s="17" t="s">
        <v>144</v>
      </c>
      <c r="Z298" s="17" t="s">
        <v>472</v>
      </c>
      <c r="AA298" s="28">
        <v>778490.56989799999</v>
      </c>
      <c r="AB298" s="28">
        <v>2421939.2575500002</v>
      </c>
    </row>
    <row r="299" spans="1:28">
      <c r="A299" s="17">
        <v>298</v>
      </c>
      <c r="B299" s="17">
        <v>624411</v>
      </c>
      <c r="C299" s="17" t="s">
        <v>1044</v>
      </c>
      <c r="D299" s="17" t="s">
        <v>52</v>
      </c>
      <c r="E299" s="17" t="s">
        <v>1262</v>
      </c>
      <c r="F299" s="17" t="s">
        <v>1046</v>
      </c>
      <c r="G299" s="17" t="s">
        <v>1263</v>
      </c>
      <c r="H299" s="17" t="s">
        <v>69</v>
      </c>
      <c r="I299" s="17">
        <v>20000</v>
      </c>
      <c r="J299" s="17" t="s">
        <v>54</v>
      </c>
      <c r="K299" s="17" t="s">
        <v>132</v>
      </c>
      <c r="L299" s="17" t="s">
        <v>56</v>
      </c>
      <c r="M299" s="17" t="s">
        <v>1805</v>
      </c>
      <c r="N299" s="17" t="s">
        <v>20</v>
      </c>
      <c r="O299" s="17" t="s">
        <v>595</v>
      </c>
      <c r="P299" s="17" t="s">
        <v>56</v>
      </c>
      <c r="Q299" s="17" t="s">
        <v>1806</v>
      </c>
      <c r="R299" s="17" t="s">
        <v>20</v>
      </c>
      <c r="S299" s="17" t="s">
        <v>1807</v>
      </c>
      <c r="T299" s="17">
        <v>404</v>
      </c>
      <c r="U299" s="18">
        <v>0</v>
      </c>
      <c r="V299" s="17" t="s">
        <v>1808</v>
      </c>
      <c r="X299" s="17" t="s">
        <v>67</v>
      </c>
      <c r="Y299" s="17" t="s">
        <v>144</v>
      </c>
      <c r="Z299" s="17" t="s">
        <v>472</v>
      </c>
      <c r="AA299" s="28">
        <v>779021.61752199999</v>
      </c>
      <c r="AB299" s="28">
        <v>2421705.2354199998</v>
      </c>
    </row>
    <row r="300" spans="1:28">
      <c r="A300" s="17">
        <v>299</v>
      </c>
      <c r="B300" s="17">
        <v>624411</v>
      </c>
      <c r="C300" s="17" t="s">
        <v>1044</v>
      </c>
      <c r="D300" s="17" t="s">
        <v>52</v>
      </c>
      <c r="E300" s="17" t="s">
        <v>1809</v>
      </c>
      <c r="F300" s="17" t="s">
        <v>1046</v>
      </c>
      <c r="H300" s="17" t="s">
        <v>69</v>
      </c>
      <c r="I300" s="17">
        <v>20230</v>
      </c>
      <c r="J300" s="17" t="s">
        <v>54</v>
      </c>
      <c r="K300" s="17" t="s">
        <v>63</v>
      </c>
      <c r="L300" s="17" t="s">
        <v>20</v>
      </c>
      <c r="M300" s="17" t="s">
        <v>446</v>
      </c>
      <c r="N300" s="17" t="s">
        <v>20</v>
      </c>
      <c r="O300" s="17" t="s">
        <v>427</v>
      </c>
      <c r="P300" s="17" t="s">
        <v>20</v>
      </c>
      <c r="Q300" s="17" t="s">
        <v>576</v>
      </c>
      <c r="R300" s="17" t="s">
        <v>56</v>
      </c>
      <c r="S300" s="17" t="s">
        <v>387</v>
      </c>
      <c r="T300" s="17">
        <v>109</v>
      </c>
      <c r="U300" s="18">
        <v>4499154281</v>
      </c>
      <c r="V300" s="17" t="s">
        <v>1810</v>
      </c>
      <c r="X300" s="17" t="s">
        <v>67</v>
      </c>
      <c r="Y300" s="17" t="s">
        <v>144</v>
      </c>
      <c r="Z300" s="17" t="s">
        <v>472</v>
      </c>
      <c r="AA300" s="28">
        <v>779234.58882800001</v>
      </c>
      <c r="AB300" s="28">
        <v>2421187.8909800001</v>
      </c>
    </row>
    <row r="301" spans="1:28">
      <c r="A301" s="17">
        <v>300</v>
      </c>
      <c r="B301" s="17">
        <v>624411</v>
      </c>
      <c r="C301" s="17" t="s">
        <v>1044</v>
      </c>
      <c r="D301" s="17" t="s">
        <v>52</v>
      </c>
      <c r="E301" s="17" t="s">
        <v>1811</v>
      </c>
      <c r="F301" s="17" t="s">
        <v>1046</v>
      </c>
      <c r="G301" s="17" t="s">
        <v>1812</v>
      </c>
      <c r="H301" s="17" t="s">
        <v>69</v>
      </c>
      <c r="I301" s="17">
        <v>20230</v>
      </c>
      <c r="J301" s="17" t="s">
        <v>54</v>
      </c>
      <c r="K301" s="17" t="s">
        <v>88</v>
      </c>
      <c r="L301" s="17" t="s">
        <v>20</v>
      </c>
      <c r="M301" s="17" t="s">
        <v>1805</v>
      </c>
      <c r="N301" s="17" t="s">
        <v>56</v>
      </c>
      <c r="O301" s="17" t="s">
        <v>1813</v>
      </c>
      <c r="P301" s="17" t="s">
        <v>56</v>
      </c>
      <c r="Q301" s="17" t="s">
        <v>1814</v>
      </c>
      <c r="R301" s="17" t="s">
        <v>20</v>
      </c>
      <c r="S301" s="17" t="s">
        <v>1033</v>
      </c>
      <c r="T301" s="17">
        <v>404</v>
      </c>
      <c r="U301" s="18">
        <v>0</v>
      </c>
      <c r="V301" s="17" t="s">
        <v>1815</v>
      </c>
      <c r="X301" s="17" t="s">
        <v>60</v>
      </c>
      <c r="Y301" s="17" t="s">
        <v>144</v>
      </c>
      <c r="Z301" s="17" t="s">
        <v>472</v>
      </c>
      <c r="AA301" s="28">
        <v>779021.81088799995</v>
      </c>
      <c r="AB301" s="28">
        <v>2421705.2964400002</v>
      </c>
    </row>
    <row r="302" spans="1:28">
      <c r="A302" s="17">
        <v>301</v>
      </c>
      <c r="B302" s="17">
        <v>624112</v>
      </c>
      <c r="C302" s="17" t="s">
        <v>1044</v>
      </c>
      <c r="D302" s="17" t="s">
        <v>1008</v>
      </c>
      <c r="E302" s="17" t="s">
        <v>1816</v>
      </c>
      <c r="F302" s="17" t="s">
        <v>1149</v>
      </c>
      <c r="G302" s="17" t="s">
        <v>1817</v>
      </c>
      <c r="H302" s="17" t="s">
        <v>53</v>
      </c>
      <c r="I302" s="17">
        <v>20070</v>
      </c>
      <c r="J302" s="17" t="s">
        <v>54</v>
      </c>
      <c r="K302" s="17" t="s">
        <v>63</v>
      </c>
      <c r="L302" s="17" t="s">
        <v>20</v>
      </c>
      <c r="M302" s="17" t="s">
        <v>273</v>
      </c>
      <c r="N302" s="17" t="s">
        <v>20</v>
      </c>
      <c r="O302" s="17" t="s">
        <v>596</v>
      </c>
      <c r="P302" s="17" t="s">
        <v>20</v>
      </c>
      <c r="Q302" s="17" t="s">
        <v>127</v>
      </c>
      <c r="R302" s="17" t="s">
        <v>20</v>
      </c>
      <c r="S302" s="17" t="s">
        <v>585</v>
      </c>
      <c r="T302" s="17">
        <v>202</v>
      </c>
      <c r="U302" s="18">
        <v>0</v>
      </c>
      <c r="X302" s="17" t="s">
        <v>60</v>
      </c>
      <c r="Y302" s="17" t="s">
        <v>144</v>
      </c>
      <c r="Z302" s="17" t="s">
        <v>472</v>
      </c>
      <c r="AA302" s="28">
        <v>778900.74146000005</v>
      </c>
      <c r="AB302" s="28">
        <v>2422221.9164700001</v>
      </c>
    </row>
    <row r="303" spans="1:28">
      <c r="A303" s="17">
        <v>302</v>
      </c>
      <c r="B303" s="17">
        <v>624122</v>
      </c>
      <c r="C303" s="17" t="s">
        <v>1044</v>
      </c>
      <c r="D303" s="17" t="s">
        <v>1008</v>
      </c>
      <c r="E303" s="17" t="s">
        <v>1818</v>
      </c>
      <c r="F303" s="17" t="s">
        <v>1153</v>
      </c>
      <c r="G303" s="17" t="s">
        <v>1819</v>
      </c>
      <c r="H303" s="17" t="s">
        <v>53</v>
      </c>
      <c r="I303" s="17">
        <v>20059</v>
      </c>
      <c r="J303" s="17" t="s">
        <v>54</v>
      </c>
      <c r="K303" s="17" t="s">
        <v>63</v>
      </c>
      <c r="L303" s="17" t="s">
        <v>20</v>
      </c>
      <c r="M303" s="17" t="s">
        <v>271</v>
      </c>
      <c r="N303" s="17" t="s">
        <v>20</v>
      </c>
      <c r="O303" s="17" t="s">
        <v>580</v>
      </c>
      <c r="P303" s="17" t="s">
        <v>20</v>
      </c>
      <c r="Q303" s="17" t="s">
        <v>273</v>
      </c>
      <c r="R303" s="17" t="s">
        <v>20</v>
      </c>
      <c r="S303" s="17" t="s">
        <v>578</v>
      </c>
      <c r="T303" s="17">
        <v>0</v>
      </c>
      <c r="U303" s="18">
        <v>0</v>
      </c>
      <c r="X303" s="17" t="s">
        <v>67</v>
      </c>
      <c r="Y303" s="17" t="s">
        <v>144</v>
      </c>
      <c r="Z303" s="17" t="s">
        <v>472</v>
      </c>
      <c r="AA303" s="28">
        <v>778191.48014600005</v>
      </c>
      <c r="AB303" s="28">
        <v>2422310.6954399999</v>
      </c>
    </row>
    <row r="304" spans="1:28">
      <c r="A304" s="17">
        <v>303</v>
      </c>
      <c r="B304" s="17">
        <v>624122</v>
      </c>
      <c r="C304" s="17" t="s">
        <v>1044</v>
      </c>
      <c r="D304" s="17" t="s">
        <v>1008</v>
      </c>
      <c r="E304" s="17" t="s">
        <v>1820</v>
      </c>
      <c r="F304" s="17" t="s">
        <v>1153</v>
      </c>
      <c r="G304" s="17" t="s">
        <v>1036</v>
      </c>
      <c r="H304" s="17" t="s">
        <v>53</v>
      </c>
      <c r="I304" s="17">
        <v>20059</v>
      </c>
      <c r="J304" s="17" t="s">
        <v>54</v>
      </c>
      <c r="K304" s="17" t="s">
        <v>63</v>
      </c>
      <c r="L304" s="17" t="s">
        <v>20</v>
      </c>
      <c r="M304" s="17" t="s">
        <v>127</v>
      </c>
      <c r="N304" s="17" t="s">
        <v>20</v>
      </c>
      <c r="O304" s="17" t="s">
        <v>273</v>
      </c>
      <c r="P304" s="17" t="s">
        <v>56</v>
      </c>
      <c r="Q304" s="17" t="s">
        <v>140</v>
      </c>
      <c r="R304" s="17" t="s">
        <v>20</v>
      </c>
      <c r="S304" s="17" t="s">
        <v>570</v>
      </c>
      <c r="T304" s="17">
        <v>225</v>
      </c>
      <c r="U304" s="18">
        <v>0</v>
      </c>
      <c r="X304" s="17" t="s">
        <v>67</v>
      </c>
      <c r="Y304" s="17" t="s">
        <v>144</v>
      </c>
      <c r="Z304" s="17" t="s">
        <v>472</v>
      </c>
      <c r="AA304" s="28">
        <v>778940.04380500002</v>
      </c>
      <c r="AB304" s="28">
        <v>2422337.19912</v>
      </c>
    </row>
    <row r="305" spans="1:28">
      <c r="A305" s="17">
        <v>304</v>
      </c>
      <c r="B305" s="17">
        <v>624122</v>
      </c>
      <c r="C305" s="17" t="s">
        <v>1044</v>
      </c>
      <c r="D305" s="17" t="s">
        <v>1008</v>
      </c>
      <c r="E305" s="17" t="s">
        <v>1821</v>
      </c>
      <c r="F305" s="17" t="s">
        <v>1153</v>
      </c>
      <c r="G305" s="17" t="s">
        <v>1821</v>
      </c>
      <c r="H305" s="17" t="s">
        <v>53</v>
      </c>
      <c r="I305" s="17">
        <v>20070</v>
      </c>
      <c r="J305" s="17" t="s">
        <v>54</v>
      </c>
      <c r="K305" s="17" t="s">
        <v>78</v>
      </c>
      <c r="L305" s="17" t="s">
        <v>20</v>
      </c>
      <c r="M305" s="17" t="s">
        <v>594</v>
      </c>
      <c r="N305" s="17" t="s">
        <v>20</v>
      </c>
      <c r="O305" s="17" t="s">
        <v>595</v>
      </c>
      <c r="P305" s="17" t="s">
        <v>20</v>
      </c>
      <c r="Q305" s="17" t="s">
        <v>197</v>
      </c>
      <c r="R305" s="17" t="s">
        <v>20</v>
      </c>
      <c r="S305" s="17" t="s">
        <v>284</v>
      </c>
      <c r="T305" s="17">
        <v>105</v>
      </c>
      <c r="U305" s="18">
        <v>0</v>
      </c>
      <c r="X305" s="17" t="s">
        <v>64</v>
      </c>
      <c r="Y305" s="17" t="s">
        <v>144</v>
      </c>
      <c r="Z305" s="17" t="s">
        <v>472</v>
      </c>
      <c r="AA305" s="28">
        <v>779013.10703900002</v>
      </c>
      <c r="AB305" s="28">
        <v>2421799.4997999999</v>
      </c>
    </row>
    <row r="306" spans="1:28">
      <c r="A306" s="17">
        <v>305</v>
      </c>
      <c r="B306" s="17">
        <v>624122</v>
      </c>
      <c r="C306" s="17" t="s">
        <v>1044</v>
      </c>
      <c r="D306" s="17" t="s">
        <v>1008</v>
      </c>
      <c r="E306" s="17" t="s">
        <v>1822</v>
      </c>
      <c r="F306" s="17" t="s">
        <v>1153</v>
      </c>
      <c r="G306" s="17" t="s">
        <v>1823</v>
      </c>
      <c r="H306" s="17" t="s">
        <v>69</v>
      </c>
      <c r="I306" s="17">
        <v>20230</v>
      </c>
      <c r="J306" s="17" t="s">
        <v>54</v>
      </c>
      <c r="K306" s="17" t="s">
        <v>55</v>
      </c>
      <c r="L306" s="17" t="s">
        <v>20</v>
      </c>
      <c r="M306" s="17" t="s">
        <v>576</v>
      </c>
      <c r="N306" s="17" t="s">
        <v>20</v>
      </c>
      <c r="O306" s="17" t="s">
        <v>446</v>
      </c>
      <c r="P306" s="17" t="s">
        <v>20</v>
      </c>
      <c r="Q306" s="17" t="s">
        <v>425</v>
      </c>
      <c r="R306" s="17" t="s">
        <v>20</v>
      </c>
      <c r="S306" s="17" t="s">
        <v>427</v>
      </c>
      <c r="T306" s="17">
        <v>575</v>
      </c>
      <c r="U306" s="18">
        <v>0</v>
      </c>
      <c r="X306" s="17" t="s">
        <v>64</v>
      </c>
      <c r="Y306" s="17" t="s">
        <v>144</v>
      </c>
      <c r="Z306" s="17" t="s">
        <v>472</v>
      </c>
      <c r="AA306" s="28">
        <v>779248.92038000003</v>
      </c>
      <c r="AB306" s="28">
        <v>2421020.5656900001</v>
      </c>
    </row>
    <row r="307" spans="1:28">
      <c r="A307" s="17">
        <v>306</v>
      </c>
      <c r="B307" s="17">
        <v>624122</v>
      </c>
      <c r="C307" s="17" t="s">
        <v>1044</v>
      </c>
      <c r="D307" s="17" t="s">
        <v>1008</v>
      </c>
      <c r="E307" s="17" t="s">
        <v>1824</v>
      </c>
      <c r="F307" s="17" t="s">
        <v>1153</v>
      </c>
      <c r="G307" s="17" t="s">
        <v>1825</v>
      </c>
      <c r="H307" s="17" t="s">
        <v>69</v>
      </c>
      <c r="I307" s="17">
        <v>20230</v>
      </c>
      <c r="J307" s="17" t="s">
        <v>54</v>
      </c>
      <c r="K307" s="17" t="s">
        <v>55</v>
      </c>
      <c r="L307" s="17" t="s">
        <v>20</v>
      </c>
      <c r="M307" s="17" t="s">
        <v>413</v>
      </c>
      <c r="N307" s="17" t="s">
        <v>20</v>
      </c>
      <c r="O307" s="17" t="s">
        <v>1826</v>
      </c>
      <c r="P307" s="17" t="s">
        <v>20</v>
      </c>
      <c r="Q307" s="17" t="s">
        <v>577</v>
      </c>
      <c r="R307" s="17" t="s">
        <v>56</v>
      </c>
      <c r="S307" s="17" t="s">
        <v>387</v>
      </c>
      <c r="T307" s="17">
        <v>202</v>
      </c>
      <c r="U307" s="18">
        <v>0</v>
      </c>
      <c r="X307" s="17" t="s">
        <v>67</v>
      </c>
      <c r="Y307" s="17" t="s">
        <v>144</v>
      </c>
      <c r="Z307" s="17" t="s">
        <v>472</v>
      </c>
      <c r="AA307" s="28">
        <v>779138.42091600003</v>
      </c>
      <c r="AB307" s="28">
        <v>2421230.21777</v>
      </c>
    </row>
    <row r="308" spans="1:28">
      <c r="A308" s="17">
        <v>307</v>
      </c>
      <c r="B308" s="17">
        <v>624412</v>
      </c>
      <c r="C308" s="17" t="s">
        <v>1044</v>
      </c>
      <c r="D308" s="17" t="s">
        <v>1008</v>
      </c>
      <c r="E308" s="17" t="s">
        <v>1827</v>
      </c>
      <c r="F308" s="17" t="s">
        <v>1123</v>
      </c>
      <c r="G308" s="17" t="s">
        <v>1036</v>
      </c>
      <c r="H308" s="17" t="s">
        <v>53</v>
      </c>
      <c r="I308" s="17">
        <v>20070</v>
      </c>
      <c r="J308" s="17" t="s">
        <v>54</v>
      </c>
      <c r="K308" s="17" t="s">
        <v>78</v>
      </c>
      <c r="L308" s="17" t="s">
        <v>20</v>
      </c>
      <c r="M308" s="17" t="s">
        <v>1828</v>
      </c>
      <c r="N308" s="17" t="s">
        <v>20</v>
      </c>
      <c r="O308" s="17" t="s">
        <v>284</v>
      </c>
      <c r="P308" s="17" t="s">
        <v>56</v>
      </c>
      <c r="Q308" s="17" t="s">
        <v>286</v>
      </c>
      <c r="R308" s="17" t="s">
        <v>311</v>
      </c>
      <c r="S308" s="17" t="s">
        <v>573</v>
      </c>
      <c r="T308" s="17">
        <v>105</v>
      </c>
      <c r="U308" s="18">
        <v>0</v>
      </c>
      <c r="X308" s="17" t="s">
        <v>67</v>
      </c>
      <c r="Y308" s="17" t="s">
        <v>144</v>
      </c>
      <c r="Z308" s="17" t="s">
        <v>472</v>
      </c>
      <c r="AA308" s="28">
        <v>778712.29580199998</v>
      </c>
      <c r="AB308" s="28">
        <v>2421749.5674899998</v>
      </c>
    </row>
    <row r="309" spans="1:28">
      <c r="A309" s="17">
        <v>308</v>
      </c>
      <c r="B309" s="17">
        <v>624412</v>
      </c>
      <c r="C309" s="17" t="s">
        <v>1044</v>
      </c>
      <c r="D309" s="17" t="s">
        <v>1008</v>
      </c>
      <c r="E309" s="17" t="s">
        <v>1829</v>
      </c>
      <c r="F309" s="17" t="s">
        <v>1123</v>
      </c>
      <c r="G309" s="17" t="s">
        <v>1830</v>
      </c>
      <c r="H309" s="17" t="s">
        <v>53</v>
      </c>
      <c r="I309" s="17">
        <v>20059</v>
      </c>
      <c r="J309" s="17" t="s">
        <v>54</v>
      </c>
      <c r="K309" s="17" t="s">
        <v>78</v>
      </c>
      <c r="L309" s="17" t="s">
        <v>56</v>
      </c>
      <c r="M309" s="17" t="s">
        <v>140</v>
      </c>
      <c r="N309" s="17" t="s">
        <v>20</v>
      </c>
      <c r="O309" s="17" t="s">
        <v>581</v>
      </c>
      <c r="P309" s="17" t="s">
        <v>58</v>
      </c>
      <c r="Q309" s="17" t="s">
        <v>140</v>
      </c>
      <c r="R309" s="17" t="s">
        <v>20</v>
      </c>
      <c r="S309" s="17" t="s">
        <v>1787</v>
      </c>
      <c r="T309" s="17">
        <v>438</v>
      </c>
      <c r="U309" s="18">
        <v>4499153412</v>
      </c>
      <c r="V309" s="17" t="s">
        <v>1831</v>
      </c>
      <c r="X309" s="17" t="s">
        <v>64</v>
      </c>
      <c r="Y309" s="17" t="s">
        <v>144</v>
      </c>
      <c r="Z309" s="17" t="s">
        <v>472</v>
      </c>
      <c r="AA309" s="28">
        <v>778449.95158600004</v>
      </c>
      <c r="AB309" s="28">
        <v>2422497.18236</v>
      </c>
    </row>
    <row r="310" spans="1:28">
      <c r="A310" s="17">
        <v>309</v>
      </c>
      <c r="B310" s="17">
        <v>624412</v>
      </c>
      <c r="C310" s="17" t="s">
        <v>1044</v>
      </c>
      <c r="D310" s="17" t="s">
        <v>1008</v>
      </c>
      <c r="E310" s="17" t="s">
        <v>1832</v>
      </c>
      <c r="F310" s="17" t="s">
        <v>1123</v>
      </c>
      <c r="G310" s="17" t="s">
        <v>1833</v>
      </c>
      <c r="H310" s="17" t="s">
        <v>69</v>
      </c>
      <c r="I310" s="17">
        <v>20230</v>
      </c>
      <c r="J310" s="17" t="s">
        <v>54</v>
      </c>
      <c r="K310" s="17" t="s">
        <v>55</v>
      </c>
      <c r="L310" s="17" t="s">
        <v>20</v>
      </c>
      <c r="M310" s="17" t="s">
        <v>513</v>
      </c>
      <c r="N310" s="17" t="s">
        <v>20</v>
      </c>
      <c r="O310" s="17" t="s">
        <v>576</v>
      </c>
      <c r="P310" s="17" t="s">
        <v>217</v>
      </c>
      <c r="Q310" s="17" t="s">
        <v>584</v>
      </c>
      <c r="R310" s="17" t="s">
        <v>56</v>
      </c>
      <c r="S310" s="17" t="s">
        <v>387</v>
      </c>
      <c r="T310" s="17">
        <v>128</v>
      </c>
      <c r="U310" s="18">
        <v>4492938338</v>
      </c>
      <c r="V310" s="17" t="s">
        <v>1834</v>
      </c>
      <c r="X310" s="17" t="s">
        <v>67</v>
      </c>
      <c r="Y310" s="17" t="s">
        <v>144</v>
      </c>
      <c r="Z310" s="17" t="s">
        <v>472</v>
      </c>
      <c r="AA310" s="28">
        <v>779398.38307500002</v>
      </c>
      <c r="AB310" s="28">
        <v>2421393.7103900001</v>
      </c>
    </row>
    <row r="311" spans="1:28">
      <c r="A311" s="17">
        <v>310</v>
      </c>
      <c r="B311" s="17">
        <v>624191</v>
      </c>
      <c r="C311" s="17" t="s">
        <v>1044</v>
      </c>
      <c r="D311" s="17" t="s">
        <v>52</v>
      </c>
      <c r="E311" s="17" t="s">
        <v>1835</v>
      </c>
      <c r="F311" s="17" t="s">
        <v>1064</v>
      </c>
      <c r="G311" s="17" t="s">
        <v>1836</v>
      </c>
      <c r="H311" s="17" t="s">
        <v>53</v>
      </c>
      <c r="I311" s="17">
        <v>20059</v>
      </c>
      <c r="J311" s="17" t="s">
        <v>54</v>
      </c>
      <c r="K311" s="17" t="s">
        <v>55</v>
      </c>
      <c r="L311" s="17" t="s">
        <v>20</v>
      </c>
      <c r="M311" s="17" t="s">
        <v>592</v>
      </c>
      <c r="N311" s="17" t="s">
        <v>58</v>
      </c>
      <c r="O311" s="17" t="s">
        <v>592</v>
      </c>
      <c r="P311" s="17" t="s">
        <v>56</v>
      </c>
      <c r="Q311" s="17" t="s">
        <v>140</v>
      </c>
      <c r="R311" s="17" t="s">
        <v>20</v>
      </c>
      <c r="S311" s="17" t="s">
        <v>127</v>
      </c>
      <c r="T311" s="17">
        <v>137</v>
      </c>
      <c r="U311" s="18">
        <v>0</v>
      </c>
      <c r="X311" s="17" t="s">
        <v>67</v>
      </c>
      <c r="Y311" s="17" t="s">
        <v>144</v>
      </c>
      <c r="Z311" s="17" t="s">
        <v>472</v>
      </c>
      <c r="AA311" s="28">
        <v>778849.97529600002</v>
      </c>
      <c r="AB311" s="28">
        <v>2422415.3528499999</v>
      </c>
    </row>
    <row r="312" spans="1:28">
      <c r="A312" s="17">
        <v>311</v>
      </c>
      <c r="B312" s="17">
        <v>624191</v>
      </c>
      <c r="C312" s="17" t="s">
        <v>1044</v>
      </c>
      <c r="D312" s="17" t="s">
        <v>52</v>
      </c>
      <c r="E312" s="17" t="s">
        <v>1837</v>
      </c>
      <c r="F312" s="17" t="s">
        <v>1064</v>
      </c>
      <c r="G312" s="17" t="s">
        <v>1838</v>
      </c>
      <c r="H312" s="17" t="s">
        <v>69</v>
      </c>
      <c r="I312" s="17">
        <v>20000</v>
      </c>
      <c r="J312" s="17" t="s">
        <v>54</v>
      </c>
      <c r="K312" s="17" t="s">
        <v>55</v>
      </c>
      <c r="L312" s="17" t="s">
        <v>20</v>
      </c>
      <c r="M312" s="17" t="s">
        <v>284</v>
      </c>
      <c r="N312" s="17" t="s">
        <v>20</v>
      </c>
      <c r="O312" s="17" t="s">
        <v>271</v>
      </c>
      <c r="P312" s="17" t="s">
        <v>20</v>
      </c>
      <c r="Q312" s="17" t="s">
        <v>571</v>
      </c>
      <c r="R312" s="17" t="s">
        <v>20</v>
      </c>
      <c r="S312" s="17" t="s">
        <v>271</v>
      </c>
      <c r="T312" s="17">
        <v>704</v>
      </c>
      <c r="U312" s="18">
        <v>0</v>
      </c>
      <c r="X312" s="17" t="s">
        <v>67</v>
      </c>
      <c r="Y312" s="17" t="s">
        <v>144</v>
      </c>
      <c r="Z312" s="17" t="s">
        <v>472</v>
      </c>
      <c r="AA312" s="28">
        <v>778282.988625</v>
      </c>
      <c r="AB312" s="28">
        <v>2421558.6965000001</v>
      </c>
    </row>
    <row r="313" spans="1:28">
      <c r="A313" s="17">
        <v>312</v>
      </c>
      <c r="B313" s="17">
        <v>624191</v>
      </c>
      <c r="C313" s="17" t="s">
        <v>1044</v>
      </c>
      <c r="D313" s="17" t="s">
        <v>52</v>
      </c>
      <c r="E313" s="17" t="s">
        <v>1839</v>
      </c>
      <c r="F313" s="17" t="s">
        <v>1064</v>
      </c>
      <c r="H313" s="17" t="s">
        <v>69</v>
      </c>
      <c r="I313" s="17">
        <v>20230</v>
      </c>
      <c r="J313" s="17" t="s">
        <v>54</v>
      </c>
      <c r="K313" s="17" t="s">
        <v>78</v>
      </c>
      <c r="L313" s="17" t="s">
        <v>20</v>
      </c>
      <c r="M313" s="17" t="s">
        <v>587</v>
      </c>
      <c r="N313" s="17" t="s">
        <v>56</v>
      </c>
      <c r="O313" s="17" t="s">
        <v>286</v>
      </c>
      <c r="P313" s="17" t="s">
        <v>20</v>
      </c>
      <c r="Q313" s="17" t="s">
        <v>417</v>
      </c>
      <c r="R313" s="17" t="s">
        <v>20</v>
      </c>
      <c r="S313" s="17" t="s">
        <v>595</v>
      </c>
      <c r="T313" s="17">
        <v>315</v>
      </c>
      <c r="U313" s="18">
        <v>4491093271</v>
      </c>
      <c r="X313" s="17" t="s">
        <v>67</v>
      </c>
      <c r="Y313" s="17" t="s">
        <v>144</v>
      </c>
      <c r="Z313" s="17" t="s">
        <v>472</v>
      </c>
      <c r="AA313" s="28">
        <v>779142.679366</v>
      </c>
      <c r="AB313" s="28">
        <v>2421701.8229399999</v>
      </c>
    </row>
    <row r="314" spans="1:28">
      <c r="A314" s="17">
        <v>313</v>
      </c>
      <c r="B314" s="17">
        <v>624191</v>
      </c>
      <c r="C314" s="17" t="s">
        <v>1044</v>
      </c>
      <c r="D314" s="17" t="s">
        <v>52</v>
      </c>
      <c r="E314" s="17" t="s">
        <v>1840</v>
      </c>
      <c r="F314" s="17" t="s">
        <v>1064</v>
      </c>
      <c r="G314" s="17" t="s">
        <v>1841</v>
      </c>
      <c r="H314" s="17" t="s">
        <v>69</v>
      </c>
      <c r="I314" s="17">
        <v>20000</v>
      </c>
      <c r="J314" s="17" t="s">
        <v>54</v>
      </c>
      <c r="K314" s="17" t="s">
        <v>55</v>
      </c>
      <c r="L314" s="17" t="s">
        <v>20</v>
      </c>
      <c r="M314" s="17" t="s">
        <v>569</v>
      </c>
      <c r="N314" s="17" t="s">
        <v>20</v>
      </c>
      <c r="O314" s="17" t="s">
        <v>588</v>
      </c>
      <c r="P314" s="17" t="s">
        <v>20</v>
      </c>
      <c r="Q314" s="17" t="s">
        <v>547</v>
      </c>
      <c r="R314" s="17" t="s">
        <v>20</v>
      </c>
      <c r="S314" s="17" t="s">
        <v>585</v>
      </c>
      <c r="T314" s="17">
        <v>312</v>
      </c>
      <c r="U314" s="18">
        <v>0</v>
      </c>
      <c r="X314" s="17" t="s">
        <v>67</v>
      </c>
      <c r="Y314" s="17" t="s">
        <v>144</v>
      </c>
      <c r="Z314" s="17" t="s">
        <v>472</v>
      </c>
      <c r="AA314" s="28">
        <v>779141.07567100006</v>
      </c>
      <c r="AB314" s="28">
        <v>2422255.1183600002</v>
      </c>
    </row>
    <row r="315" spans="1:28">
      <c r="A315" s="17">
        <v>314</v>
      </c>
      <c r="B315" s="17">
        <v>624191</v>
      </c>
      <c r="C315" s="17" t="s">
        <v>1044</v>
      </c>
      <c r="D315" s="17" t="s">
        <v>52</v>
      </c>
      <c r="E315" s="17" t="s">
        <v>1842</v>
      </c>
      <c r="F315" s="17" t="s">
        <v>1064</v>
      </c>
      <c r="G315" s="17" t="s">
        <v>1177</v>
      </c>
      <c r="H315" s="17" t="s">
        <v>69</v>
      </c>
      <c r="I315" s="17">
        <v>20000</v>
      </c>
      <c r="J315" s="17" t="s">
        <v>54</v>
      </c>
      <c r="K315" s="17" t="s">
        <v>55</v>
      </c>
      <c r="L315" s="17" t="s">
        <v>20</v>
      </c>
      <c r="M315" s="17" t="s">
        <v>569</v>
      </c>
      <c r="N315" s="17" t="s">
        <v>20</v>
      </c>
      <c r="O315" s="17" t="s">
        <v>588</v>
      </c>
      <c r="P315" s="17" t="s">
        <v>20</v>
      </c>
      <c r="Q315" s="17" t="s">
        <v>547</v>
      </c>
      <c r="R315" s="17" t="s">
        <v>20</v>
      </c>
      <c r="S315" s="17" t="s">
        <v>585</v>
      </c>
      <c r="T315" s="17">
        <v>312</v>
      </c>
      <c r="U315" s="18">
        <v>0</v>
      </c>
      <c r="V315" s="17" t="s">
        <v>1843</v>
      </c>
      <c r="W315" s="17" t="s">
        <v>1844</v>
      </c>
      <c r="X315" s="17" t="s">
        <v>67</v>
      </c>
      <c r="Y315" s="17" t="s">
        <v>144</v>
      </c>
      <c r="Z315" s="17" t="s">
        <v>472</v>
      </c>
      <c r="AA315" s="28">
        <v>779141.07567100006</v>
      </c>
      <c r="AB315" s="28">
        <v>2422255.1183600002</v>
      </c>
    </row>
    <row r="316" spans="1:28">
      <c r="A316" s="17">
        <v>315</v>
      </c>
      <c r="B316" s="17">
        <v>812310</v>
      </c>
      <c r="C316" s="17" t="s">
        <v>1044</v>
      </c>
      <c r="D316" s="17" t="s">
        <v>52</v>
      </c>
      <c r="E316" s="17" t="s">
        <v>1845</v>
      </c>
      <c r="F316" s="17" t="s">
        <v>1057</v>
      </c>
      <c r="G316" s="17" t="s">
        <v>1009</v>
      </c>
      <c r="H316" s="17" t="s">
        <v>53</v>
      </c>
      <c r="I316" s="17">
        <v>20050</v>
      </c>
      <c r="J316" s="17" t="s">
        <v>54</v>
      </c>
      <c r="K316" s="17" t="s">
        <v>78</v>
      </c>
      <c r="L316" s="17" t="s">
        <v>56</v>
      </c>
      <c r="M316" s="17" t="s">
        <v>140</v>
      </c>
      <c r="N316" s="17" t="s">
        <v>20</v>
      </c>
      <c r="O316" s="17" t="s">
        <v>599</v>
      </c>
      <c r="P316" s="17" t="s">
        <v>20</v>
      </c>
      <c r="Q316" s="17" t="s">
        <v>572</v>
      </c>
      <c r="R316" s="17" t="s">
        <v>20</v>
      </c>
      <c r="S316" s="17" t="s">
        <v>551</v>
      </c>
      <c r="T316" s="17">
        <v>527</v>
      </c>
      <c r="U316" s="18">
        <v>4499158024</v>
      </c>
      <c r="W316" s="17" t="s">
        <v>1846</v>
      </c>
      <c r="X316" s="17" t="s">
        <v>67</v>
      </c>
      <c r="Y316" s="17" t="s">
        <v>144</v>
      </c>
      <c r="Z316" s="17" t="s">
        <v>472</v>
      </c>
      <c r="AA316" s="28">
        <v>778274.84556399996</v>
      </c>
      <c r="AB316" s="28">
        <v>2422526.2089200001</v>
      </c>
    </row>
    <row r="317" spans="1:28">
      <c r="A317" s="17">
        <v>316</v>
      </c>
      <c r="B317" s="17">
        <v>812310</v>
      </c>
      <c r="C317" s="17" t="s">
        <v>1044</v>
      </c>
      <c r="D317" s="17" t="s">
        <v>52</v>
      </c>
      <c r="E317" s="17" t="s">
        <v>1847</v>
      </c>
      <c r="F317" s="17" t="s">
        <v>1057</v>
      </c>
      <c r="H317" s="17" t="s">
        <v>53</v>
      </c>
      <c r="I317" s="17">
        <v>20240</v>
      </c>
      <c r="J317" s="17" t="s">
        <v>54</v>
      </c>
      <c r="K317" s="17" t="s">
        <v>55</v>
      </c>
      <c r="L317" s="17" t="s">
        <v>20</v>
      </c>
      <c r="M317" s="17" t="s">
        <v>396</v>
      </c>
      <c r="N317" s="17" t="s">
        <v>20</v>
      </c>
      <c r="O317" s="17" t="s">
        <v>513</v>
      </c>
      <c r="P317" s="17" t="s">
        <v>20</v>
      </c>
      <c r="Q317" s="17" t="s">
        <v>600</v>
      </c>
      <c r="R317" s="17" t="s">
        <v>20</v>
      </c>
      <c r="S317" s="17" t="s">
        <v>395</v>
      </c>
      <c r="T317" s="17">
        <v>522</v>
      </c>
      <c r="U317" s="18">
        <v>4499182737</v>
      </c>
      <c r="X317" s="17" t="s">
        <v>67</v>
      </c>
      <c r="Y317" s="17" t="s">
        <v>144</v>
      </c>
      <c r="Z317" s="17" t="s">
        <v>472</v>
      </c>
      <c r="AA317" s="28">
        <v>779541.57833499997</v>
      </c>
      <c r="AB317" s="28">
        <v>2421481.3512800001</v>
      </c>
    </row>
    <row r="318" spans="1:28">
      <c r="A318" s="17">
        <v>317</v>
      </c>
      <c r="B318" s="17">
        <v>812310</v>
      </c>
      <c r="C318" s="17" t="s">
        <v>1044</v>
      </c>
      <c r="D318" s="17" t="s">
        <v>52</v>
      </c>
      <c r="E318" s="17" t="s">
        <v>1848</v>
      </c>
      <c r="F318" s="17" t="s">
        <v>1057</v>
      </c>
      <c r="H318" s="17" t="s">
        <v>69</v>
      </c>
      <c r="I318" s="17">
        <v>20000</v>
      </c>
      <c r="J318" s="17" t="s">
        <v>54</v>
      </c>
      <c r="K318" s="17" t="s">
        <v>55</v>
      </c>
      <c r="L318" s="17" t="s">
        <v>20</v>
      </c>
      <c r="M318" s="17" t="s">
        <v>547</v>
      </c>
      <c r="N318" s="17" t="s">
        <v>20</v>
      </c>
      <c r="O318" s="17" t="s">
        <v>517</v>
      </c>
      <c r="P318" s="17" t="s">
        <v>20</v>
      </c>
      <c r="Q318" s="17" t="s">
        <v>567</v>
      </c>
      <c r="R318" s="17" t="s">
        <v>20</v>
      </c>
      <c r="S318" s="17" t="s">
        <v>81</v>
      </c>
      <c r="T318" s="17">
        <v>415</v>
      </c>
      <c r="U318" s="18">
        <v>0</v>
      </c>
      <c r="X318" s="17" t="s">
        <v>67</v>
      </c>
      <c r="Y318" s="17" t="s">
        <v>144</v>
      </c>
      <c r="Z318" s="17" t="s">
        <v>472</v>
      </c>
      <c r="AA318" s="28">
        <v>779131.44016400003</v>
      </c>
      <c r="AB318" s="28">
        <v>2422561.7335000001</v>
      </c>
    </row>
    <row r="319" spans="1:28">
      <c r="A319" s="17">
        <v>318</v>
      </c>
      <c r="B319" s="17">
        <v>812310</v>
      </c>
      <c r="C319" s="17" t="s">
        <v>1044</v>
      </c>
      <c r="D319" s="17" t="s">
        <v>52</v>
      </c>
      <c r="E319" s="17" t="s">
        <v>1849</v>
      </c>
      <c r="F319" s="17" t="s">
        <v>1057</v>
      </c>
      <c r="G319" s="17" t="s">
        <v>1850</v>
      </c>
      <c r="H319" s="17" t="s">
        <v>69</v>
      </c>
      <c r="I319" s="17">
        <v>20298</v>
      </c>
      <c r="J319" s="17" t="s">
        <v>54</v>
      </c>
      <c r="K319" s="17" t="s">
        <v>63</v>
      </c>
      <c r="L319" s="17" t="s">
        <v>56</v>
      </c>
      <c r="M319" s="17" t="s">
        <v>170</v>
      </c>
      <c r="N319" s="17" t="s">
        <v>20</v>
      </c>
      <c r="O319" s="17" t="s">
        <v>1851</v>
      </c>
      <c r="P319" s="17" t="s">
        <v>20</v>
      </c>
      <c r="Q319" s="17" t="s">
        <v>1852</v>
      </c>
      <c r="R319" s="17" t="s">
        <v>20</v>
      </c>
      <c r="S319" s="17" t="s">
        <v>1853</v>
      </c>
      <c r="T319" s="17">
        <v>706</v>
      </c>
      <c r="U319" s="18">
        <v>0</v>
      </c>
      <c r="V319" s="17" t="s">
        <v>1854</v>
      </c>
      <c r="W319" s="17" t="s">
        <v>1855</v>
      </c>
      <c r="X319" s="17" t="s">
        <v>67</v>
      </c>
      <c r="Y319" s="17" t="s">
        <v>144</v>
      </c>
      <c r="Z319" s="17" t="s">
        <v>472</v>
      </c>
      <c r="AA319" s="28">
        <v>779403.00437099999</v>
      </c>
      <c r="AB319" s="28">
        <v>2421479.6980300001</v>
      </c>
    </row>
    <row r="320" spans="1:28">
      <c r="A320" s="17">
        <v>319</v>
      </c>
      <c r="B320" s="17">
        <v>812310</v>
      </c>
      <c r="C320" s="17" t="s">
        <v>1044</v>
      </c>
      <c r="D320" s="17" t="s">
        <v>52</v>
      </c>
      <c r="E320" s="17" t="s">
        <v>1856</v>
      </c>
      <c r="F320" s="17" t="s">
        <v>1057</v>
      </c>
      <c r="G320" s="17" t="s">
        <v>1857</v>
      </c>
      <c r="H320" s="17" t="s">
        <v>69</v>
      </c>
      <c r="I320" s="17">
        <v>20230</v>
      </c>
      <c r="J320" s="17" t="s">
        <v>54</v>
      </c>
      <c r="K320" s="17" t="s">
        <v>78</v>
      </c>
      <c r="L320" s="17" t="s">
        <v>20</v>
      </c>
      <c r="M320" s="17" t="s">
        <v>576</v>
      </c>
      <c r="T320" s="17">
        <v>0</v>
      </c>
      <c r="U320" s="18">
        <v>4499166264</v>
      </c>
      <c r="V320" s="17" t="s">
        <v>1858</v>
      </c>
      <c r="X320" s="17" t="s">
        <v>116</v>
      </c>
      <c r="Y320" s="17" t="s">
        <v>144</v>
      </c>
      <c r="Z320" s="17" t="s">
        <v>472</v>
      </c>
      <c r="AA320" s="28">
        <v>779353.52686999994</v>
      </c>
      <c r="AB320" s="28">
        <v>2421648.4372700001</v>
      </c>
    </row>
    <row r="321" spans="1:28">
      <c r="A321" s="17">
        <v>320</v>
      </c>
      <c r="B321" s="17">
        <v>812310</v>
      </c>
      <c r="C321" s="17" t="s">
        <v>1044</v>
      </c>
      <c r="D321" s="17" t="s">
        <v>52</v>
      </c>
      <c r="E321" s="17" t="s">
        <v>1859</v>
      </c>
      <c r="F321" s="17" t="s">
        <v>1057</v>
      </c>
      <c r="G321" s="17" t="s">
        <v>1860</v>
      </c>
      <c r="H321" s="17" t="s">
        <v>69</v>
      </c>
      <c r="I321" s="17">
        <v>20230</v>
      </c>
      <c r="J321" s="17" t="s">
        <v>54</v>
      </c>
      <c r="K321" s="17" t="s">
        <v>63</v>
      </c>
      <c r="L321" s="17" t="s">
        <v>20</v>
      </c>
      <c r="M321" s="17" t="s">
        <v>576</v>
      </c>
      <c r="N321" s="17" t="s">
        <v>20</v>
      </c>
      <c r="O321" s="17" t="s">
        <v>941</v>
      </c>
      <c r="P321" s="17" t="s">
        <v>311</v>
      </c>
      <c r="Q321" s="17" t="s">
        <v>59</v>
      </c>
      <c r="R321" s="17" t="s">
        <v>311</v>
      </c>
      <c r="S321" s="17" t="s">
        <v>59</v>
      </c>
      <c r="T321" s="17">
        <v>360</v>
      </c>
      <c r="U321" s="18">
        <v>4499166264</v>
      </c>
      <c r="V321" s="17" t="s">
        <v>1861</v>
      </c>
      <c r="X321" s="17" t="s">
        <v>67</v>
      </c>
      <c r="Y321" s="17" t="s">
        <v>144</v>
      </c>
      <c r="Z321" s="17" t="s">
        <v>472</v>
      </c>
      <c r="AA321" s="28">
        <v>779378.38987700001</v>
      </c>
      <c r="AB321" s="28">
        <v>2421588.9185799998</v>
      </c>
    </row>
    <row r="322" spans="1:28">
      <c r="A322" s="17">
        <v>321</v>
      </c>
      <c r="B322" s="17">
        <v>812310</v>
      </c>
      <c r="C322" s="17" t="s">
        <v>1044</v>
      </c>
      <c r="D322" s="17" t="s">
        <v>52</v>
      </c>
      <c r="E322" s="17" t="s">
        <v>1859</v>
      </c>
      <c r="F322" s="17" t="s">
        <v>1057</v>
      </c>
      <c r="G322" s="17" t="s">
        <v>1857</v>
      </c>
      <c r="H322" s="17" t="s">
        <v>69</v>
      </c>
      <c r="I322" s="17">
        <v>20230</v>
      </c>
      <c r="J322" s="17" t="s">
        <v>54</v>
      </c>
      <c r="K322" s="17" t="s">
        <v>78</v>
      </c>
      <c r="L322" s="17" t="s">
        <v>20</v>
      </c>
      <c r="M322" s="17" t="s">
        <v>576</v>
      </c>
      <c r="N322" s="17" t="s">
        <v>20</v>
      </c>
      <c r="O322" s="17" t="s">
        <v>1862</v>
      </c>
      <c r="P322" s="17" t="s">
        <v>56</v>
      </c>
      <c r="Q322" s="17" t="s">
        <v>128</v>
      </c>
      <c r="R322" s="17" t="s">
        <v>20</v>
      </c>
      <c r="S322" s="17" t="s">
        <v>587</v>
      </c>
      <c r="T322" s="17">
        <v>329</v>
      </c>
      <c r="U322" s="18">
        <v>0</v>
      </c>
      <c r="V322" s="17" t="s">
        <v>1863</v>
      </c>
      <c r="W322" s="17" t="s">
        <v>1864</v>
      </c>
      <c r="X322" s="17" t="s">
        <v>67</v>
      </c>
      <c r="Y322" s="17" t="s">
        <v>144</v>
      </c>
      <c r="Z322" s="17" t="s">
        <v>472</v>
      </c>
      <c r="AA322" s="28">
        <v>779355.22006800002</v>
      </c>
      <c r="AB322" s="28">
        <v>2421641.84626</v>
      </c>
    </row>
    <row r="323" spans="1:28">
      <c r="A323" s="17">
        <v>322</v>
      </c>
      <c r="B323" s="17">
        <v>812310</v>
      </c>
      <c r="C323" s="17" t="s">
        <v>1044</v>
      </c>
      <c r="D323" s="17" t="s">
        <v>52</v>
      </c>
      <c r="E323" s="17" t="s">
        <v>1865</v>
      </c>
      <c r="F323" s="17" t="s">
        <v>1057</v>
      </c>
      <c r="G323" s="17" t="s">
        <v>1866</v>
      </c>
      <c r="H323" s="17" t="s">
        <v>69</v>
      </c>
      <c r="I323" s="17">
        <v>20230</v>
      </c>
      <c r="J323" s="17" t="s">
        <v>54</v>
      </c>
      <c r="K323" s="17" t="s">
        <v>55</v>
      </c>
      <c r="L323" s="17" t="s">
        <v>20</v>
      </c>
      <c r="M323" s="17" t="s">
        <v>595</v>
      </c>
      <c r="N323" s="17" t="s">
        <v>56</v>
      </c>
      <c r="O323" s="17" t="s">
        <v>286</v>
      </c>
      <c r="P323" s="17" t="s">
        <v>58</v>
      </c>
      <c r="Q323" s="17" t="s">
        <v>593</v>
      </c>
      <c r="R323" s="17" t="s">
        <v>20</v>
      </c>
      <c r="S323" s="17" t="s">
        <v>1867</v>
      </c>
      <c r="T323" s="17">
        <v>0</v>
      </c>
      <c r="U323" s="18">
        <v>0</v>
      </c>
      <c r="X323" s="17" t="s">
        <v>60</v>
      </c>
      <c r="Y323" s="17" t="s">
        <v>144</v>
      </c>
      <c r="Z323" s="17" t="s">
        <v>472</v>
      </c>
      <c r="AA323" s="28">
        <v>779091.30566099996</v>
      </c>
      <c r="AB323" s="28">
        <v>2421624.7714399998</v>
      </c>
    </row>
    <row r="324" spans="1:28">
      <c r="A324" s="17">
        <v>323</v>
      </c>
      <c r="B324" s="17">
        <v>812310</v>
      </c>
      <c r="C324" s="17" t="s">
        <v>1044</v>
      </c>
      <c r="D324" s="17" t="s">
        <v>52</v>
      </c>
      <c r="E324" s="17" t="s">
        <v>1865</v>
      </c>
      <c r="F324" s="17" t="s">
        <v>1057</v>
      </c>
      <c r="G324" s="17" t="s">
        <v>1866</v>
      </c>
      <c r="H324" s="17" t="s">
        <v>69</v>
      </c>
      <c r="I324" s="17">
        <v>20230</v>
      </c>
      <c r="J324" s="17" t="s">
        <v>54</v>
      </c>
      <c r="K324" s="17" t="s">
        <v>78</v>
      </c>
      <c r="L324" s="17" t="s">
        <v>20</v>
      </c>
      <c r="M324" s="17" t="s">
        <v>595</v>
      </c>
      <c r="N324" s="17" t="s">
        <v>56</v>
      </c>
      <c r="O324" s="17" t="s">
        <v>286</v>
      </c>
      <c r="P324" s="17" t="s">
        <v>58</v>
      </c>
      <c r="Q324" s="17" t="s">
        <v>593</v>
      </c>
      <c r="R324" s="17" t="s">
        <v>20</v>
      </c>
      <c r="S324" s="17" t="s">
        <v>1867</v>
      </c>
      <c r="T324" s="17">
        <v>329</v>
      </c>
      <c r="U324" s="18">
        <v>0</v>
      </c>
      <c r="X324" s="17" t="s">
        <v>60</v>
      </c>
      <c r="Y324" s="17" t="s">
        <v>144</v>
      </c>
      <c r="Z324" s="17" t="s">
        <v>472</v>
      </c>
      <c r="AA324" s="28">
        <v>779102.00679899997</v>
      </c>
      <c r="AB324" s="28">
        <v>2421592.1315600001</v>
      </c>
    </row>
    <row r="325" spans="1:28">
      <c r="A325" s="17">
        <v>324</v>
      </c>
      <c r="B325" s="17">
        <v>812310</v>
      </c>
      <c r="C325" s="17" t="s">
        <v>1044</v>
      </c>
      <c r="D325" s="17" t="s">
        <v>52</v>
      </c>
      <c r="E325" s="17" t="s">
        <v>1868</v>
      </c>
      <c r="F325" s="17" t="s">
        <v>1057</v>
      </c>
      <c r="G325" s="17" t="s">
        <v>1857</v>
      </c>
      <c r="H325" s="17" t="s">
        <v>69</v>
      </c>
      <c r="I325" s="17">
        <v>20230</v>
      </c>
      <c r="J325" s="17" t="s">
        <v>54</v>
      </c>
      <c r="K325" s="17" t="s">
        <v>55</v>
      </c>
      <c r="L325" s="17" t="s">
        <v>20</v>
      </c>
      <c r="M325" s="17" t="s">
        <v>576</v>
      </c>
      <c r="N325" s="17" t="s">
        <v>20</v>
      </c>
      <c r="O325" s="17" t="s">
        <v>601</v>
      </c>
      <c r="P325" s="17" t="s">
        <v>56</v>
      </c>
      <c r="Q325" s="17" t="s">
        <v>128</v>
      </c>
      <c r="R325" s="17" t="s">
        <v>20</v>
      </c>
      <c r="S325" s="17" t="s">
        <v>587</v>
      </c>
      <c r="T325" s="17">
        <v>0</v>
      </c>
      <c r="U325" s="18">
        <v>0</v>
      </c>
      <c r="V325" s="17" t="s">
        <v>1869</v>
      </c>
      <c r="X325" s="17" t="s">
        <v>60</v>
      </c>
      <c r="Y325" s="17" t="s">
        <v>144</v>
      </c>
      <c r="Z325" s="17" t="s">
        <v>472</v>
      </c>
      <c r="AA325" s="28">
        <v>779356.22715100006</v>
      </c>
      <c r="AB325" s="28">
        <v>2421637.9236400002</v>
      </c>
    </row>
    <row r="326" spans="1:28">
      <c r="A326" s="17">
        <v>325</v>
      </c>
      <c r="B326" s="17">
        <v>812310</v>
      </c>
      <c r="C326" s="17" t="s">
        <v>1044</v>
      </c>
      <c r="D326" s="17" t="s">
        <v>52</v>
      </c>
      <c r="E326" s="17" t="s">
        <v>1870</v>
      </c>
      <c r="F326" s="17" t="s">
        <v>1057</v>
      </c>
      <c r="G326" s="17" t="s">
        <v>1866</v>
      </c>
      <c r="H326" s="17" t="s">
        <v>69</v>
      </c>
      <c r="I326" s="17">
        <v>20230</v>
      </c>
      <c r="J326" s="17" t="s">
        <v>54</v>
      </c>
      <c r="K326" s="17" t="s">
        <v>78</v>
      </c>
      <c r="L326" s="17" t="s">
        <v>56</v>
      </c>
      <c r="M326" s="17" t="s">
        <v>286</v>
      </c>
      <c r="N326" s="17" t="s">
        <v>20</v>
      </c>
      <c r="O326" s="17" t="s">
        <v>586</v>
      </c>
      <c r="P326" s="17" t="s">
        <v>20</v>
      </c>
      <c r="Q326" s="17" t="s">
        <v>595</v>
      </c>
      <c r="R326" s="17" t="s">
        <v>20</v>
      </c>
      <c r="S326" s="17" t="s">
        <v>1871</v>
      </c>
      <c r="T326" s="17">
        <v>402</v>
      </c>
      <c r="U326" s="18">
        <v>0</v>
      </c>
      <c r="V326" s="17" t="s">
        <v>1872</v>
      </c>
      <c r="X326" s="17" t="s">
        <v>60</v>
      </c>
      <c r="Y326" s="17" t="s">
        <v>144</v>
      </c>
      <c r="Z326" s="17" t="s">
        <v>472</v>
      </c>
      <c r="AA326" s="28">
        <v>779040.51539499999</v>
      </c>
      <c r="AB326" s="28">
        <v>2421711.1145799998</v>
      </c>
    </row>
    <row r="327" spans="1:28">
      <c r="A327" s="17">
        <v>326</v>
      </c>
      <c r="B327" s="17">
        <v>812310</v>
      </c>
      <c r="C327" s="17" t="s">
        <v>1044</v>
      </c>
      <c r="D327" s="17" t="s">
        <v>52</v>
      </c>
      <c r="E327" s="17" t="s">
        <v>1865</v>
      </c>
      <c r="F327" s="17" t="s">
        <v>1057</v>
      </c>
      <c r="G327" s="17" t="s">
        <v>1873</v>
      </c>
      <c r="H327" s="17" t="s">
        <v>69</v>
      </c>
      <c r="I327" s="17">
        <v>20000</v>
      </c>
      <c r="J327" s="17" t="s">
        <v>54</v>
      </c>
      <c r="K327" s="17" t="s">
        <v>55</v>
      </c>
      <c r="L327" s="17" t="s">
        <v>56</v>
      </c>
      <c r="M327" s="17" t="s">
        <v>286</v>
      </c>
      <c r="N327" s="17" t="s">
        <v>20</v>
      </c>
      <c r="O327" s="17" t="s">
        <v>587</v>
      </c>
      <c r="P327" s="17" t="s">
        <v>20</v>
      </c>
      <c r="Q327" s="17" t="s">
        <v>576</v>
      </c>
      <c r="R327" s="17" t="s">
        <v>20</v>
      </c>
      <c r="S327" s="17" t="s">
        <v>597</v>
      </c>
      <c r="T327" s="17">
        <v>219</v>
      </c>
      <c r="U327" s="18">
        <v>0</v>
      </c>
      <c r="X327" s="17" t="s">
        <v>64</v>
      </c>
      <c r="Y327" s="17" t="s">
        <v>144</v>
      </c>
      <c r="Z327" s="17" t="s">
        <v>472</v>
      </c>
      <c r="AA327" s="28">
        <v>779196.64463800006</v>
      </c>
      <c r="AB327" s="28">
        <v>2421778.5058200001</v>
      </c>
    </row>
    <row r="328" spans="1:28">
      <c r="A328" s="17">
        <v>327</v>
      </c>
      <c r="B328" s="17">
        <v>813110</v>
      </c>
      <c r="C328" s="17" t="s">
        <v>1044</v>
      </c>
      <c r="D328" s="17" t="s">
        <v>52</v>
      </c>
      <c r="E328" s="17" t="s">
        <v>1874</v>
      </c>
      <c r="F328" s="17" t="s">
        <v>1069</v>
      </c>
      <c r="G328" s="17" t="s">
        <v>1875</v>
      </c>
      <c r="H328" s="17" t="s">
        <v>53</v>
      </c>
      <c r="I328" s="17">
        <v>20240</v>
      </c>
      <c r="J328" s="17" t="s">
        <v>54</v>
      </c>
      <c r="K328" s="17" t="s">
        <v>63</v>
      </c>
      <c r="L328" s="17" t="s">
        <v>20</v>
      </c>
      <c r="M328" s="17" t="s">
        <v>384</v>
      </c>
      <c r="N328" s="17" t="s">
        <v>20</v>
      </c>
      <c r="O328" s="17" t="s">
        <v>600</v>
      </c>
      <c r="P328" s="17" t="s">
        <v>20</v>
      </c>
      <c r="Q328" s="17" t="s">
        <v>941</v>
      </c>
      <c r="R328" s="17" t="s">
        <v>20</v>
      </c>
      <c r="S328" s="17" t="s">
        <v>1030</v>
      </c>
      <c r="T328" s="17">
        <v>437</v>
      </c>
      <c r="U328" s="18">
        <v>0</v>
      </c>
      <c r="X328" s="17" t="s">
        <v>60</v>
      </c>
      <c r="Y328" s="17" t="s">
        <v>144</v>
      </c>
      <c r="Z328" s="17" t="s">
        <v>472</v>
      </c>
      <c r="AA328" s="28">
        <v>779594.06910900003</v>
      </c>
      <c r="AB328" s="28">
        <v>2421624.5158000002</v>
      </c>
    </row>
    <row r="329" spans="1:28">
      <c r="A329" s="17">
        <v>328</v>
      </c>
      <c r="B329" s="17">
        <v>813110</v>
      </c>
      <c r="C329" s="17" t="s">
        <v>1044</v>
      </c>
      <c r="D329" s="17" t="s">
        <v>52</v>
      </c>
      <c r="E329" s="17" t="s">
        <v>1876</v>
      </c>
      <c r="F329" s="17" t="s">
        <v>1069</v>
      </c>
      <c r="G329" s="17" t="s">
        <v>1877</v>
      </c>
      <c r="H329" s="17" t="s">
        <v>69</v>
      </c>
      <c r="I329" s="17">
        <v>20000</v>
      </c>
      <c r="J329" s="17" t="s">
        <v>54</v>
      </c>
      <c r="K329" s="17" t="s">
        <v>55</v>
      </c>
      <c r="L329" s="17" t="s">
        <v>20</v>
      </c>
      <c r="M329" s="17" t="s">
        <v>284</v>
      </c>
      <c r="N329" s="17" t="s">
        <v>20</v>
      </c>
      <c r="O329" s="17" t="s">
        <v>568</v>
      </c>
      <c r="P329" s="17" t="s">
        <v>20</v>
      </c>
      <c r="Q329" s="17" t="s">
        <v>586</v>
      </c>
      <c r="R329" s="17" t="s">
        <v>20</v>
      </c>
      <c r="S329" s="17" t="s">
        <v>73</v>
      </c>
      <c r="T329" s="17">
        <v>425</v>
      </c>
      <c r="U329" s="18">
        <v>0</v>
      </c>
      <c r="V329" s="17" t="s">
        <v>1878</v>
      </c>
      <c r="X329" s="17" t="s">
        <v>67</v>
      </c>
      <c r="Y329" s="17" t="s">
        <v>144</v>
      </c>
      <c r="Z329" s="17" t="s">
        <v>472</v>
      </c>
      <c r="AA329" s="28">
        <v>778948.41168899997</v>
      </c>
      <c r="AB329" s="28">
        <v>2421878.2289200001</v>
      </c>
    </row>
    <row r="330" spans="1:28">
      <c r="A330" s="17">
        <v>329</v>
      </c>
      <c r="B330" s="17">
        <v>813130</v>
      </c>
      <c r="C330" s="17" t="s">
        <v>1044</v>
      </c>
      <c r="D330" s="17" t="s">
        <v>52</v>
      </c>
      <c r="E330" s="17" t="s">
        <v>1879</v>
      </c>
      <c r="F330" s="17" t="s">
        <v>1705</v>
      </c>
      <c r="G330" s="17" t="s">
        <v>1880</v>
      </c>
      <c r="H330" s="17" t="s">
        <v>53</v>
      </c>
      <c r="I330" s="17">
        <v>20070</v>
      </c>
      <c r="J330" s="17" t="s">
        <v>54</v>
      </c>
      <c r="K330" s="17" t="s">
        <v>63</v>
      </c>
      <c r="L330" s="17" t="s">
        <v>20</v>
      </c>
      <c r="M330" s="17" t="s">
        <v>284</v>
      </c>
      <c r="N330" s="17" t="s">
        <v>56</v>
      </c>
      <c r="O330" s="17" t="s">
        <v>286</v>
      </c>
      <c r="P330" s="17" t="s">
        <v>20</v>
      </c>
      <c r="Q330" s="17" t="s">
        <v>271</v>
      </c>
      <c r="R330" s="17" t="s">
        <v>56</v>
      </c>
      <c r="S330" s="17" t="s">
        <v>589</v>
      </c>
      <c r="T330" s="17">
        <v>814</v>
      </c>
      <c r="U330" s="18">
        <v>4499184278</v>
      </c>
      <c r="V330" s="17" t="s">
        <v>1881</v>
      </c>
      <c r="W330" s="17" t="s">
        <v>1882</v>
      </c>
      <c r="X330" s="17" t="s">
        <v>67</v>
      </c>
      <c r="Y330" s="17" t="s">
        <v>144</v>
      </c>
      <c r="Z330" s="17" t="s">
        <v>472</v>
      </c>
      <c r="AA330" s="28">
        <v>778009.56788999995</v>
      </c>
      <c r="AB330" s="28">
        <v>2421429.2379700001</v>
      </c>
    </row>
    <row r="331" spans="1:28">
      <c r="A331" s="17">
        <v>330</v>
      </c>
      <c r="B331" s="17">
        <v>813230</v>
      </c>
      <c r="C331" s="17" t="s">
        <v>1044</v>
      </c>
      <c r="D331" s="17" t="s">
        <v>52</v>
      </c>
      <c r="E331" s="17" t="s">
        <v>1883</v>
      </c>
      <c r="F331" s="17" t="s">
        <v>1061</v>
      </c>
      <c r="H331" s="17" t="s">
        <v>53</v>
      </c>
      <c r="I331" s="17">
        <v>20050</v>
      </c>
      <c r="J331" s="17" t="s">
        <v>54</v>
      </c>
      <c r="K331" s="17" t="s">
        <v>78</v>
      </c>
      <c r="L331" s="17" t="s">
        <v>20</v>
      </c>
      <c r="M331" s="17" t="s">
        <v>517</v>
      </c>
      <c r="N331" s="17" t="s">
        <v>20</v>
      </c>
      <c r="O331" s="17" t="s">
        <v>599</v>
      </c>
      <c r="P331" s="17" t="s">
        <v>20</v>
      </c>
      <c r="Q331" s="17" t="s">
        <v>572</v>
      </c>
      <c r="R331" s="17" t="s">
        <v>56</v>
      </c>
      <c r="S331" s="17" t="s">
        <v>140</v>
      </c>
      <c r="T331" s="17">
        <v>722</v>
      </c>
      <c r="U331" s="18">
        <v>0</v>
      </c>
      <c r="X331" s="17" t="s">
        <v>60</v>
      </c>
      <c r="Y331" s="17" t="s">
        <v>144</v>
      </c>
      <c r="Z331" s="17" t="s">
        <v>472</v>
      </c>
      <c r="AA331" s="28">
        <v>778366.62180900003</v>
      </c>
      <c r="AB331" s="28">
        <v>2422678.0200800002</v>
      </c>
    </row>
    <row r="332" spans="1:28">
      <c r="A332" s="17">
        <v>331</v>
      </c>
      <c r="B332" s="17">
        <v>813230</v>
      </c>
      <c r="C332" s="17" t="s">
        <v>1044</v>
      </c>
      <c r="D332" s="17" t="s">
        <v>52</v>
      </c>
      <c r="E332" s="17" t="s">
        <v>1884</v>
      </c>
      <c r="F332" s="17" t="s">
        <v>1061</v>
      </c>
      <c r="G332" s="17" t="s">
        <v>1885</v>
      </c>
      <c r="H332" s="17" t="s">
        <v>53</v>
      </c>
      <c r="I332" s="17">
        <v>20070</v>
      </c>
      <c r="J332" s="17" t="s">
        <v>54</v>
      </c>
      <c r="K332" s="17" t="s">
        <v>78</v>
      </c>
      <c r="L332" s="17" t="s">
        <v>20</v>
      </c>
      <c r="M332" s="17" t="s">
        <v>582</v>
      </c>
      <c r="N332" s="17" t="s">
        <v>20</v>
      </c>
      <c r="O332" s="17" t="s">
        <v>1886</v>
      </c>
      <c r="P332" s="17" t="s">
        <v>20</v>
      </c>
      <c r="Q332" s="17" t="s">
        <v>581</v>
      </c>
      <c r="R332" s="17" t="s">
        <v>20</v>
      </c>
      <c r="S332" s="17" t="s">
        <v>273</v>
      </c>
      <c r="T332" s="17">
        <v>115</v>
      </c>
      <c r="U332" s="18">
        <v>0</v>
      </c>
      <c r="V332" s="17" t="s">
        <v>1887</v>
      </c>
      <c r="X332" s="17" t="s">
        <v>67</v>
      </c>
      <c r="Y332" s="17" t="s">
        <v>144</v>
      </c>
      <c r="Z332" s="17" t="s">
        <v>472</v>
      </c>
      <c r="AA332" s="28">
        <v>778704.97785499995</v>
      </c>
      <c r="AB332" s="28">
        <v>2422005.1787899998</v>
      </c>
    </row>
    <row r="333" spans="1:28">
      <c r="A333" s="17">
        <v>332</v>
      </c>
      <c r="B333" s="17">
        <v>813230</v>
      </c>
      <c r="C333" s="17" t="s">
        <v>1044</v>
      </c>
      <c r="D333" s="17" t="s">
        <v>52</v>
      </c>
      <c r="E333" s="17" t="s">
        <v>1888</v>
      </c>
      <c r="F333" s="17" t="s">
        <v>1061</v>
      </c>
      <c r="G333" s="17" t="s">
        <v>1889</v>
      </c>
      <c r="H333" s="17" t="s">
        <v>53</v>
      </c>
      <c r="I333" s="17">
        <v>20070</v>
      </c>
      <c r="J333" s="17" t="s">
        <v>54</v>
      </c>
      <c r="K333" s="17" t="s">
        <v>78</v>
      </c>
      <c r="L333" s="17" t="s">
        <v>20</v>
      </c>
      <c r="M333" s="17" t="s">
        <v>582</v>
      </c>
      <c r="N333" s="17" t="s">
        <v>20</v>
      </c>
      <c r="O333" s="17" t="s">
        <v>1886</v>
      </c>
      <c r="P333" s="17" t="s">
        <v>20</v>
      </c>
      <c r="Q333" s="17" t="s">
        <v>581</v>
      </c>
      <c r="R333" s="17" t="s">
        <v>20</v>
      </c>
      <c r="S333" s="17" t="s">
        <v>273</v>
      </c>
      <c r="T333" s="17">
        <v>109</v>
      </c>
      <c r="U333" s="18">
        <v>0</v>
      </c>
      <c r="X333" s="17" t="s">
        <v>67</v>
      </c>
      <c r="Y333" s="17" t="s">
        <v>144</v>
      </c>
      <c r="Z333" s="17" t="s">
        <v>472</v>
      </c>
      <c r="AA333" s="28">
        <v>778730.545438</v>
      </c>
      <c r="AB333" s="28">
        <v>2422010.27495</v>
      </c>
    </row>
    <row r="334" spans="1:28">
      <c r="A334" s="17">
        <v>333</v>
      </c>
      <c r="B334" s="17">
        <v>813230</v>
      </c>
      <c r="C334" s="17" t="s">
        <v>1044</v>
      </c>
      <c r="D334" s="17" t="s">
        <v>52</v>
      </c>
      <c r="E334" s="17" t="s">
        <v>1890</v>
      </c>
      <c r="F334" s="17" t="s">
        <v>1061</v>
      </c>
      <c r="G334" s="17" t="s">
        <v>1891</v>
      </c>
      <c r="H334" s="17" t="s">
        <v>53</v>
      </c>
      <c r="I334" s="17">
        <v>20070</v>
      </c>
      <c r="J334" s="17" t="s">
        <v>54</v>
      </c>
      <c r="K334" s="17" t="s">
        <v>78</v>
      </c>
      <c r="L334" s="17" t="s">
        <v>20</v>
      </c>
      <c r="M334" s="17" t="s">
        <v>273</v>
      </c>
      <c r="N334" s="17" t="s">
        <v>20</v>
      </c>
      <c r="O334" s="17" t="s">
        <v>596</v>
      </c>
      <c r="P334" s="17" t="s">
        <v>20</v>
      </c>
      <c r="Q334" s="17" t="s">
        <v>127</v>
      </c>
      <c r="R334" s="17" t="s">
        <v>20</v>
      </c>
      <c r="S334" s="17" t="s">
        <v>585</v>
      </c>
      <c r="T334" s="17">
        <v>202</v>
      </c>
      <c r="U334" s="18">
        <v>0</v>
      </c>
      <c r="V334" s="17" t="s">
        <v>1892</v>
      </c>
      <c r="X334" s="17" t="s">
        <v>60</v>
      </c>
      <c r="Y334" s="17" t="s">
        <v>144</v>
      </c>
      <c r="Z334" s="17" t="s">
        <v>472</v>
      </c>
      <c r="AA334" s="28">
        <v>778900.74146000005</v>
      </c>
      <c r="AB334" s="28">
        <v>2422221.9164700001</v>
      </c>
    </row>
    <row r="335" spans="1:28">
      <c r="A335" s="17">
        <v>334</v>
      </c>
      <c r="B335" s="17">
        <v>813230</v>
      </c>
      <c r="C335" s="17" t="s">
        <v>1044</v>
      </c>
      <c r="D335" s="17" t="s">
        <v>52</v>
      </c>
      <c r="E335" s="17" t="s">
        <v>1893</v>
      </c>
      <c r="F335" s="17" t="s">
        <v>1061</v>
      </c>
      <c r="G335" s="17" t="s">
        <v>1894</v>
      </c>
      <c r="H335" s="17" t="s">
        <v>53</v>
      </c>
      <c r="I335" s="17">
        <v>20070</v>
      </c>
      <c r="J335" s="17" t="s">
        <v>54</v>
      </c>
      <c r="K335" s="17" t="s">
        <v>78</v>
      </c>
      <c r="L335" s="17" t="s">
        <v>20</v>
      </c>
      <c r="M335" s="17" t="s">
        <v>581</v>
      </c>
      <c r="N335" s="17" t="s">
        <v>20</v>
      </c>
      <c r="O335" s="17" t="s">
        <v>582</v>
      </c>
      <c r="P335" s="17" t="s">
        <v>20</v>
      </c>
      <c r="Q335" s="17" t="s">
        <v>273</v>
      </c>
      <c r="R335" s="17" t="s">
        <v>58</v>
      </c>
      <c r="S335" s="17" t="s">
        <v>596</v>
      </c>
      <c r="T335" s="17">
        <v>123</v>
      </c>
      <c r="U335" s="18">
        <v>0</v>
      </c>
      <c r="V335" s="17" t="s">
        <v>1895</v>
      </c>
      <c r="X335" s="17" t="s">
        <v>60</v>
      </c>
      <c r="Y335" s="17" t="s">
        <v>144</v>
      </c>
      <c r="Z335" s="17" t="s">
        <v>472</v>
      </c>
      <c r="AA335" s="28">
        <v>778603.18775699998</v>
      </c>
      <c r="AB335" s="28">
        <v>2422128.6180500002</v>
      </c>
    </row>
    <row r="336" spans="1:28">
      <c r="A336" s="17">
        <v>335</v>
      </c>
      <c r="B336" s="17">
        <v>813230</v>
      </c>
      <c r="C336" s="17" t="s">
        <v>1044</v>
      </c>
      <c r="D336" s="17" t="s">
        <v>52</v>
      </c>
      <c r="E336" s="17" t="s">
        <v>1896</v>
      </c>
      <c r="F336" s="17" t="s">
        <v>1061</v>
      </c>
      <c r="G336" s="17" t="s">
        <v>1897</v>
      </c>
      <c r="H336" s="17" t="s">
        <v>53</v>
      </c>
      <c r="I336" s="17">
        <v>20059</v>
      </c>
      <c r="J336" s="17" t="s">
        <v>54</v>
      </c>
      <c r="K336" s="17" t="s">
        <v>55</v>
      </c>
      <c r="L336" s="17" t="s">
        <v>56</v>
      </c>
      <c r="M336" s="17" t="s">
        <v>140</v>
      </c>
      <c r="N336" s="17" t="s">
        <v>20</v>
      </c>
      <c r="O336" s="17" t="s">
        <v>581</v>
      </c>
      <c r="P336" s="17" t="s">
        <v>20</v>
      </c>
      <c r="Q336" s="17" t="s">
        <v>592</v>
      </c>
      <c r="R336" s="17" t="s">
        <v>20</v>
      </c>
      <c r="S336" s="17" t="s">
        <v>581</v>
      </c>
      <c r="T336" s="17">
        <v>352</v>
      </c>
      <c r="U336" s="18">
        <v>4491049608</v>
      </c>
      <c r="X336" s="17" t="s">
        <v>67</v>
      </c>
      <c r="Y336" s="17" t="s">
        <v>144</v>
      </c>
      <c r="Z336" s="17" t="s">
        <v>472</v>
      </c>
      <c r="AA336" s="28">
        <v>778638.69516999996</v>
      </c>
      <c r="AB336" s="28">
        <v>2422476.6522400002</v>
      </c>
    </row>
    <row r="337" spans="1:28">
      <c r="A337" s="17">
        <v>336</v>
      </c>
      <c r="B337" s="17">
        <v>813230</v>
      </c>
      <c r="C337" s="17" t="s">
        <v>1044</v>
      </c>
      <c r="D337" s="17" t="s">
        <v>52</v>
      </c>
      <c r="E337" s="17" t="s">
        <v>1898</v>
      </c>
      <c r="F337" s="17" t="s">
        <v>1061</v>
      </c>
      <c r="G337" s="17" t="s">
        <v>1899</v>
      </c>
      <c r="H337" s="17" t="s">
        <v>53</v>
      </c>
      <c r="I337" s="17">
        <v>20059</v>
      </c>
      <c r="J337" s="17" t="s">
        <v>54</v>
      </c>
      <c r="K337" s="17" t="s">
        <v>55</v>
      </c>
      <c r="L337" s="17" t="s">
        <v>20</v>
      </c>
      <c r="M337" s="17" t="s">
        <v>567</v>
      </c>
      <c r="N337" s="17" t="s">
        <v>20</v>
      </c>
      <c r="O337" s="17" t="s">
        <v>591</v>
      </c>
      <c r="P337" s="17" t="s">
        <v>58</v>
      </c>
      <c r="Q337" s="17" t="s">
        <v>517</v>
      </c>
      <c r="R337" s="17" t="s">
        <v>20</v>
      </c>
      <c r="S337" s="17" t="s">
        <v>551</v>
      </c>
      <c r="T337" s="17">
        <v>507</v>
      </c>
      <c r="U337" s="18">
        <v>0</v>
      </c>
      <c r="V337" s="17" t="s">
        <v>1474</v>
      </c>
      <c r="X337" s="17" t="s">
        <v>60</v>
      </c>
      <c r="Y337" s="17" t="s">
        <v>144</v>
      </c>
      <c r="Z337" s="17" t="s">
        <v>472</v>
      </c>
      <c r="AA337" s="28">
        <v>778722.27084200003</v>
      </c>
      <c r="AB337" s="28">
        <v>2422605.8965799999</v>
      </c>
    </row>
    <row r="338" spans="1:28">
      <c r="A338" s="17">
        <v>337</v>
      </c>
      <c r="B338" s="17">
        <v>813230</v>
      </c>
      <c r="C338" s="17" t="s">
        <v>1044</v>
      </c>
      <c r="D338" s="17" t="s">
        <v>52</v>
      </c>
      <c r="E338" s="17" t="s">
        <v>1900</v>
      </c>
      <c r="F338" s="17" t="s">
        <v>1061</v>
      </c>
      <c r="H338" s="17" t="s">
        <v>53</v>
      </c>
      <c r="I338" s="17">
        <v>20059</v>
      </c>
      <c r="J338" s="17" t="s">
        <v>54</v>
      </c>
      <c r="K338" s="17" t="s">
        <v>55</v>
      </c>
      <c r="L338" s="17" t="s">
        <v>20</v>
      </c>
      <c r="M338" s="17" t="s">
        <v>585</v>
      </c>
      <c r="N338" s="17" t="s">
        <v>20</v>
      </c>
      <c r="O338" s="17" t="s">
        <v>127</v>
      </c>
      <c r="P338" s="17" t="s">
        <v>20</v>
      </c>
      <c r="Q338" s="17" t="s">
        <v>588</v>
      </c>
      <c r="R338" s="17" t="s">
        <v>20</v>
      </c>
      <c r="S338" s="17" t="s">
        <v>273</v>
      </c>
      <c r="T338" s="17">
        <v>315</v>
      </c>
      <c r="U338" s="18">
        <v>0</v>
      </c>
      <c r="V338" s="17" t="s">
        <v>1901</v>
      </c>
      <c r="X338" s="17" t="s">
        <v>64</v>
      </c>
      <c r="Y338" s="17" t="s">
        <v>144</v>
      </c>
      <c r="Z338" s="17" t="s">
        <v>472</v>
      </c>
      <c r="AA338" s="28">
        <v>778943.11592300003</v>
      </c>
      <c r="AB338" s="28">
        <v>2422091.5109600001</v>
      </c>
    </row>
    <row r="339" spans="1:28">
      <c r="A339" s="17">
        <v>338</v>
      </c>
      <c r="B339" s="17">
        <v>813230</v>
      </c>
      <c r="C339" s="17" t="s">
        <v>1044</v>
      </c>
      <c r="D339" s="17" t="s">
        <v>52</v>
      </c>
      <c r="E339" s="17" t="s">
        <v>1902</v>
      </c>
      <c r="F339" s="17" t="s">
        <v>1061</v>
      </c>
      <c r="G339" s="17" t="s">
        <v>1903</v>
      </c>
      <c r="H339" s="17" t="s">
        <v>69</v>
      </c>
      <c r="I339" s="17">
        <v>20000</v>
      </c>
      <c r="J339" s="17" t="s">
        <v>54</v>
      </c>
      <c r="K339" s="17" t="s">
        <v>55</v>
      </c>
      <c r="L339" s="17" t="s">
        <v>20</v>
      </c>
      <c r="M339" s="17" t="s">
        <v>569</v>
      </c>
      <c r="N339" s="17" t="s">
        <v>20</v>
      </c>
      <c r="O339" s="17" t="s">
        <v>588</v>
      </c>
      <c r="P339" s="17" t="s">
        <v>20</v>
      </c>
      <c r="Q339" s="17" t="s">
        <v>547</v>
      </c>
      <c r="R339" s="17" t="s">
        <v>20</v>
      </c>
      <c r="S339" s="17" t="s">
        <v>585</v>
      </c>
      <c r="T339" s="17">
        <v>306</v>
      </c>
      <c r="U339" s="18">
        <v>0</v>
      </c>
      <c r="V339" s="17" t="s">
        <v>1904</v>
      </c>
      <c r="X339" s="17" t="s">
        <v>60</v>
      </c>
      <c r="Y339" s="17" t="s">
        <v>144</v>
      </c>
      <c r="Z339" s="17" t="s">
        <v>472</v>
      </c>
      <c r="AA339" s="28">
        <v>779126.49357499997</v>
      </c>
      <c r="AB339" s="28">
        <v>2422248.5137399998</v>
      </c>
    </row>
    <row r="340" spans="1:28">
      <c r="A340" s="17">
        <v>339</v>
      </c>
      <c r="B340" s="17">
        <v>813230</v>
      </c>
      <c r="C340" s="17" t="s">
        <v>1044</v>
      </c>
      <c r="D340" s="17" t="s">
        <v>52</v>
      </c>
      <c r="E340" s="17" t="s">
        <v>1905</v>
      </c>
      <c r="F340" s="17" t="s">
        <v>1061</v>
      </c>
      <c r="G340" s="17" t="s">
        <v>1906</v>
      </c>
      <c r="H340" s="17" t="s">
        <v>69</v>
      </c>
      <c r="I340" s="17">
        <v>20230</v>
      </c>
      <c r="J340" s="17" t="s">
        <v>54</v>
      </c>
      <c r="K340" s="17" t="s">
        <v>63</v>
      </c>
      <c r="L340" s="17" t="s">
        <v>20</v>
      </c>
      <c r="M340" s="17" t="s">
        <v>513</v>
      </c>
      <c r="N340" s="17" t="s">
        <v>20</v>
      </c>
      <c r="O340" s="17" t="s">
        <v>396</v>
      </c>
      <c r="P340" s="17" t="s">
        <v>20</v>
      </c>
      <c r="Q340" s="17" t="s">
        <v>576</v>
      </c>
      <c r="R340" s="17" t="s">
        <v>20</v>
      </c>
      <c r="S340" s="17" t="s">
        <v>417</v>
      </c>
      <c r="T340" s="17">
        <v>133</v>
      </c>
      <c r="U340" s="18">
        <v>0</v>
      </c>
      <c r="X340" s="17" t="s">
        <v>60</v>
      </c>
      <c r="Y340" s="17" t="s">
        <v>144</v>
      </c>
      <c r="Z340" s="17" t="s">
        <v>472</v>
      </c>
      <c r="AA340" s="28">
        <v>779420.70127399999</v>
      </c>
      <c r="AB340" s="28">
        <v>2421405.1329399999</v>
      </c>
    </row>
    <row r="341" spans="1:28">
      <c r="A341" s="17">
        <v>340</v>
      </c>
      <c r="B341" s="17">
        <v>813230</v>
      </c>
      <c r="C341" s="17" t="s">
        <v>1044</v>
      </c>
      <c r="D341" s="17" t="s">
        <v>52</v>
      </c>
      <c r="E341" s="17" t="s">
        <v>1907</v>
      </c>
      <c r="F341" s="17" t="s">
        <v>1061</v>
      </c>
      <c r="G341" s="17" t="s">
        <v>1908</v>
      </c>
      <c r="H341" s="17" t="s">
        <v>69</v>
      </c>
      <c r="I341" s="17">
        <v>20230</v>
      </c>
      <c r="J341" s="17" t="s">
        <v>54</v>
      </c>
      <c r="K341" s="17" t="s">
        <v>55</v>
      </c>
      <c r="L341" s="17" t="s">
        <v>20</v>
      </c>
      <c r="M341" s="17" t="s">
        <v>576</v>
      </c>
      <c r="N341" s="17" t="s">
        <v>56</v>
      </c>
      <c r="O341" s="17" t="s">
        <v>387</v>
      </c>
      <c r="P341" s="17" t="s">
        <v>311</v>
      </c>
      <c r="Q341" s="17" t="s">
        <v>1793</v>
      </c>
      <c r="R341" s="17" t="s">
        <v>161</v>
      </c>
      <c r="S341" s="17" t="s">
        <v>561</v>
      </c>
      <c r="T341" s="17">
        <v>552</v>
      </c>
      <c r="U341" s="18">
        <v>4491712453</v>
      </c>
      <c r="V341" s="17" t="s">
        <v>1909</v>
      </c>
      <c r="X341" s="17" t="s">
        <v>67</v>
      </c>
      <c r="Y341" s="17" t="s">
        <v>144</v>
      </c>
      <c r="Z341" s="17" t="s">
        <v>472</v>
      </c>
      <c r="AA341" s="28">
        <v>779263.75002200005</v>
      </c>
      <c r="AB341" s="28">
        <v>2421182.9741400001</v>
      </c>
    </row>
    <row r="342" spans="1:28">
      <c r="A342" s="17">
        <v>341</v>
      </c>
      <c r="B342" s="17">
        <v>813230</v>
      </c>
      <c r="C342" s="17" t="s">
        <v>1044</v>
      </c>
      <c r="D342" s="17" t="s">
        <v>52</v>
      </c>
      <c r="E342" s="17" t="s">
        <v>1910</v>
      </c>
      <c r="F342" s="17" t="s">
        <v>1061</v>
      </c>
      <c r="G342" s="17" t="s">
        <v>1911</v>
      </c>
      <c r="H342" s="17" t="s">
        <v>69</v>
      </c>
      <c r="I342" s="17">
        <v>20190</v>
      </c>
      <c r="J342" s="17" t="s">
        <v>54</v>
      </c>
      <c r="K342" s="17" t="s">
        <v>78</v>
      </c>
      <c r="L342" s="17" t="s">
        <v>142</v>
      </c>
      <c r="M342" s="17" t="s">
        <v>486</v>
      </c>
      <c r="N342" s="17" t="s">
        <v>56</v>
      </c>
      <c r="O342" s="17" t="s">
        <v>776</v>
      </c>
      <c r="P342" s="17" t="s">
        <v>20</v>
      </c>
      <c r="Q342" s="17" t="s">
        <v>113</v>
      </c>
      <c r="R342" s="17" t="s">
        <v>20</v>
      </c>
      <c r="S342" s="17" t="s">
        <v>1912</v>
      </c>
      <c r="T342" s="17">
        <v>1101</v>
      </c>
      <c r="U342" s="18">
        <v>0</v>
      </c>
      <c r="X342" s="17" t="s">
        <v>90</v>
      </c>
      <c r="Y342" s="17" t="s">
        <v>646</v>
      </c>
      <c r="Z342" s="17" t="s">
        <v>472</v>
      </c>
      <c r="AA342" s="28">
        <v>782626.871636</v>
      </c>
      <c r="AB342" s="28">
        <v>2422683.2317499998</v>
      </c>
    </row>
    <row r="343" spans="1:28">
      <c r="A343" s="17">
        <v>342</v>
      </c>
      <c r="B343" s="17">
        <v>624191</v>
      </c>
      <c r="C343" s="17" t="s">
        <v>1044</v>
      </c>
      <c r="D343" s="17" t="s">
        <v>52</v>
      </c>
      <c r="E343" s="17" t="s">
        <v>1913</v>
      </c>
      <c r="F343" s="17" t="s">
        <v>1064</v>
      </c>
      <c r="G343" s="17" t="s">
        <v>1914</v>
      </c>
      <c r="H343" s="17" t="s">
        <v>69</v>
      </c>
      <c r="I343" s="17">
        <v>20050</v>
      </c>
      <c r="J343" s="17" t="s">
        <v>54</v>
      </c>
      <c r="K343" s="17" t="s">
        <v>55</v>
      </c>
      <c r="L343" s="17" t="s">
        <v>20</v>
      </c>
      <c r="M343" s="17" t="s">
        <v>602</v>
      </c>
      <c r="N343" s="17" t="s">
        <v>20</v>
      </c>
      <c r="O343" s="17" t="s">
        <v>605</v>
      </c>
      <c r="P343" s="17" t="s">
        <v>20</v>
      </c>
      <c r="Q343" s="17" t="s">
        <v>604</v>
      </c>
      <c r="R343" s="17" t="s">
        <v>20</v>
      </c>
      <c r="S343" s="17" t="s">
        <v>603</v>
      </c>
      <c r="T343" s="17">
        <v>317</v>
      </c>
      <c r="U343" s="18">
        <v>4499182063</v>
      </c>
      <c r="X343" s="17" t="s">
        <v>67</v>
      </c>
      <c r="Y343" s="17" t="s">
        <v>221</v>
      </c>
      <c r="Z343" s="17" t="s">
        <v>472</v>
      </c>
      <c r="AA343" s="28">
        <v>778750.25456799997</v>
      </c>
      <c r="AB343" s="28">
        <v>2422961.35886</v>
      </c>
    </row>
    <row r="344" spans="1:28">
      <c r="A344" s="17">
        <v>343</v>
      </c>
      <c r="B344" s="17">
        <v>812322</v>
      </c>
      <c r="C344" s="17" t="s">
        <v>1044</v>
      </c>
      <c r="D344" s="17" t="s">
        <v>52</v>
      </c>
      <c r="E344" s="17" t="s">
        <v>1915</v>
      </c>
      <c r="F344" s="17" t="s">
        <v>1916</v>
      </c>
      <c r="G344" s="17" t="s">
        <v>1027</v>
      </c>
      <c r="H344" s="17" t="s">
        <v>53</v>
      </c>
      <c r="I344" s="17">
        <v>20059</v>
      </c>
      <c r="J344" s="17" t="s">
        <v>54</v>
      </c>
      <c r="K344" s="17" t="s">
        <v>88</v>
      </c>
      <c r="L344" s="17" t="s">
        <v>58</v>
      </c>
      <c r="M344" s="17" t="s">
        <v>59</v>
      </c>
      <c r="N344" s="17" t="s">
        <v>20</v>
      </c>
      <c r="O344" s="17" t="s">
        <v>517</v>
      </c>
      <c r="P344" s="17" t="s">
        <v>20</v>
      </c>
      <c r="Q344" s="17" t="s">
        <v>572</v>
      </c>
      <c r="R344" s="17" t="s">
        <v>20</v>
      </c>
      <c r="S344" s="17" t="s">
        <v>370</v>
      </c>
      <c r="T344" s="17">
        <v>0</v>
      </c>
      <c r="U344" s="18">
        <v>4499153096</v>
      </c>
      <c r="X344" s="17" t="s">
        <v>67</v>
      </c>
      <c r="Y344" s="17" t="s">
        <v>221</v>
      </c>
      <c r="Z344" s="17" t="s">
        <v>472</v>
      </c>
      <c r="AA344" s="28">
        <v>778178.11325399997</v>
      </c>
      <c r="AB344" s="28">
        <v>2422680.6019799998</v>
      </c>
    </row>
    <row r="345" spans="1:28">
      <c r="A345" s="17">
        <v>344</v>
      </c>
      <c r="B345" s="17">
        <v>813230</v>
      </c>
      <c r="C345" s="17" t="s">
        <v>1044</v>
      </c>
      <c r="D345" s="17" t="s">
        <v>52</v>
      </c>
      <c r="E345" s="17" t="s">
        <v>1917</v>
      </c>
      <c r="F345" s="17" t="s">
        <v>1061</v>
      </c>
      <c r="H345" s="17" t="s">
        <v>53</v>
      </c>
      <c r="I345" s="17">
        <v>20059</v>
      </c>
      <c r="J345" s="17" t="s">
        <v>54</v>
      </c>
      <c r="K345" s="17" t="s">
        <v>55</v>
      </c>
      <c r="L345" s="17" t="s">
        <v>20</v>
      </c>
      <c r="M345" s="17" t="s">
        <v>572</v>
      </c>
      <c r="N345" s="17" t="s">
        <v>58</v>
      </c>
      <c r="O345" s="17" t="s">
        <v>59</v>
      </c>
      <c r="P345" s="17" t="s">
        <v>56</v>
      </c>
      <c r="Q345" s="17" t="s">
        <v>140</v>
      </c>
      <c r="R345" s="17" t="s">
        <v>20</v>
      </c>
      <c r="S345" s="17" t="s">
        <v>105</v>
      </c>
      <c r="T345" s="17">
        <v>828</v>
      </c>
      <c r="U345" s="18">
        <v>4492801567</v>
      </c>
      <c r="V345" s="17" t="s">
        <v>1918</v>
      </c>
      <c r="X345" s="17" t="s">
        <v>60</v>
      </c>
      <c r="Y345" s="17" t="s">
        <v>221</v>
      </c>
      <c r="Z345" s="17" t="s">
        <v>472</v>
      </c>
      <c r="AA345" s="28">
        <v>778209.477373</v>
      </c>
      <c r="AB345" s="28">
        <v>2422641.8639000002</v>
      </c>
    </row>
    <row r="346" spans="1:28">
      <c r="A346" s="17">
        <v>345</v>
      </c>
      <c r="B346" s="17">
        <v>813230</v>
      </c>
      <c r="C346" s="17" t="s">
        <v>1044</v>
      </c>
      <c r="D346" s="17" t="s">
        <v>52</v>
      </c>
      <c r="E346" s="17" t="s">
        <v>1919</v>
      </c>
      <c r="F346" s="17" t="s">
        <v>1061</v>
      </c>
      <c r="G346" s="17" t="s">
        <v>1920</v>
      </c>
      <c r="H346" s="17" t="s">
        <v>69</v>
      </c>
      <c r="I346" s="17">
        <v>20050</v>
      </c>
      <c r="J346" s="17" t="s">
        <v>54</v>
      </c>
      <c r="K346" s="17" t="s">
        <v>78</v>
      </c>
      <c r="L346" s="17" t="s">
        <v>20</v>
      </c>
      <c r="M346" s="17" t="s">
        <v>310</v>
      </c>
      <c r="N346" s="17" t="s">
        <v>20</v>
      </c>
      <c r="O346" s="17" t="s">
        <v>579</v>
      </c>
      <c r="P346" s="17" t="s">
        <v>20</v>
      </c>
      <c r="Q346" s="17" t="s">
        <v>127</v>
      </c>
      <c r="R346" s="17" t="s">
        <v>20</v>
      </c>
      <c r="S346" s="17" t="s">
        <v>602</v>
      </c>
      <c r="T346" s="17">
        <v>219</v>
      </c>
      <c r="U346" s="18">
        <v>0</v>
      </c>
      <c r="X346" s="17" t="s">
        <v>90</v>
      </c>
      <c r="Y346" s="17" t="s">
        <v>221</v>
      </c>
      <c r="Z346" s="17" t="s">
        <v>472</v>
      </c>
      <c r="AA346" s="28">
        <v>778952.69966899999</v>
      </c>
      <c r="AB346" s="28">
        <v>2422839.62567</v>
      </c>
    </row>
    <row r="347" spans="1:28">
      <c r="A347" s="17">
        <v>346</v>
      </c>
      <c r="B347" s="17">
        <v>624211</v>
      </c>
      <c r="C347" s="17" t="s">
        <v>1044</v>
      </c>
      <c r="D347" s="17" t="s">
        <v>52</v>
      </c>
      <c r="E347" s="17" t="s">
        <v>1921</v>
      </c>
      <c r="F347" s="17" t="s">
        <v>1080</v>
      </c>
      <c r="G347" s="17" t="s">
        <v>1922</v>
      </c>
      <c r="H347" s="17" t="s">
        <v>69</v>
      </c>
      <c r="I347" s="17">
        <v>20180</v>
      </c>
      <c r="J347" s="17" t="s">
        <v>54</v>
      </c>
      <c r="K347" s="17" t="s">
        <v>55</v>
      </c>
      <c r="L347" s="17" t="s">
        <v>20</v>
      </c>
      <c r="M347" s="17" t="s">
        <v>606</v>
      </c>
      <c r="N347" s="17" t="s">
        <v>20</v>
      </c>
      <c r="O347" s="17" t="s">
        <v>609</v>
      </c>
      <c r="P347" s="17" t="s">
        <v>20</v>
      </c>
      <c r="Q347" s="17" t="s">
        <v>610</v>
      </c>
      <c r="R347" s="17" t="s">
        <v>20</v>
      </c>
      <c r="S347" s="17" t="s">
        <v>608</v>
      </c>
      <c r="T347" s="17">
        <v>504</v>
      </c>
      <c r="U347" s="18">
        <v>0</v>
      </c>
      <c r="X347" s="17" t="s">
        <v>60</v>
      </c>
      <c r="Y347" s="17" t="s">
        <v>607</v>
      </c>
      <c r="Z347" s="17" t="s">
        <v>472</v>
      </c>
      <c r="AA347" s="28">
        <v>781990.538237</v>
      </c>
      <c r="AB347" s="28">
        <v>2422918.39904</v>
      </c>
    </row>
    <row r="348" spans="1:28">
      <c r="A348" s="17">
        <v>347</v>
      </c>
      <c r="B348" s="17">
        <v>624411</v>
      </c>
      <c r="C348" s="17" t="s">
        <v>1044</v>
      </c>
      <c r="D348" s="17" t="s">
        <v>52</v>
      </c>
      <c r="E348" s="17" t="s">
        <v>1923</v>
      </c>
      <c r="F348" s="17" t="s">
        <v>1046</v>
      </c>
      <c r="G348" s="17" t="s">
        <v>1924</v>
      </c>
      <c r="H348" s="17" t="s">
        <v>69</v>
      </c>
      <c r="I348" s="17">
        <v>20180</v>
      </c>
      <c r="J348" s="17" t="s">
        <v>54</v>
      </c>
      <c r="K348" s="17" t="s">
        <v>88</v>
      </c>
      <c r="L348" s="17" t="s">
        <v>20</v>
      </c>
      <c r="M348" s="17" t="s">
        <v>540</v>
      </c>
      <c r="N348" s="17" t="s">
        <v>20</v>
      </c>
      <c r="O348" s="17" t="s">
        <v>647</v>
      </c>
      <c r="P348" s="17" t="s">
        <v>20</v>
      </c>
      <c r="Q348" s="17" t="s">
        <v>1925</v>
      </c>
      <c r="R348" s="17" t="s">
        <v>20</v>
      </c>
      <c r="S348" s="17" t="s">
        <v>606</v>
      </c>
      <c r="T348" s="17">
        <v>124</v>
      </c>
      <c r="U348" s="18">
        <v>0</v>
      </c>
      <c r="V348" s="17" t="s">
        <v>1926</v>
      </c>
      <c r="X348" s="17" t="s">
        <v>60</v>
      </c>
      <c r="Y348" s="17" t="s">
        <v>607</v>
      </c>
      <c r="Z348" s="17" t="s">
        <v>472</v>
      </c>
      <c r="AA348" s="28">
        <v>781920.52491100004</v>
      </c>
      <c r="AB348" s="28">
        <v>2422631.34106</v>
      </c>
    </row>
    <row r="349" spans="1:28">
      <c r="A349" s="17">
        <v>348</v>
      </c>
      <c r="B349" s="17">
        <v>624411</v>
      </c>
      <c r="C349" s="17" t="s">
        <v>1044</v>
      </c>
      <c r="D349" s="17" t="s">
        <v>52</v>
      </c>
      <c r="E349" s="17" t="s">
        <v>1927</v>
      </c>
      <c r="F349" s="17" t="s">
        <v>1046</v>
      </c>
      <c r="G349" s="17" t="s">
        <v>1928</v>
      </c>
      <c r="H349" s="17" t="s">
        <v>69</v>
      </c>
      <c r="I349" s="17">
        <v>20180</v>
      </c>
      <c r="J349" s="17" t="s">
        <v>54</v>
      </c>
      <c r="K349" s="17" t="s">
        <v>88</v>
      </c>
      <c r="L349" s="17" t="s">
        <v>20</v>
      </c>
      <c r="M349" s="17" t="s">
        <v>540</v>
      </c>
      <c r="N349" s="17" t="s">
        <v>20</v>
      </c>
      <c r="O349" s="17" t="s">
        <v>1925</v>
      </c>
      <c r="P349" s="17" t="s">
        <v>20</v>
      </c>
      <c r="Q349" s="17" t="s">
        <v>499</v>
      </c>
      <c r="R349" s="17" t="s">
        <v>20</v>
      </c>
      <c r="S349" s="17" t="s">
        <v>606</v>
      </c>
      <c r="T349" s="17">
        <v>124</v>
      </c>
      <c r="U349" s="18">
        <v>0</v>
      </c>
      <c r="V349" s="17" t="s">
        <v>1929</v>
      </c>
      <c r="X349" s="17" t="s">
        <v>67</v>
      </c>
      <c r="Y349" s="17" t="s">
        <v>607</v>
      </c>
      <c r="Z349" s="17" t="s">
        <v>472</v>
      </c>
      <c r="AA349" s="28">
        <v>781932.40565800003</v>
      </c>
      <c r="AB349" s="28">
        <v>2422649.6397299999</v>
      </c>
    </row>
    <row r="350" spans="1:28">
      <c r="A350" s="17">
        <v>349</v>
      </c>
      <c r="B350" s="17">
        <v>813230</v>
      </c>
      <c r="C350" s="17" t="s">
        <v>1044</v>
      </c>
      <c r="D350" s="17" t="s">
        <v>52</v>
      </c>
      <c r="E350" s="17" t="s">
        <v>1930</v>
      </c>
      <c r="F350" s="17" t="s">
        <v>1061</v>
      </c>
      <c r="G350" s="17" t="s">
        <v>1931</v>
      </c>
      <c r="H350" s="17" t="s">
        <v>69</v>
      </c>
      <c r="I350" s="17">
        <v>20180</v>
      </c>
      <c r="J350" s="17" t="s">
        <v>54</v>
      </c>
      <c r="K350" s="17" t="s">
        <v>55</v>
      </c>
      <c r="L350" s="17" t="s">
        <v>20</v>
      </c>
      <c r="M350" s="17" t="s">
        <v>606</v>
      </c>
      <c r="N350" s="17" t="s">
        <v>20</v>
      </c>
      <c r="O350" s="17" t="s">
        <v>1925</v>
      </c>
      <c r="P350" s="17" t="s">
        <v>20</v>
      </c>
      <c r="Q350" s="17" t="s">
        <v>499</v>
      </c>
      <c r="R350" s="17" t="s">
        <v>20</v>
      </c>
      <c r="S350" s="17" t="s">
        <v>540</v>
      </c>
      <c r="T350" s="17">
        <v>119</v>
      </c>
      <c r="U350" s="18">
        <v>4491427524</v>
      </c>
      <c r="X350" s="17" t="s">
        <v>60</v>
      </c>
      <c r="Y350" s="17" t="s">
        <v>607</v>
      </c>
      <c r="Z350" s="17" t="s">
        <v>472</v>
      </c>
      <c r="AA350" s="28">
        <v>781869.66853699996</v>
      </c>
      <c r="AB350" s="28">
        <v>2422705.8144800002</v>
      </c>
    </row>
    <row r="351" spans="1:28">
      <c r="A351" s="17">
        <v>350</v>
      </c>
      <c r="B351" s="17">
        <v>624211</v>
      </c>
      <c r="C351" s="17" t="s">
        <v>1044</v>
      </c>
      <c r="D351" s="17" t="s">
        <v>52</v>
      </c>
      <c r="E351" s="17" t="s">
        <v>1932</v>
      </c>
      <c r="F351" s="17" t="s">
        <v>1080</v>
      </c>
      <c r="G351" s="17" t="s">
        <v>1933</v>
      </c>
      <c r="H351" s="17" t="s">
        <v>104</v>
      </c>
      <c r="I351" s="17">
        <v>20174</v>
      </c>
      <c r="J351" s="17" t="s">
        <v>54</v>
      </c>
      <c r="K351" s="17" t="s">
        <v>63</v>
      </c>
      <c r="L351" s="17" t="s">
        <v>56</v>
      </c>
      <c r="M351" s="17" t="s">
        <v>621</v>
      </c>
      <c r="N351" s="17" t="s">
        <v>20</v>
      </c>
      <c r="O351" s="17" t="s">
        <v>642</v>
      </c>
      <c r="P351" s="17" t="s">
        <v>20</v>
      </c>
      <c r="Q351" s="17" t="s">
        <v>347</v>
      </c>
      <c r="R351" s="17" t="s">
        <v>56</v>
      </c>
      <c r="S351" s="17" t="s">
        <v>643</v>
      </c>
      <c r="T351" s="17">
        <v>101</v>
      </c>
      <c r="U351" s="18">
        <v>4491883422</v>
      </c>
      <c r="X351" s="17" t="s">
        <v>64</v>
      </c>
      <c r="Y351" s="17" t="s">
        <v>612</v>
      </c>
      <c r="Z351" s="17" t="s">
        <v>613</v>
      </c>
      <c r="AA351" s="28">
        <v>784360.37563000002</v>
      </c>
      <c r="AB351" s="28">
        <v>2424580.2000699998</v>
      </c>
    </row>
    <row r="352" spans="1:28">
      <c r="A352" s="17">
        <v>351</v>
      </c>
      <c r="B352" s="17">
        <v>624411</v>
      </c>
      <c r="C352" s="17" t="s">
        <v>1044</v>
      </c>
      <c r="D352" s="17" t="s">
        <v>52</v>
      </c>
      <c r="E352" s="17" t="s">
        <v>1934</v>
      </c>
      <c r="F352" s="17" t="s">
        <v>1046</v>
      </c>
      <c r="H352" s="17" t="s">
        <v>104</v>
      </c>
      <c r="I352" s="17">
        <v>20174</v>
      </c>
      <c r="J352" s="17" t="s">
        <v>54</v>
      </c>
      <c r="K352" s="17" t="s">
        <v>55</v>
      </c>
      <c r="L352" s="17" t="s">
        <v>20</v>
      </c>
      <c r="M352" s="17" t="s">
        <v>638</v>
      </c>
      <c r="N352" s="17" t="s">
        <v>56</v>
      </c>
      <c r="O352" s="17" t="s">
        <v>636</v>
      </c>
      <c r="P352" s="17" t="s">
        <v>20</v>
      </c>
      <c r="Q352" s="17" t="s">
        <v>1935</v>
      </c>
      <c r="R352" s="17" t="s">
        <v>56</v>
      </c>
      <c r="S352" s="17" t="s">
        <v>636</v>
      </c>
      <c r="T352" s="17">
        <v>98</v>
      </c>
      <c r="U352" s="18">
        <v>0</v>
      </c>
      <c r="X352" s="17" t="s">
        <v>60</v>
      </c>
      <c r="Y352" s="17" t="s">
        <v>612</v>
      </c>
      <c r="Z352" s="17" t="s">
        <v>613</v>
      </c>
      <c r="AA352" s="28">
        <v>785235.71320799994</v>
      </c>
      <c r="AB352" s="28">
        <v>2424111.7720900001</v>
      </c>
    </row>
    <row r="353" spans="1:28">
      <c r="A353" s="17">
        <v>352</v>
      </c>
      <c r="B353" s="17">
        <v>624112</v>
      </c>
      <c r="C353" s="17" t="s">
        <v>1044</v>
      </c>
      <c r="D353" s="17" t="s">
        <v>1008</v>
      </c>
      <c r="E353" s="17" t="s">
        <v>1936</v>
      </c>
      <c r="F353" s="17" t="s">
        <v>1149</v>
      </c>
      <c r="G353" s="17" t="s">
        <v>1937</v>
      </c>
      <c r="H353" s="17" t="s">
        <v>104</v>
      </c>
      <c r="I353" s="17">
        <v>20196</v>
      </c>
      <c r="J353" s="17" t="s">
        <v>54</v>
      </c>
      <c r="K353" s="17" t="s">
        <v>63</v>
      </c>
      <c r="L353" s="17" t="s">
        <v>56</v>
      </c>
      <c r="M353" s="17" t="s">
        <v>620</v>
      </c>
      <c r="N353" s="17" t="s">
        <v>20</v>
      </c>
      <c r="O353" s="17" t="s">
        <v>615</v>
      </c>
      <c r="P353" s="17" t="s">
        <v>20</v>
      </c>
      <c r="Q353" s="17" t="s">
        <v>611</v>
      </c>
      <c r="R353" s="17" t="s">
        <v>20</v>
      </c>
      <c r="S353" s="17" t="s">
        <v>1938</v>
      </c>
      <c r="T353" s="17">
        <v>302</v>
      </c>
      <c r="U353" s="18">
        <v>4499102121</v>
      </c>
      <c r="X353" s="17" t="s">
        <v>67</v>
      </c>
      <c r="Y353" s="17" t="s">
        <v>612</v>
      </c>
      <c r="Z353" s="17" t="s">
        <v>613</v>
      </c>
      <c r="AA353" s="28">
        <v>785336.74662800005</v>
      </c>
      <c r="AB353" s="28">
        <v>2420812.8144299998</v>
      </c>
    </row>
    <row r="354" spans="1:28">
      <c r="A354" s="17">
        <v>353</v>
      </c>
      <c r="B354" s="17">
        <v>624412</v>
      </c>
      <c r="C354" s="17" t="s">
        <v>1044</v>
      </c>
      <c r="D354" s="17" t="s">
        <v>1008</v>
      </c>
      <c r="E354" s="17" t="s">
        <v>1939</v>
      </c>
      <c r="F354" s="17" t="s">
        <v>1123</v>
      </c>
      <c r="H354" s="17" t="s">
        <v>104</v>
      </c>
      <c r="I354" s="17">
        <v>20196</v>
      </c>
      <c r="J354" s="17" t="s">
        <v>54</v>
      </c>
      <c r="K354" s="17" t="s">
        <v>55</v>
      </c>
      <c r="L354" s="17" t="s">
        <v>20</v>
      </c>
      <c r="M354" s="17" t="s">
        <v>626</v>
      </c>
      <c r="N354" s="17" t="s">
        <v>20</v>
      </c>
      <c r="O354" s="17" t="s">
        <v>625</v>
      </c>
      <c r="P354" s="17" t="s">
        <v>20</v>
      </c>
      <c r="Q354" s="17" t="s">
        <v>623</v>
      </c>
      <c r="R354" s="17" t="s">
        <v>20</v>
      </c>
      <c r="S354" s="17" t="s">
        <v>634</v>
      </c>
      <c r="T354" s="17">
        <v>1010</v>
      </c>
      <c r="U354" s="18">
        <v>4499747377</v>
      </c>
      <c r="X354" s="17" t="s">
        <v>64</v>
      </c>
      <c r="Y354" s="17" t="s">
        <v>612</v>
      </c>
      <c r="Z354" s="17" t="s">
        <v>613</v>
      </c>
      <c r="AA354" s="28">
        <v>785821.02139600005</v>
      </c>
      <c r="AB354" s="28">
        <v>2420600.14799</v>
      </c>
    </row>
    <row r="355" spans="1:28">
      <c r="A355" s="17">
        <v>354</v>
      </c>
      <c r="B355" s="17">
        <v>624412</v>
      </c>
      <c r="C355" s="17" t="s">
        <v>1044</v>
      </c>
      <c r="D355" s="17" t="s">
        <v>1008</v>
      </c>
      <c r="E355" s="17" t="s">
        <v>1940</v>
      </c>
      <c r="F355" s="17" t="s">
        <v>1123</v>
      </c>
      <c r="H355" s="17" t="s">
        <v>104</v>
      </c>
      <c r="I355" s="17">
        <v>20196</v>
      </c>
      <c r="J355" s="17" t="s">
        <v>54</v>
      </c>
      <c r="K355" s="17" t="s">
        <v>55</v>
      </c>
      <c r="L355" s="17" t="s">
        <v>20</v>
      </c>
      <c r="M355" s="17" t="s">
        <v>1941</v>
      </c>
      <c r="N355" s="17" t="s">
        <v>56</v>
      </c>
      <c r="O355" s="17" t="s">
        <v>1942</v>
      </c>
      <c r="P355" s="17" t="s">
        <v>58</v>
      </c>
      <c r="Q355" s="17" t="s">
        <v>1943</v>
      </c>
      <c r="R355" s="17" t="s">
        <v>20</v>
      </c>
      <c r="S355" s="17" t="s">
        <v>1944</v>
      </c>
      <c r="T355" s="17">
        <v>20</v>
      </c>
      <c r="U355" s="18">
        <v>4491400001</v>
      </c>
      <c r="X355" s="17" t="s">
        <v>67</v>
      </c>
      <c r="Y355" s="17" t="s">
        <v>612</v>
      </c>
      <c r="Z355" s="17" t="s">
        <v>613</v>
      </c>
      <c r="AA355" s="28">
        <v>785183.09268300002</v>
      </c>
      <c r="AB355" s="28">
        <v>2422197.4061599998</v>
      </c>
    </row>
    <row r="356" spans="1:28">
      <c r="A356" s="17">
        <v>355</v>
      </c>
      <c r="B356" s="17">
        <v>624191</v>
      </c>
      <c r="C356" s="17" t="s">
        <v>1044</v>
      </c>
      <c r="D356" s="17" t="s">
        <v>52</v>
      </c>
      <c r="E356" s="17" t="s">
        <v>1945</v>
      </c>
      <c r="F356" s="17" t="s">
        <v>1064</v>
      </c>
      <c r="G356" s="17" t="s">
        <v>1946</v>
      </c>
      <c r="H356" s="17" t="s">
        <v>104</v>
      </c>
      <c r="I356" s="17">
        <v>20196</v>
      </c>
      <c r="J356" s="17" t="s">
        <v>54</v>
      </c>
      <c r="K356" s="17" t="s">
        <v>55</v>
      </c>
      <c r="L356" s="17" t="s">
        <v>20</v>
      </c>
      <c r="M356" s="17" t="s">
        <v>632</v>
      </c>
      <c r="N356" s="17" t="s">
        <v>56</v>
      </c>
      <c r="O356" s="17" t="s">
        <v>641</v>
      </c>
      <c r="P356" s="17" t="s">
        <v>20</v>
      </c>
      <c r="Q356" s="17" t="s">
        <v>616</v>
      </c>
      <c r="R356" s="17" t="s">
        <v>20</v>
      </c>
      <c r="S356" s="17" t="s">
        <v>624</v>
      </c>
      <c r="T356" s="17">
        <v>210</v>
      </c>
      <c r="U356" s="18">
        <v>0</v>
      </c>
      <c r="X356" s="17" t="s">
        <v>67</v>
      </c>
      <c r="Y356" s="17" t="s">
        <v>612</v>
      </c>
      <c r="Z356" s="17" t="s">
        <v>613</v>
      </c>
      <c r="AA356" s="28">
        <v>785562.25892099994</v>
      </c>
      <c r="AB356" s="28">
        <v>2420593.3723900001</v>
      </c>
    </row>
    <row r="357" spans="1:28">
      <c r="A357" s="17">
        <v>356</v>
      </c>
      <c r="B357" s="17">
        <v>624191</v>
      </c>
      <c r="C357" s="17" t="s">
        <v>1044</v>
      </c>
      <c r="D357" s="17" t="s">
        <v>52</v>
      </c>
      <c r="E357" s="17" t="s">
        <v>1947</v>
      </c>
      <c r="F357" s="17" t="s">
        <v>1064</v>
      </c>
      <c r="G357" s="17" t="s">
        <v>1226</v>
      </c>
      <c r="H357" s="17" t="s">
        <v>104</v>
      </c>
      <c r="I357" s="17">
        <v>20174</v>
      </c>
      <c r="J357" s="17" t="s">
        <v>54</v>
      </c>
      <c r="K357" s="17" t="s">
        <v>55</v>
      </c>
      <c r="L357" s="17" t="s">
        <v>20</v>
      </c>
      <c r="M357" s="17" t="s">
        <v>617</v>
      </c>
      <c r="N357" s="17" t="s">
        <v>56</v>
      </c>
      <c r="O357" s="17" t="s">
        <v>618</v>
      </c>
      <c r="P357" s="17" t="s">
        <v>56</v>
      </c>
      <c r="Q357" s="17" t="s">
        <v>621</v>
      </c>
      <c r="R357" s="17" t="s">
        <v>20</v>
      </c>
      <c r="S357" s="17" t="s">
        <v>619</v>
      </c>
      <c r="T357" s="17">
        <v>99</v>
      </c>
      <c r="U357" s="18">
        <v>0</v>
      </c>
      <c r="X357" s="17" t="s">
        <v>60</v>
      </c>
      <c r="Y357" s="17" t="s">
        <v>612</v>
      </c>
      <c r="Z357" s="17" t="s">
        <v>613</v>
      </c>
      <c r="AA357" s="28">
        <v>784449.27395099995</v>
      </c>
      <c r="AB357" s="28">
        <v>2424286.0617999998</v>
      </c>
    </row>
    <row r="358" spans="1:28">
      <c r="A358" s="17">
        <v>357</v>
      </c>
      <c r="B358" s="17">
        <v>624191</v>
      </c>
      <c r="C358" s="17" t="s">
        <v>1044</v>
      </c>
      <c r="D358" s="17" t="s">
        <v>52</v>
      </c>
      <c r="E358" s="17" t="s">
        <v>1948</v>
      </c>
      <c r="F358" s="17" t="s">
        <v>1064</v>
      </c>
      <c r="G358" s="17" t="s">
        <v>1170</v>
      </c>
      <c r="H358" s="17" t="s">
        <v>104</v>
      </c>
      <c r="I358" s="17">
        <v>20174</v>
      </c>
      <c r="J358" s="17" t="s">
        <v>54</v>
      </c>
      <c r="K358" s="17" t="s">
        <v>55</v>
      </c>
      <c r="L358" s="17" t="s">
        <v>56</v>
      </c>
      <c r="M358" s="17" t="s">
        <v>621</v>
      </c>
      <c r="N358" s="17" t="s">
        <v>20</v>
      </c>
      <c r="O358" s="17" t="s">
        <v>139</v>
      </c>
      <c r="P358" s="17" t="s">
        <v>20</v>
      </c>
      <c r="Q358" s="17" t="s">
        <v>502</v>
      </c>
      <c r="R358" s="17" t="s">
        <v>56</v>
      </c>
      <c r="S358" s="17" t="s">
        <v>622</v>
      </c>
      <c r="T358" s="17">
        <v>0</v>
      </c>
      <c r="U358" s="18">
        <v>0</v>
      </c>
      <c r="X358" s="17" t="s">
        <v>60</v>
      </c>
      <c r="Y358" s="17" t="s">
        <v>612</v>
      </c>
      <c r="Z358" s="17" t="s">
        <v>613</v>
      </c>
      <c r="AA358" s="28">
        <v>784408.62799199997</v>
      </c>
      <c r="AB358" s="28">
        <v>2424379.7921799999</v>
      </c>
    </row>
    <row r="359" spans="1:28">
      <c r="A359" s="17">
        <v>358</v>
      </c>
      <c r="B359" s="17">
        <v>813110</v>
      </c>
      <c r="C359" s="17" t="s">
        <v>1044</v>
      </c>
      <c r="D359" s="17" t="s">
        <v>52</v>
      </c>
      <c r="E359" s="17" t="s">
        <v>1302</v>
      </c>
      <c r="F359" s="17" t="s">
        <v>1069</v>
      </c>
      <c r="G359" s="17" t="s">
        <v>1949</v>
      </c>
      <c r="H359" s="17" t="s">
        <v>104</v>
      </c>
      <c r="I359" s="17">
        <v>20196</v>
      </c>
      <c r="J359" s="17" t="s">
        <v>54</v>
      </c>
      <c r="K359" s="17" t="s">
        <v>55</v>
      </c>
      <c r="L359" s="17" t="s">
        <v>20</v>
      </c>
      <c r="M359" s="17" t="s">
        <v>633</v>
      </c>
      <c r="N359" s="17" t="s">
        <v>20</v>
      </c>
      <c r="O359" s="17" t="s">
        <v>614</v>
      </c>
      <c r="P359" s="17" t="s">
        <v>161</v>
      </c>
      <c r="Q359" s="17" t="s">
        <v>640</v>
      </c>
      <c r="R359" s="17" t="s">
        <v>20</v>
      </c>
      <c r="S359" s="17" t="s">
        <v>634</v>
      </c>
      <c r="T359" s="17">
        <v>0</v>
      </c>
      <c r="U359" s="18">
        <v>0</v>
      </c>
      <c r="X359" s="17" t="s">
        <v>60</v>
      </c>
      <c r="Y359" s="17" t="s">
        <v>612</v>
      </c>
      <c r="Z359" s="17" t="s">
        <v>613</v>
      </c>
      <c r="AA359" s="28">
        <v>786073.251774</v>
      </c>
      <c r="AB359" s="28">
        <v>2420349.1884300001</v>
      </c>
    </row>
    <row r="360" spans="1:28">
      <c r="A360" s="17">
        <v>359</v>
      </c>
      <c r="B360" s="17">
        <v>813110</v>
      </c>
      <c r="C360" s="17" t="s">
        <v>1044</v>
      </c>
      <c r="D360" s="17" t="s">
        <v>52</v>
      </c>
      <c r="E360" s="17" t="s">
        <v>1950</v>
      </c>
      <c r="F360" s="17" t="s">
        <v>1069</v>
      </c>
      <c r="G360" s="17" t="s">
        <v>1951</v>
      </c>
      <c r="H360" s="17" t="s">
        <v>104</v>
      </c>
      <c r="I360" s="17">
        <v>20196</v>
      </c>
      <c r="J360" s="17" t="s">
        <v>54</v>
      </c>
      <c r="K360" s="17" t="s">
        <v>55</v>
      </c>
      <c r="L360" s="17" t="s">
        <v>156</v>
      </c>
      <c r="M360" s="17" t="s">
        <v>630</v>
      </c>
      <c r="N360" s="17" t="s">
        <v>156</v>
      </c>
      <c r="O360" s="17" t="s">
        <v>630</v>
      </c>
      <c r="P360" s="17" t="s">
        <v>156</v>
      </c>
      <c r="Q360" s="17" t="s">
        <v>630</v>
      </c>
      <c r="R360" s="17" t="s">
        <v>156</v>
      </c>
      <c r="S360" s="17" t="s">
        <v>630</v>
      </c>
      <c r="T360" s="17">
        <v>61</v>
      </c>
      <c r="U360" s="18">
        <v>0</v>
      </c>
      <c r="V360" s="17" t="s">
        <v>1952</v>
      </c>
      <c r="X360" s="17" t="s">
        <v>60</v>
      </c>
      <c r="Y360" s="17" t="s">
        <v>612</v>
      </c>
      <c r="Z360" s="17" t="s">
        <v>613</v>
      </c>
      <c r="AA360" s="28">
        <v>785665.20375400002</v>
      </c>
      <c r="AB360" s="28">
        <v>2421530.7711200002</v>
      </c>
    </row>
    <row r="361" spans="1:28">
      <c r="A361" s="17">
        <v>360</v>
      </c>
      <c r="B361" s="17">
        <v>813230</v>
      </c>
      <c r="C361" s="17" t="s">
        <v>1044</v>
      </c>
      <c r="D361" s="17" t="s">
        <v>52</v>
      </c>
      <c r="E361" s="17" t="s">
        <v>1953</v>
      </c>
      <c r="F361" s="17" t="s">
        <v>1061</v>
      </c>
      <c r="G361" s="17" t="s">
        <v>1954</v>
      </c>
      <c r="H361" s="17" t="s">
        <v>69</v>
      </c>
      <c r="I361" s="17">
        <v>20174</v>
      </c>
      <c r="J361" s="17" t="s">
        <v>54</v>
      </c>
      <c r="K361" s="17" t="s">
        <v>55</v>
      </c>
      <c r="L361" s="17" t="s">
        <v>56</v>
      </c>
      <c r="M361" s="17" t="s">
        <v>621</v>
      </c>
      <c r="N361" s="17" t="s">
        <v>20</v>
      </c>
      <c r="O361" s="17" t="s">
        <v>139</v>
      </c>
      <c r="P361" s="17" t="s">
        <v>20</v>
      </c>
      <c r="Q361" s="17" t="s">
        <v>502</v>
      </c>
      <c r="R361" s="17" t="s">
        <v>56</v>
      </c>
      <c r="S361" s="17" t="s">
        <v>622</v>
      </c>
      <c r="T361" s="17">
        <v>0</v>
      </c>
      <c r="U361" s="18">
        <v>0</v>
      </c>
      <c r="X361" s="17" t="s">
        <v>90</v>
      </c>
      <c r="Y361" s="17" t="s">
        <v>612</v>
      </c>
      <c r="Z361" s="17" t="s">
        <v>613</v>
      </c>
      <c r="AA361" s="28">
        <v>784407.84505500004</v>
      </c>
      <c r="AB361" s="28">
        <v>2424383.0847999998</v>
      </c>
    </row>
    <row r="362" spans="1:28">
      <c r="A362" s="17">
        <v>361</v>
      </c>
      <c r="B362" s="17">
        <v>813230</v>
      </c>
      <c r="C362" s="17" t="s">
        <v>1044</v>
      </c>
      <c r="D362" s="17" t="s">
        <v>52</v>
      </c>
      <c r="E362" s="17" t="s">
        <v>1953</v>
      </c>
      <c r="F362" s="17" t="s">
        <v>1061</v>
      </c>
      <c r="G362" s="17" t="s">
        <v>1955</v>
      </c>
      <c r="H362" s="17" t="s">
        <v>104</v>
      </c>
      <c r="I362" s="17">
        <v>20174</v>
      </c>
      <c r="J362" s="17" t="s">
        <v>54</v>
      </c>
      <c r="K362" s="17" t="s">
        <v>63</v>
      </c>
      <c r="L362" s="17" t="s">
        <v>20</v>
      </c>
      <c r="M362" s="17" t="s">
        <v>617</v>
      </c>
      <c r="N362" s="17" t="s">
        <v>56</v>
      </c>
      <c r="O362" s="17" t="s">
        <v>618</v>
      </c>
      <c r="P362" s="17" t="s">
        <v>56</v>
      </c>
      <c r="Q362" s="17" t="s">
        <v>621</v>
      </c>
      <c r="R362" s="17" t="s">
        <v>20</v>
      </c>
      <c r="S362" s="17" t="s">
        <v>619</v>
      </c>
      <c r="T362" s="17">
        <v>99</v>
      </c>
      <c r="U362" s="18">
        <v>0</v>
      </c>
      <c r="X362" s="17" t="s">
        <v>90</v>
      </c>
      <c r="Y362" s="17" t="s">
        <v>612</v>
      </c>
      <c r="Z362" s="17" t="s">
        <v>613</v>
      </c>
      <c r="AA362" s="28">
        <v>784448.45440299995</v>
      </c>
      <c r="AB362" s="28">
        <v>2424285.6869600001</v>
      </c>
    </row>
    <row r="363" spans="1:28">
      <c r="A363" s="17">
        <v>362</v>
      </c>
      <c r="B363" s="17">
        <v>813230</v>
      </c>
      <c r="C363" s="17" t="s">
        <v>1044</v>
      </c>
      <c r="D363" s="17" t="s">
        <v>52</v>
      </c>
      <c r="E363" s="17" t="s">
        <v>1714</v>
      </c>
      <c r="F363" s="17" t="s">
        <v>1061</v>
      </c>
      <c r="G363" s="17" t="s">
        <v>1715</v>
      </c>
      <c r="H363" s="17" t="s">
        <v>104</v>
      </c>
      <c r="I363" s="17">
        <v>20196</v>
      </c>
      <c r="J363" s="17" t="s">
        <v>54</v>
      </c>
      <c r="K363" s="17" t="s">
        <v>55</v>
      </c>
      <c r="L363" s="17" t="s">
        <v>20</v>
      </c>
      <c r="M363" s="17" t="s">
        <v>639</v>
      </c>
      <c r="N363" s="17" t="s">
        <v>20</v>
      </c>
      <c r="O363" s="17" t="s">
        <v>1956</v>
      </c>
      <c r="P363" s="17" t="s">
        <v>56</v>
      </c>
      <c r="Q363" s="17" t="s">
        <v>620</v>
      </c>
      <c r="R363" s="17" t="s">
        <v>20</v>
      </c>
      <c r="S363" s="17" t="s">
        <v>1957</v>
      </c>
      <c r="T363" s="17">
        <v>401</v>
      </c>
      <c r="U363" s="18">
        <v>0</v>
      </c>
      <c r="X363" s="17" t="s">
        <v>138</v>
      </c>
      <c r="Y363" s="17" t="s">
        <v>612</v>
      </c>
      <c r="Z363" s="17" t="s">
        <v>613</v>
      </c>
      <c r="AA363" s="28">
        <v>785907.16517699999</v>
      </c>
      <c r="AB363" s="28">
        <v>2420991.7822400001</v>
      </c>
    </row>
    <row r="364" spans="1:28">
      <c r="A364" s="17">
        <v>363</v>
      </c>
      <c r="B364" s="17">
        <v>813230</v>
      </c>
      <c r="C364" s="17" t="s">
        <v>1044</v>
      </c>
      <c r="D364" s="17" t="s">
        <v>52</v>
      </c>
      <c r="E364" s="17" t="s">
        <v>1958</v>
      </c>
      <c r="F364" s="17" t="s">
        <v>1061</v>
      </c>
      <c r="G364" s="17" t="s">
        <v>1959</v>
      </c>
      <c r="H364" s="17" t="s">
        <v>104</v>
      </c>
      <c r="I364" s="17">
        <v>20196</v>
      </c>
      <c r="J364" s="17" t="s">
        <v>54</v>
      </c>
      <c r="K364" s="17" t="s">
        <v>125</v>
      </c>
      <c r="L364" s="17" t="s">
        <v>20</v>
      </c>
      <c r="M364" s="17" t="s">
        <v>1960</v>
      </c>
      <c r="N364" s="17" t="s">
        <v>56</v>
      </c>
      <c r="O364" s="17" t="s">
        <v>874</v>
      </c>
      <c r="P364" s="17" t="s">
        <v>20</v>
      </c>
      <c r="Q364" s="17" t="s">
        <v>1961</v>
      </c>
      <c r="R364" s="17" t="s">
        <v>89</v>
      </c>
      <c r="S364" s="17" t="s">
        <v>1962</v>
      </c>
      <c r="T364" s="17">
        <v>106</v>
      </c>
      <c r="U364" s="18">
        <v>5591006688</v>
      </c>
      <c r="V364" s="17" t="s">
        <v>1963</v>
      </c>
      <c r="W364" s="17" t="s">
        <v>1964</v>
      </c>
      <c r="X364" s="17" t="s">
        <v>64</v>
      </c>
      <c r="Y364" s="17" t="s">
        <v>612</v>
      </c>
      <c r="Z364" s="17" t="s">
        <v>613</v>
      </c>
      <c r="AA364" s="28">
        <v>785078.79584300006</v>
      </c>
      <c r="AB364" s="28">
        <v>2423452.1039999998</v>
      </c>
    </row>
    <row r="365" spans="1:28">
      <c r="A365" s="17">
        <v>364</v>
      </c>
      <c r="B365" s="17">
        <v>624211</v>
      </c>
      <c r="C365" s="17" t="s">
        <v>1044</v>
      </c>
      <c r="D365" s="17" t="s">
        <v>52</v>
      </c>
      <c r="E365" s="17" t="s">
        <v>1095</v>
      </c>
      <c r="F365" s="17" t="s">
        <v>1080</v>
      </c>
      <c r="G365" s="17" t="s">
        <v>1965</v>
      </c>
      <c r="H365" s="17" t="s">
        <v>104</v>
      </c>
      <c r="I365" s="17">
        <v>20174</v>
      </c>
      <c r="J365" s="17" t="s">
        <v>54</v>
      </c>
      <c r="K365" s="17" t="s">
        <v>63</v>
      </c>
      <c r="L365" s="17" t="s">
        <v>56</v>
      </c>
      <c r="M365" s="17" t="s">
        <v>629</v>
      </c>
      <c r="N365" s="17" t="s">
        <v>56</v>
      </c>
      <c r="O365" s="17" t="s">
        <v>618</v>
      </c>
      <c r="P365" s="17" t="s">
        <v>20</v>
      </c>
      <c r="Q365" s="17" t="s">
        <v>655</v>
      </c>
      <c r="R365" s="17" t="s">
        <v>156</v>
      </c>
      <c r="S365" s="17" t="s">
        <v>655</v>
      </c>
      <c r="T365" s="17">
        <v>0</v>
      </c>
      <c r="U365" s="18">
        <v>0</v>
      </c>
      <c r="X365" s="17" t="s">
        <v>60</v>
      </c>
      <c r="Y365" s="17" t="s">
        <v>651</v>
      </c>
      <c r="Z365" s="17" t="s">
        <v>613</v>
      </c>
      <c r="AA365" s="28">
        <v>784471.77349399996</v>
      </c>
      <c r="AB365" s="28">
        <v>2424791.5586799998</v>
      </c>
    </row>
    <row r="366" spans="1:28">
      <c r="A366" s="17">
        <v>365</v>
      </c>
      <c r="B366" s="17">
        <v>624411</v>
      </c>
      <c r="C366" s="17" t="s">
        <v>1044</v>
      </c>
      <c r="D366" s="17" t="s">
        <v>52</v>
      </c>
      <c r="E366" s="17" t="s">
        <v>1966</v>
      </c>
      <c r="F366" s="17" t="s">
        <v>1046</v>
      </c>
      <c r="H366" s="17" t="s">
        <v>69</v>
      </c>
      <c r="I366" s="17">
        <v>20299</v>
      </c>
      <c r="J366" s="17" t="s">
        <v>54</v>
      </c>
      <c r="K366" s="17" t="s">
        <v>55</v>
      </c>
      <c r="L366" s="17" t="s">
        <v>20</v>
      </c>
      <c r="M366" s="17" t="s">
        <v>1967</v>
      </c>
      <c r="N366" s="17" t="s">
        <v>20</v>
      </c>
      <c r="O366" s="17" t="s">
        <v>653</v>
      </c>
      <c r="P366" s="17" t="s">
        <v>56</v>
      </c>
      <c r="Q366" s="17" t="s">
        <v>652</v>
      </c>
      <c r="R366" s="17" t="s">
        <v>20</v>
      </c>
      <c r="S366" s="17" t="s">
        <v>1968</v>
      </c>
      <c r="T366" s="17">
        <v>115</v>
      </c>
      <c r="U366" s="18">
        <v>4492045066</v>
      </c>
      <c r="X366" s="17" t="s">
        <v>64</v>
      </c>
      <c r="Y366" s="17" t="s">
        <v>651</v>
      </c>
      <c r="Z366" s="17" t="s">
        <v>613</v>
      </c>
      <c r="AA366" s="28">
        <v>784852.04150699999</v>
      </c>
      <c r="AB366" s="28">
        <v>2425060.6849000002</v>
      </c>
    </row>
    <row r="367" spans="1:28">
      <c r="A367" s="17">
        <v>366</v>
      </c>
      <c r="B367" s="17">
        <v>624411</v>
      </c>
      <c r="C367" s="17" t="s">
        <v>1044</v>
      </c>
      <c r="D367" s="17" t="s">
        <v>52</v>
      </c>
      <c r="E367" s="17" t="s">
        <v>1969</v>
      </c>
      <c r="F367" s="17" t="s">
        <v>1046</v>
      </c>
      <c r="H367" s="17" t="s">
        <v>69</v>
      </c>
      <c r="I367" s="17">
        <v>20299</v>
      </c>
      <c r="J367" s="17" t="s">
        <v>54</v>
      </c>
      <c r="K367" s="17" t="s">
        <v>55</v>
      </c>
      <c r="L367" s="17" t="s">
        <v>58</v>
      </c>
      <c r="M367" s="17" t="s">
        <v>1970</v>
      </c>
      <c r="N367" s="17" t="s">
        <v>56</v>
      </c>
      <c r="O367" s="17" t="s">
        <v>650</v>
      </c>
      <c r="P367" s="17" t="s">
        <v>58</v>
      </c>
      <c r="Q367" s="17" t="s">
        <v>1971</v>
      </c>
      <c r="R367" s="17" t="s">
        <v>58</v>
      </c>
      <c r="S367" s="17" t="s">
        <v>1971</v>
      </c>
      <c r="T367" s="17">
        <v>0</v>
      </c>
      <c r="U367" s="18">
        <v>4491686029</v>
      </c>
      <c r="X367" s="17" t="s">
        <v>67</v>
      </c>
      <c r="Y367" s="17" t="s">
        <v>651</v>
      </c>
      <c r="Z367" s="17" t="s">
        <v>613</v>
      </c>
      <c r="AA367" s="28">
        <v>784559.65187900001</v>
      </c>
      <c r="AB367" s="28">
        <v>2425495.5727499998</v>
      </c>
    </row>
    <row r="368" spans="1:28">
      <c r="A368" s="17">
        <v>367</v>
      </c>
      <c r="B368" s="17">
        <v>624411</v>
      </c>
      <c r="C368" s="17" t="s">
        <v>1044</v>
      </c>
      <c r="D368" s="17" t="s">
        <v>52</v>
      </c>
      <c r="E368" s="17" t="s">
        <v>1972</v>
      </c>
      <c r="F368" s="17" t="s">
        <v>1046</v>
      </c>
      <c r="H368" s="17" t="s">
        <v>104</v>
      </c>
      <c r="I368" s="17">
        <v>20299</v>
      </c>
      <c r="J368" s="17" t="s">
        <v>54</v>
      </c>
      <c r="K368" s="17" t="s">
        <v>55</v>
      </c>
      <c r="L368" s="17" t="s">
        <v>56</v>
      </c>
      <c r="M368" s="17" t="s">
        <v>629</v>
      </c>
      <c r="N368" s="17" t="s">
        <v>95</v>
      </c>
      <c r="O368" s="17" t="s">
        <v>657</v>
      </c>
      <c r="P368" s="17" t="s">
        <v>20</v>
      </c>
      <c r="Q368" s="17" t="s">
        <v>628</v>
      </c>
      <c r="R368" s="17" t="s">
        <v>20</v>
      </c>
      <c r="S368" s="17" t="s">
        <v>658</v>
      </c>
      <c r="T368" s="17">
        <v>1429</v>
      </c>
      <c r="U368" s="18">
        <v>0</v>
      </c>
      <c r="X368" s="17" t="s">
        <v>60</v>
      </c>
      <c r="Y368" s="17" t="s">
        <v>651</v>
      </c>
      <c r="Z368" s="17" t="s">
        <v>613</v>
      </c>
      <c r="AA368" s="28">
        <v>784924.68358900002</v>
      </c>
      <c r="AB368" s="28">
        <v>2424939.2940099998</v>
      </c>
    </row>
    <row r="369" spans="1:28">
      <c r="A369" s="17">
        <v>368</v>
      </c>
      <c r="B369" s="17">
        <v>624191</v>
      </c>
      <c r="C369" s="17" t="s">
        <v>1044</v>
      </c>
      <c r="D369" s="17" t="s">
        <v>52</v>
      </c>
      <c r="E369" s="17" t="s">
        <v>1126</v>
      </c>
      <c r="F369" s="17" t="s">
        <v>1064</v>
      </c>
      <c r="G369" s="17" t="s">
        <v>1126</v>
      </c>
      <c r="H369" s="17" t="s">
        <v>69</v>
      </c>
      <c r="I369" s="17">
        <v>20390</v>
      </c>
      <c r="J369" s="17" t="s">
        <v>54</v>
      </c>
      <c r="K369" s="17" t="s">
        <v>55</v>
      </c>
      <c r="L369" s="17" t="s">
        <v>20</v>
      </c>
      <c r="M369" s="17" t="s">
        <v>661</v>
      </c>
      <c r="N369" s="17" t="s">
        <v>20</v>
      </c>
      <c r="O369" s="17" t="s">
        <v>650</v>
      </c>
      <c r="P369" s="17" t="s">
        <v>20</v>
      </c>
      <c r="Q369" s="17" t="s">
        <v>346</v>
      </c>
      <c r="R369" s="17" t="s">
        <v>20</v>
      </c>
      <c r="S369" s="17" t="s">
        <v>650</v>
      </c>
      <c r="T369" s="17">
        <v>0</v>
      </c>
      <c r="U369" s="18">
        <v>0</v>
      </c>
      <c r="X369" s="17" t="s">
        <v>60</v>
      </c>
      <c r="Y369" s="17" t="s">
        <v>651</v>
      </c>
      <c r="Z369" s="17" t="s">
        <v>613</v>
      </c>
      <c r="AA369" s="28">
        <v>784436.02682699997</v>
      </c>
      <c r="AB369" s="28">
        <v>2425275.3109400002</v>
      </c>
    </row>
    <row r="370" spans="1:28">
      <c r="A370" s="17">
        <v>369</v>
      </c>
      <c r="B370" s="17">
        <v>813120</v>
      </c>
      <c r="C370" s="17" t="s">
        <v>1044</v>
      </c>
      <c r="D370" s="17" t="s">
        <v>52</v>
      </c>
      <c r="E370" s="17" t="s">
        <v>1973</v>
      </c>
      <c r="F370" s="17" t="s">
        <v>1173</v>
      </c>
      <c r="G370" s="17" t="s">
        <v>1974</v>
      </c>
      <c r="H370" s="17" t="s">
        <v>69</v>
      </c>
      <c r="I370" s="17">
        <v>20299</v>
      </c>
      <c r="J370" s="17" t="s">
        <v>54</v>
      </c>
      <c r="K370" s="17" t="s">
        <v>78</v>
      </c>
      <c r="L370" s="17" t="s">
        <v>20</v>
      </c>
      <c r="M370" s="17" t="s">
        <v>1975</v>
      </c>
      <c r="N370" s="17" t="s">
        <v>56</v>
      </c>
      <c r="O370" s="17" t="s">
        <v>650</v>
      </c>
      <c r="P370" s="17" t="s">
        <v>20</v>
      </c>
      <c r="Q370" s="17" t="s">
        <v>650</v>
      </c>
      <c r="R370" s="17" t="s">
        <v>20</v>
      </c>
      <c r="S370" s="17" t="s">
        <v>1976</v>
      </c>
      <c r="T370" s="17">
        <v>432</v>
      </c>
      <c r="U370" s="18">
        <v>4491163745</v>
      </c>
      <c r="X370" s="17" t="s">
        <v>60</v>
      </c>
      <c r="Y370" s="17" t="s">
        <v>651</v>
      </c>
      <c r="Z370" s="17" t="s">
        <v>613</v>
      </c>
      <c r="AA370" s="28">
        <v>784420.014065</v>
      </c>
      <c r="AB370" s="28">
        <v>2425458.4761399999</v>
      </c>
    </row>
    <row r="371" spans="1:28">
      <c r="A371" s="17">
        <v>370</v>
      </c>
      <c r="B371" s="17">
        <v>813230</v>
      </c>
      <c r="C371" s="17" t="s">
        <v>1044</v>
      </c>
      <c r="D371" s="17" t="s">
        <v>52</v>
      </c>
      <c r="E371" s="17" t="s">
        <v>1977</v>
      </c>
      <c r="F371" s="17" t="s">
        <v>1061</v>
      </c>
      <c r="G371" s="17" t="s">
        <v>1978</v>
      </c>
      <c r="H371" s="17" t="s">
        <v>69</v>
      </c>
      <c r="I371" s="17">
        <v>20174</v>
      </c>
      <c r="J371" s="17" t="s">
        <v>54</v>
      </c>
      <c r="K371" s="17" t="s">
        <v>63</v>
      </c>
      <c r="L371" s="17" t="s">
        <v>20</v>
      </c>
      <c r="M371" s="17" t="s">
        <v>660</v>
      </c>
      <c r="N371" s="17" t="s">
        <v>20</v>
      </c>
      <c r="O371" s="17" t="s">
        <v>659</v>
      </c>
      <c r="P371" s="17" t="s">
        <v>20</v>
      </c>
      <c r="Q371" s="17" t="s">
        <v>654</v>
      </c>
      <c r="R371" s="17" t="s">
        <v>20</v>
      </c>
      <c r="S371" s="17" t="s">
        <v>654</v>
      </c>
      <c r="T371" s="17">
        <v>0</v>
      </c>
      <c r="U371" s="18">
        <v>4491679094</v>
      </c>
      <c r="X371" s="17" t="s">
        <v>60</v>
      </c>
      <c r="Y371" s="17" t="s">
        <v>651</v>
      </c>
      <c r="Z371" s="17" t="s">
        <v>613</v>
      </c>
      <c r="AA371" s="28">
        <v>784458.12587300001</v>
      </c>
      <c r="AB371" s="28">
        <v>2425711.37788</v>
      </c>
    </row>
    <row r="372" spans="1:28">
      <c r="A372" s="17">
        <v>371</v>
      </c>
      <c r="B372" s="17">
        <v>624191</v>
      </c>
      <c r="C372" s="17" t="s">
        <v>1044</v>
      </c>
      <c r="D372" s="17" t="s">
        <v>52</v>
      </c>
      <c r="E372" s="17" t="s">
        <v>1979</v>
      </c>
      <c r="F372" s="17" t="s">
        <v>1064</v>
      </c>
      <c r="H372" s="17" t="s">
        <v>104</v>
      </c>
      <c r="I372" s="17">
        <v>20199</v>
      </c>
      <c r="J372" s="17" t="s">
        <v>54</v>
      </c>
      <c r="K372" s="17" t="s">
        <v>63</v>
      </c>
      <c r="L372" s="17" t="s">
        <v>20</v>
      </c>
      <c r="M372" s="17" t="s">
        <v>879</v>
      </c>
      <c r="N372" s="17" t="s">
        <v>56</v>
      </c>
      <c r="O372" s="17" t="s">
        <v>637</v>
      </c>
      <c r="P372" s="17" t="s">
        <v>56</v>
      </c>
      <c r="Q372" s="17" t="s">
        <v>192</v>
      </c>
      <c r="R372" s="17" t="s">
        <v>56</v>
      </c>
      <c r="S372" s="17" t="s">
        <v>637</v>
      </c>
      <c r="T372" s="17">
        <v>118</v>
      </c>
      <c r="U372" s="18">
        <v>4491784499</v>
      </c>
      <c r="X372" s="17" t="s">
        <v>60</v>
      </c>
      <c r="Y372" s="17" t="s">
        <v>612</v>
      </c>
      <c r="Z372" s="17" t="s">
        <v>662</v>
      </c>
      <c r="AA372" s="28">
        <v>783964.633501</v>
      </c>
      <c r="AB372" s="28">
        <v>2423323.7828899999</v>
      </c>
    </row>
    <row r="373" spans="1:28">
      <c r="A373" s="17">
        <v>372</v>
      </c>
      <c r="B373" s="17">
        <v>813230</v>
      </c>
      <c r="C373" s="17" t="s">
        <v>1044</v>
      </c>
      <c r="D373" s="17" t="s">
        <v>52</v>
      </c>
      <c r="E373" s="17" t="s">
        <v>1980</v>
      </c>
      <c r="F373" s="17" t="s">
        <v>1061</v>
      </c>
      <c r="G373" s="17" t="s">
        <v>1981</v>
      </c>
      <c r="H373" s="17" t="s">
        <v>104</v>
      </c>
      <c r="I373" s="17">
        <v>20199</v>
      </c>
      <c r="J373" s="17" t="s">
        <v>54</v>
      </c>
      <c r="K373" s="17" t="s">
        <v>55</v>
      </c>
      <c r="L373" s="17" t="s">
        <v>20</v>
      </c>
      <c r="M373" s="17" t="s">
        <v>664</v>
      </c>
      <c r="N373" s="17" t="s">
        <v>56</v>
      </c>
      <c r="O373" s="17" t="s">
        <v>637</v>
      </c>
      <c r="P373" s="17" t="s">
        <v>20</v>
      </c>
      <c r="Q373" s="17" t="s">
        <v>59</v>
      </c>
      <c r="R373" s="17" t="s">
        <v>20</v>
      </c>
      <c r="S373" s="17" t="s">
        <v>663</v>
      </c>
      <c r="T373" s="17">
        <v>112</v>
      </c>
      <c r="U373" s="18">
        <v>4491787001</v>
      </c>
      <c r="X373" s="17" t="s">
        <v>60</v>
      </c>
      <c r="Y373" s="17" t="s">
        <v>612</v>
      </c>
      <c r="Z373" s="17" t="s">
        <v>662</v>
      </c>
      <c r="AA373" s="28">
        <v>784075.61748300004</v>
      </c>
      <c r="AB373" s="28">
        <v>2423520.1694499999</v>
      </c>
    </row>
    <row r="374" spans="1:28">
      <c r="A374" s="17">
        <v>373</v>
      </c>
      <c r="B374" s="17">
        <v>624191</v>
      </c>
      <c r="C374" s="17" t="s">
        <v>1044</v>
      </c>
      <c r="D374" s="17" t="s">
        <v>52</v>
      </c>
      <c r="E374" s="17" t="s">
        <v>1982</v>
      </c>
      <c r="F374" s="17" t="s">
        <v>1064</v>
      </c>
      <c r="G374" s="17" t="s">
        <v>1089</v>
      </c>
      <c r="H374" s="17" t="s">
        <v>104</v>
      </c>
      <c r="I374" s="17">
        <v>20199</v>
      </c>
      <c r="J374" s="17" t="s">
        <v>54</v>
      </c>
      <c r="K374" s="17" t="s">
        <v>55</v>
      </c>
      <c r="L374" s="17" t="s">
        <v>20</v>
      </c>
      <c r="M374" s="17" t="s">
        <v>665</v>
      </c>
      <c r="N374" s="17" t="s">
        <v>20</v>
      </c>
      <c r="O374" s="17" t="s">
        <v>666</v>
      </c>
      <c r="P374" s="17" t="s">
        <v>56</v>
      </c>
      <c r="Q374" s="17" t="s">
        <v>192</v>
      </c>
      <c r="R374" s="17" t="s">
        <v>142</v>
      </c>
      <c r="S374" s="17" t="s">
        <v>486</v>
      </c>
      <c r="T374" s="17">
        <v>101</v>
      </c>
      <c r="U374" s="18">
        <v>0</v>
      </c>
      <c r="X374" s="17" t="s">
        <v>64</v>
      </c>
      <c r="Y374" s="17" t="s">
        <v>646</v>
      </c>
      <c r="Z374" s="17" t="s">
        <v>662</v>
      </c>
      <c r="AA374" s="28">
        <v>783799.24958099995</v>
      </c>
      <c r="AB374" s="28">
        <v>2423307.28143</v>
      </c>
    </row>
    <row r="375" spans="1:28">
      <c r="A375" s="17">
        <v>374</v>
      </c>
      <c r="B375" s="17">
        <v>624411</v>
      </c>
      <c r="C375" s="17" t="s">
        <v>1044</v>
      </c>
      <c r="D375" s="17" t="s">
        <v>52</v>
      </c>
      <c r="E375" s="17" t="s">
        <v>1983</v>
      </c>
      <c r="F375" s="17" t="s">
        <v>1046</v>
      </c>
      <c r="H375" s="17" t="s">
        <v>104</v>
      </c>
      <c r="I375" s="17">
        <v>20179</v>
      </c>
      <c r="J375" s="17" t="s">
        <v>54</v>
      </c>
      <c r="K375" s="17" t="s">
        <v>55</v>
      </c>
      <c r="L375" s="17" t="s">
        <v>20</v>
      </c>
      <c r="M375" s="17" t="s">
        <v>1984</v>
      </c>
      <c r="N375" s="17" t="s">
        <v>20</v>
      </c>
      <c r="O375" s="17" t="s">
        <v>1985</v>
      </c>
      <c r="P375" s="17" t="s">
        <v>20</v>
      </c>
      <c r="Q375" s="17" t="s">
        <v>1986</v>
      </c>
      <c r="R375" s="17" t="s">
        <v>20</v>
      </c>
      <c r="S375" s="17" t="s">
        <v>1987</v>
      </c>
      <c r="T375" s="17">
        <v>0</v>
      </c>
      <c r="U375" s="18">
        <v>4492160849</v>
      </c>
      <c r="V375" s="17" t="s">
        <v>1988</v>
      </c>
      <c r="X375" s="17" t="s">
        <v>67</v>
      </c>
      <c r="Y375" s="17" t="s">
        <v>667</v>
      </c>
      <c r="Z375" s="17" t="s">
        <v>662</v>
      </c>
      <c r="AA375" s="28">
        <v>782962.98467599996</v>
      </c>
      <c r="AB375" s="28">
        <v>2426117.2949600001</v>
      </c>
    </row>
    <row r="376" spans="1:28">
      <c r="A376" s="17">
        <v>375</v>
      </c>
      <c r="B376" s="17">
        <v>624412</v>
      </c>
      <c r="C376" s="17" t="s">
        <v>1044</v>
      </c>
      <c r="D376" s="17" t="s">
        <v>1008</v>
      </c>
      <c r="E376" s="17" t="s">
        <v>1989</v>
      </c>
      <c r="F376" s="17" t="s">
        <v>1123</v>
      </c>
      <c r="G376" s="17" t="s">
        <v>1990</v>
      </c>
      <c r="H376" s="17" t="s">
        <v>104</v>
      </c>
      <c r="I376" s="17">
        <v>20175</v>
      </c>
      <c r="J376" s="17" t="s">
        <v>54</v>
      </c>
      <c r="K376" s="17" t="s">
        <v>55</v>
      </c>
      <c r="L376" s="17" t="s">
        <v>20</v>
      </c>
      <c r="M376" s="17" t="s">
        <v>675</v>
      </c>
      <c r="N376" s="17" t="s">
        <v>20</v>
      </c>
      <c r="O376" s="17" t="s">
        <v>670</v>
      </c>
      <c r="P376" s="17" t="s">
        <v>20</v>
      </c>
      <c r="Q376" s="17" t="s">
        <v>669</v>
      </c>
      <c r="R376" s="17" t="s">
        <v>20</v>
      </c>
      <c r="S376" s="17" t="s">
        <v>1991</v>
      </c>
      <c r="T376" s="17">
        <v>517</v>
      </c>
      <c r="U376" s="18">
        <v>4492939633</v>
      </c>
      <c r="V376" s="17" t="s">
        <v>1992</v>
      </c>
      <c r="X376" s="17" t="s">
        <v>64</v>
      </c>
      <c r="Y376" s="17" t="s">
        <v>667</v>
      </c>
      <c r="Z376" s="17" t="s">
        <v>662</v>
      </c>
      <c r="AA376" s="28">
        <v>783088.18270600005</v>
      </c>
      <c r="AB376" s="28">
        <v>2425795.3811400002</v>
      </c>
    </row>
    <row r="377" spans="1:28">
      <c r="A377" s="17">
        <v>376</v>
      </c>
      <c r="B377" s="17">
        <v>624412</v>
      </c>
      <c r="C377" s="17" t="s">
        <v>1044</v>
      </c>
      <c r="D377" s="17" t="s">
        <v>1008</v>
      </c>
      <c r="E377" s="17" t="s">
        <v>1993</v>
      </c>
      <c r="F377" s="17" t="s">
        <v>1123</v>
      </c>
      <c r="G377" s="17" t="s">
        <v>1830</v>
      </c>
      <c r="H377" s="17" t="s">
        <v>104</v>
      </c>
      <c r="I377" s="17">
        <v>20179</v>
      </c>
      <c r="J377" s="17" t="s">
        <v>54</v>
      </c>
      <c r="K377" s="17" t="s">
        <v>55</v>
      </c>
      <c r="L377" s="17" t="s">
        <v>20</v>
      </c>
      <c r="M377" s="17" t="s">
        <v>674</v>
      </c>
      <c r="N377" s="17" t="s">
        <v>20</v>
      </c>
      <c r="O377" s="17" t="s">
        <v>668</v>
      </c>
      <c r="P377" s="17" t="s">
        <v>20</v>
      </c>
      <c r="Q377" s="17" t="s">
        <v>671</v>
      </c>
      <c r="R377" s="17" t="s">
        <v>56</v>
      </c>
      <c r="S377" s="17" t="s">
        <v>673</v>
      </c>
      <c r="T377" s="17">
        <v>401</v>
      </c>
      <c r="U377" s="18">
        <v>4499728073</v>
      </c>
      <c r="X377" s="17" t="s">
        <v>67</v>
      </c>
      <c r="Y377" s="17" t="s">
        <v>667</v>
      </c>
      <c r="Z377" s="17" t="s">
        <v>662</v>
      </c>
      <c r="AA377" s="28">
        <v>782689.30275100004</v>
      </c>
      <c r="AB377" s="28">
        <v>2425976.06843</v>
      </c>
    </row>
    <row r="378" spans="1:28">
      <c r="A378" s="17">
        <v>377</v>
      </c>
      <c r="B378" s="17">
        <v>624191</v>
      </c>
      <c r="C378" s="17" t="s">
        <v>1044</v>
      </c>
      <c r="D378" s="17" t="s">
        <v>52</v>
      </c>
      <c r="E378" s="17" t="s">
        <v>1994</v>
      </c>
      <c r="F378" s="17" t="s">
        <v>1064</v>
      </c>
      <c r="G378" s="17" t="s">
        <v>1089</v>
      </c>
      <c r="H378" s="17" t="s">
        <v>104</v>
      </c>
      <c r="I378" s="17">
        <v>20179</v>
      </c>
      <c r="J378" s="17" t="s">
        <v>54</v>
      </c>
      <c r="K378" s="17" t="s">
        <v>63</v>
      </c>
      <c r="L378" s="17" t="s">
        <v>20</v>
      </c>
      <c r="M378" s="17" t="s">
        <v>677</v>
      </c>
      <c r="N378" s="17" t="s">
        <v>56</v>
      </c>
      <c r="O378" s="17" t="s">
        <v>192</v>
      </c>
      <c r="P378" s="17" t="s">
        <v>20</v>
      </c>
      <c r="Q378" s="17" t="s">
        <v>678</v>
      </c>
      <c r="R378" s="17" t="s">
        <v>20</v>
      </c>
      <c r="S378" s="17" t="s">
        <v>679</v>
      </c>
      <c r="T378" s="17">
        <v>303</v>
      </c>
      <c r="U378" s="18">
        <v>4494998164</v>
      </c>
      <c r="V378" s="17" t="s">
        <v>1995</v>
      </c>
      <c r="X378" s="17" t="s">
        <v>60</v>
      </c>
      <c r="Y378" s="17" t="s">
        <v>667</v>
      </c>
      <c r="Z378" s="17" t="s">
        <v>662</v>
      </c>
      <c r="AA378" s="28">
        <v>782831.72112700006</v>
      </c>
      <c r="AB378" s="28">
        <v>2426577.65478</v>
      </c>
    </row>
    <row r="379" spans="1:28">
      <c r="A379" s="17">
        <v>378</v>
      </c>
      <c r="B379" s="17">
        <v>624411</v>
      </c>
      <c r="C379" s="17" t="s">
        <v>1044</v>
      </c>
      <c r="D379" s="17" t="s">
        <v>52</v>
      </c>
      <c r="E379" s="17" t="s">
        <v>1996</v>
      </c>
      <c r="F379" s="17" t="s">
        <v>1046</v>
      </c>
      <c r="H379" s="17" t="s">
        <v>104</v>
      </c>
      <c r="I379" s="17">
        <v>20199</v>
      </c>
      <c r="J379" s="17" t="s">
        <v>54</v>
      </c>
      <c r="K379" s="17" t="s">
        <v>55</v>
      </c>
      <c r="L379" s="17" t="s">
        <v>20</v>
      </c>
      <c r="M379" s="17" t="s">
        <v>682</v>
      </c>
      <c r="N379" s="17" t="s">
        <v>20</v>
      </c>
      <c r="O379" s="17" t="s">
        <v>684</v>
      </c>
      <c r="P379" s="17" t="s">
        <v>20</v>
      </c>
      <c r="Q379" s="17" t="s">
        <v>680</v>
      </c>
      <c r="R379" s="17" t="s">
        <v>20</v>
      </c>
      <c r="S379" s="17" t="s">
        <v>681</v>
      </c>
      <c r="T379" s="17">
        <v>201</v>
      </c>
      <c r="U379" s="18">
        <v>0</v>
      </c>
      <c r="X379" s="17" t="s">
        <v>60</v>
      </c>
      <c r="Y379" s="17" t="s">
        <v>607</v>
      </c>
      <c r="Z379" s="17" t="s">
        <v>662</v>
      </c>
      <c r="AA379" s="28">
        <v>782895.92084100004</v>
      </c>
      <c r="AB379" s="28">
        <v>2423486.4760599998</v>
      </c>
    </row>
    <row r="380" spans="1:28">
      <c r="A380" s="17">
        <v>379</v>
      </c>
      <c r="B380" s="17">
        <v>624199</v>
      </c>
      <c r="C380" s="17" t="s">
        <v>1044</v>
      </c>
      <c r="D380" s="17" t="s">
        <v>1008</v>
      </c>
      <c r="E380" s="17" t="s">
        <v>1997</v>
      </c>
      <c r="F380" s="17" t="s">
        <v>1156</v>
      </c>
      <c r="G380" s="17" t="s">
        <v>1998</v>
      </c>
      <c r="H380" s="17" t="s">
        <v>104</v>
      </c>
      <c r="I380" s="17">
        <v>20170</v>
      </c>
      <c r="J380" s="17" t="s">
        <v>54</v>
      </c>
      <c r="K380" s="17" t="s">
        <v>78</v>
      </c>
      <c r="L380" s="17" t="s">
        <v>20</v>
      </c>
      <c r="M380" s="17" t="s">
        <v>147</v>
      </c>
      <c r="N380" s="17" t="s">
        <v>20</v>
      </c>
      <c r="O380" s="17" t="s">
        <v>1999</v>
      </c>
      <c r="P380" s="17" t="s">
        <v>20</v>
      </c>
      <c r="Q380" s="17" t="s">
        <v>2000</v>
      </c>
      <c r="R380" s="17" t="s">
        <v>20</v>
      </c>
      <c r="S380" s="17" t="s">
        <v>2001</v>
      </c>
      <c r="T380" s="17">
        <v>128</v>
      </c>
      <c r="U380" s="18">
        <v>4499727323</v>
      </c>
      <c r="X380" s="17" t="s">
        <v>67</v>
      </c>
      <c r="Y380" s="17" t="s">
        <v>607</v>
      </c>
      <c r="Z380" s="17" t="s">
        <v>662</v>
      </c>
      <c r="AA380" s="28">
        <v>784003.53007600002</v>
      </c>
      <c r="AB380" s="28">
        <v>2424836.4335500002</v>
      </c>
    </row>
    <row r="381" spans="1:28">
      <c r="A381" s="17">
        <v>380</v>
      </c>
      <c r="B381" s="17">
        <v>624212</v>
      </c>
      <c r="C381" s="17" t="s">
        <v>1044</v>
      </c>
      <c r="D381" s="17" t="s">
        <v>1008</v>
      </c>
      <c r="E381" s="17" t="s">
        <v>2002</v>
      </c>
      <c r="F381" s="17" t="s">
        <v>1051</v>
      </c>
      <c r="G381" s="17" t="s">
        <v>2003</v>
      </c>
      <c r="H381" s="17" t="s">
        <v>104</v>
      </c>
      <c r="I381" s="17">
        <v>20199</v>
      </c>
      <c r="J381" s="17" t="s">
        <v>54</v>
      </c>
      <c r="K381" s="17" t="s">
        <v>55</v>
      </c>
      <c r="L381" s="17" t="s">
        <v>20</v>
      </c>
      <c r="M381" s="17" t="s">
        <v>2004</v>
      </c>
      <c r="N381" s="17" t="s">
        <v>20</v>
      </c>
      <c r="O381" s="17" t="s">
        <v>682</v>
      </c>
      <c r="P381" s="17" t="s">
        <v>142</v>
      </c>
      <c r="Q381" s="17" t="s">
        <v>700</v>
      </c>
      <c r="R381" s="17" t="s">
        <v>142</v>
      </c>
      <c r="S381" s="17" t="s">
        <v>700</v>
      </c>
      <c r="T381" s="17">
        <v>0</v>
      </c>
      <c r="U381" s="18">
        <v>0</v>
      </c>
      <c r="X381" s="17" t="s">
        <v>67</v>
      </c>
      <c r="Y381" s="17" t="s">
        <v>607</v>
      </c>
      <c r="Z381" s="17" t="s">
        <v>662</v>
      </c>
      <c r="AA381" s="28">
        <v>783048.07657699997</v>
      </c>
      <c r="AB381" s="28">
        <v>2423492.2461299999</v>
      </c>
    </row>
    <row r="382" spans="1:28">
      <c r="A382" s="17">
        <v>381</v>
      </c>
      <c r="B382" s="17">
        <v>624412</v>
      </c>
      <c r="C382" s="17" t="s">
        <v>1044</v>
      </c>
      <c r="D382" s="17" t="s">
        <v>1008</v>
      </c>
      <c r="E382" s="17" t="s">
        <v>2005</v>
      </c>
      <c r="F382" s="17" t="s">
        <v>1123</v>
      </c>
      <c r="H382" s="17" t="s">
        <v>86</v>
      </c>
      <c r="I382" s="17">
        <v>20170</v>
      </c>
      <c r="J382" s="17" t="s">
        <v>54</v>
      </c>
      <c r="K382" s="17" t="s">
        <v>63</v>
      </c>
      <c r="L382" s="17" t="s">
        <v>20</v>
      </c>
      <c r="M382" s="17" t="s">
        <v>498</v>
      </c>
      <c r="N382" s="17" t="s">
        <v>20</v>
      </c>
      <c r="O382" s="17" t="s">
        <v>690</v>
      </c>
      <c r="P382" s="17" t="s">
        <v>20</v>
      </c>
      <c r="Q382" s="17" t="s">
        <v>691</v>
      </c>
      <c r="R382" s="17" t="s">
        <v>20</v>
      </c>
      <c r="S382" s="17" t="s">
        <v>685</v>
      </c>
      <c r="T382" s="17">
        <v>415</v>
      </c>
      <c r="U382" s="18">
        <v>0</v>
      </c>
      <c r="X382" s="17" t="s">
        <v>64</v>
      </c>
      <c r="Y382" s="17" t="s">
        <v>607</v>
      </c>
      <c r="Z382" s="17" t="s">
        <v>662</v>
      </c>
      <c r="AA382" s="28">
        <v>783913.75202999997</v>
      </c>
      <c r="AB382" s="28">
        <v>2425212.0756299999</v>
      </c>
    </row>
    <row r="383" spans="1:28">
      <c r="A383" s="17">
        <v>382</v>
      </c>
      <c r="B383" s="17">
        <v>624412</v>
      </c>
      <c r="C383" s="17" t="s">
        <v>1044</v>
      </c>
      <c r="D383" s="17" t="s">
        <v>1008</v>
      </c>
      <c r="E383" s="17" t="s">
        <v>2006</v>
      </c>
      <c r="F383" s="17" t="s">
        <v>1123</v>
      </c>
      <c r="G383" s="17" t="s">
        <v>1035</v>
      </c>
      <c r="H383" s="17" t="s">
        <v>104</v>
      </c>
      <c r="I383" s="17">
        <v>20199</v>
      </c>
      <c r="J383" s="17" t="s">
        <v>54</v>
      </c>
      <c r="K383" s="17" t="s">
        <v>55</v>
      </c>
      <c r="L383" s="17" t="s">
        <v>20</v>
      </c>
      <c r="M383" s="17" t="s">
        <v>701</v>
      </c>
      <c r="N383" s="17" t="s">
        <v>142</v>
      </c>
      <c r="O383" s="17" t="s">
        <v>700</v>
      </c>
      <c r="P383" s="17" t="s">
        <v>142</v>
      </c>
      <c r="Q383" s="17" t="s">
        <v>699</v>
      </c>
      <c r="R383" s="17" t="s">
        <v>20</v>
      </c>
      <c r="S383" s="17" t="s">
        <v>2007</v>
      </c>
      <c r="T383" s="17">
        <v>339</v>
      </c>
      <c r="U383" s="18">
        <v>0</v>
      </c>
      <c r="X383" s="17" t="s">
        <v>67</v>
      </c>
      <c r="Y383" s="17" t="s">
        <v>607</v>
      </c>
      <c r="Z383" s="17" t="s">
        <v>662</v>
      </c>
      <c r="AA383" s="28">
        <v>783073.86198199994</v>
      </c>
      <c r="AB383" s="28">
        <v>2424081.2412800002</v>
      </c>
    </row>
    <row r="384" spans="1:28">
      <c r="A384" s="17">
        <v>383</v>
      </c>
      <c r="B384" s="17">
        <v>624191</v>
      </c>
      <c r="C384" s="17" t="s">
        <v>1044</v>
      </c>
      <c r="D384" s="17" t="s">
        <v>52</v>
      </c>
      <c r="E384" s="17" t="s">
        <v>2008</v>
      </c>
      <c r="F384" s="17" t="s">
        <v>1064</v>
      </c>
      <c r="G384" s="17" t="s">
        <v>2009</v>
      </c>
      <c r="H384" s="17" t="s">
        <v>104</v>
      </c>
      <c r="I384" s="17">
        <v>20169</v>
      </c>
      <c r="J384" s="17" t="s">
        <v>54</v>
      </c>
      <c r="K384" s="17" t="s">
        <v>78</v>
      </c>
      <c r="L384" s="17" t="s">
        <v>20</v>
      </c>
      <c r="M384" s="17" t="s">
        <v>693</v>
      </c>
      <c r="N384" s="17" t="s">
        <v>20</v>
      </c>
      <c r="O384" s="17" t="s">
        <v>702</v>
      </c>
      <c r="P384" s="17" t="s">
        <v>56</v>
      </c>
      <c r="Q384" s="17" t="s">
        <v>683</v>
      </c>
      <c r="R384" s="17" t="s">
        <v>20</v>
      </c>
      <c r="S384" s="17" t="s">
        <v>300</v>
      </c>
      <c r="T384" s="17">
        <v>116</v>
      </c>
      <c r="U384" s="18">
        <v>0</v>
      </c>
      <c r="X384" s="17" t="s">
        <v>64</v>
      </c>
      <c r="Y384" s="17" t="s">
        <v>607</v>
      </c>
      <c r="Z384" s="17" t="s">
        <v>662</v>
      </c>
      <c r="AA384" s="28">
        <v>781655.73896900006</v>
      </c>
      <c r="AB384" s="28">
        <v>2423463.0894999998</v>
      </c>
    </row>
    <row r="385" spans="1:28">
      <c r="A385" s="17">
        <v>384</v>
      </c>
      <c r="B385" s="17">
        <v>624191</v>
      </c>
      <c r="C385" s="17" t="s">
        <v>1044</v>
      </c>
      <c r="D385" s="17" t="s">
        <v>52</v>
      </c>
      <c r="E385" s="17" t="s">
        <v>1381</v>
      </c>
      <c r="F385" s="17" t="s">
        <v>1064</v>
      </c>
      <c r="H385" s="17" t="s">
        <v>104</v>
      </c>
      <c r="I385" s="17">
        <v>20170</v>
      </c>
      <c r="J385" s="17" t="s">
        <v>54</v>
      </c>
      <c r="K385" s="17" t="s">
        <v>55</v>
      </c>
      <c r="L385" s="17" t="s">
        <v>20</v>
      </c>
      <c r="M385" s="17" t="s">
        <v>695</v>
      </c>
      <c r="N385" s="17" t="s">
        <v>20</v>
      </c>
      <c r="O385" s="17" t="s">
        <v>687</v>
      </c>
      <c r="P385" s="17" t="s">
        <v>20</v>
      </c>
      <c r="Q385" s="17" t="s">
        <v>688</v>
      </c>
      <c r="R385" s="17" t="s">
        <v>20</v>
      </c>
      <c r="S385" s="17" t="s">
        <v>697</v>
      </c>
      <c r="T385" s="17">
        <v>0</v>
      </c>
      <c r="U385" s="18">
        <v>0</v>
      </c>
      <c r="X385" s="17" t="s">
        <v>67</v>
      </c>
      <c r="Y385" s="17" t="s">
        <v>607</v>
      </c>
      <c r="Z385" s="17" t="s">
        <v>662</v>
      </c>
      <c r="AA385" s="28">
        <v>783537.21622499998</v>
      </c>
      <c r="AB385" s="28">
        <v>2424965.7034700001</v>
      </c>
    </row>
    <row r="386" spans="1:28">
      <c r="A386" s="17">
        <v>385</v>
      </c>
      <c r="B386" s="17">
        <v>624191</v>
      </c>
      <c r="C386" s="17" t="s">
        <v>1044</v>
      </c>
      <c r="D386" s="17" t="s">
        <v>52</v>
      </c>
      <c r="E386" s="17" t="s">
        <v>2010</v>
      </c>
      <c r="F386" s="17" t="s">
        <v>1064</v>
      </c>
      <c r="H386" s="17" t="s">
        <v>104</v>
      </c>
      <c r="I386" s="17">
        <v>20170</v>
      </c>
      <c r="J386" s="17" t="s">
        <v>54</v>
      </c>
      <c r="K386" s="17" t="s">
        <v>78</v>
      </c>
      <c r="L386" s="17" t="s">
        <v>20</v>
      </c>
      <c r="M386" s="17" t="s">
        <v>2011</v>
      </c>
      <c r="N386" s="17" t="s">
        <v>20</v>
      </c>
      <c r="O386" s="17" t="s">
        <v>694</v>
      </c>
      <c r="P386" s="17" t="s">
        <v>20</v>
      </c>
      <c r="Q386" s="17" t="s">
        <v>689</v>
      </c>
      <c r="R386" s="17" t="s">
        <v>20</v>
      </c>
      <c r="S386" s="17" t="s">
        <v>2012</v>
      </c>
      <c r="T386" s="17">
        <v>807</v>
      </c>
      <c r="U386" s="18">
        <v>0</v>
      </c>
      <c r="X386" s="17" t="s">
        <v>60</v>
      </c>
      <c r="Y386" s="17" t="s">
        <v>607</v>
      </c>
      <c r="Z386" s="17" t="s">
        <v>662</v>
      </c>
      <c r="AA386" s="28">
        <v>783679.60825499997</v>
      </c>
      <c r="AB386" s="28">
        <v>2424793.2222000002</v>
      </c>
    </row>
    <row r="387" spans="1:28">
      <c r="A387" s="17">
        <v>386</v>
      </c>
      <c r="B387" s="17">
        <v>813230</v>
      </c>
      <c r="C387" s="17" t="s">
        <v>1044</v>
      </c>
      <c r="D387" s="17" t="s">
        <v>52</v>
      </c>
      <c r="E387" s="17" t="s">
        <v>2013</v>
      </c>
      <c r="F387" s="17" t="s">
        <v>1061</v>
      </c>
      <c r="G387" s="17" t="s">
        <v>2014</v>
      </c>
      <c r="H387" s="17" t="s">
        <v>104</v>
      </c>
      <c r="I387" s="17">
        <v>20169</v>
      </c>
      <c r="J387" s="17" t="s">
        <v>54</v>
      </c>
      <c r="K387" s="17" t="s">
        <v>55</v>
      </c>
      <c r="L387" s="17" t="s">
        <v>56</v>
      </c>
      <c r="M387" s="17" t="s">
        <v>686</v>
      </c>
      <c r="N387" s="17" t="s">
        <v>20</v>
      </c>
      <c r="O387" s="17" t="s">
        <v>692</v>
      </c>
      <c r="P387" s="17" t="s">
        <v>56</v>
      </c>
      <c r="Q387" s="17" t="s">
        <v>497</v>
      </c>
      <c r="R387" s="17" t="s">
        <v>20</v>
      </c>
      <c r="S387" s="17" t="s">
        <v>698</v>
      </c>
      <c r="T387" s="17">
        <v>1935</v>
      </c>
      <c r="U387" s="18">
        <v>4491155543</v>
      </c>
      <c r="V387" s="17" t="s">
        <v>2015</v>
      </c>
      <c r="X387" s="17" t="s">
        <v>116</v>
      </c>
      <c r="Y387" s="17" t="s">
        <v>607</v>
      </c>
      <c r="Z387" s="17" t="s">
        <v>662</v>
      </c>
      <c r="AA387" s="28">
        <v>782263.63742000004</v>
      </c>
      <c r="AB387" s="28">
        <v>2423675.4221199998</v>
      </c>
    </row>
    <row r="388" spans="1:28">
      <c r="A388" s="17">
        <v>387</v>
      </c>
      <c r="B388" s="17">
        <v>813230</v>
      </c>
      <c r="C388" s="17" t="s">
        <v>1044</v>
      </c>
      <c r="D388" s="17" t="s">
        <v>52</v>
      </c>
      <c r="E388" s="17" t="s">
        <v>2016</v>
      </c>
      <c r="F388" s="17" t="s">
        <v>1061</v>
      </c>
      <c r="H388" s="17" t="s">
        <v>104</v>
      </c>
      <c r="I388" s="17">
        <v>20169</v>
      </c>
      <c r="J388" s="17" t="s">
        <v>54</v>
      </c>
      <c r="K388" s="17" t="s">
        <v>55</v>
      </c>
      <c r="L388" s="17" t="s">
        <v>20</v>
      </c>
      <c r="M388" s="17" t="s">
        <v>300</v>
      </c>
      <c r="N388" s="17" t="s">
        <v>56</v>
      </c>
      <c r="O388" s="17" t="s">
        <v>497</v>
      </c>
      <c r="P388" s="17" t="s">
        <v>56</v>
      </c>
      <c r="Q388" s="17" t="s">
        <v>683</v>
      </c>
      <c r="R388" s="17" t="s">
        <v>56</v>
      </c>
      <c r="S388" s="17" t="s">
        <v>2017</v>
      </c>
      <c r="T388" s="17">
        <v>904</v>
      </c>
      <c r="U388" s="18">
        <v>0</v>
      </c>
      <c r="X388" s="17" t="s">
        <v>60</v>
      </c>
      <c r="Y388" s="17" t="s">
        <v>607</v>
      </c>
      <c r="Z388" s="17" t="s">
        <v>662</v>
      </c>
      <c r="AA388" s="28">
        <v>781674.54654300003</v>
      </c>
      <c r="AB388" s="28">
        <v>2423370.2771600001</v>
      </c>
    </row>
    <row r="389" spans="1:28">
      <c r="A389" s="17">
        <v>388</v>
      </c>
      <c r="B389" s="17">
        <v>624411</v>
      </c>
      <c r="C389" s="17" t="s">
        <v>1044</v>
      </c>
      <c r="D389" s="17" t="s">
        <v>52</v>
      </c>
      <c r="E389" s="17" t="s">
        <v>2018</v>
      </c>
      <c r="F389" s="17" t="s">
        <v>1046</v>
      </c>
      <c r="H389" s="17" t="s">
        <v>104</v>
      </c>
      <c r="I389" s="17">
        <v>20175</v>
      </c>
      <c r="J389" s="17" t="s">
        <v>54</v>
      </c>
      <c r="K389" s="17" t="s">
        <v>55</v>
      </c>
      <c r="L389" s="17" t="s">
        <v>20</v>
      </c>
      <c r="M389" s="17" t="s">
        <v>704</v>
      </c>
      <c r="N389" s="17" t="s">
        <v>161</v>
      </c>
      <c r="O389" s="17" t="s">
        <v>656</v>
      </c>
      <c r="P389" s="17" t="s">
        <v>20</v>
      </c>
      <c r="Q389" s="17" t="s">
        <v>707</v>
      </c>
      <c r="R389" s="17" t="s">
        <v>20</v>
      </c>
      <c r="S389" s="17" t="s">
        <v>709</v>
      </c>
      <c r="T389" s="17">
        <v>0</v>
      </c>
      <c r="U389" s="18">
        <v>0</v>
      </c>
      <c r="X389" s="17" t="s">
        <v>60</v>
      </c>
      <c r="Y389" s="17" t="s">
        <v>651</v>
      </c>
      <c r="Z389" s="17" t="s">
        <v>662</v>
      </c>
      <c r="AA389" s="28">
        <v>783532.45921</v>
      </c>
      <c r="AB389" s="28">
        <v>2425341.0100199999</v>
      </c>
    </row>
    <row r="390" spans="1:28">
      <c r="A390" s="17">
        <v>389</v>
      </c>
      <c r="B390" s="17">
        <v>813230</v>
      </c>
      <c r="C390" s="17" t="s">
        <v>1044</v>
      </c>
      <c r="D390" s="17" t="s">
        <v>52</v>
      </c>
      <c r="E390" s="17" t="s">
        <v>2019</v>
      </c>
      <c r="F390" s="17" t="s">
        <v>1061</v>
      </c>
      <c r="G390" s="17" t="s">
        <v>2020</v>
      </c>
      <c r="H390" s="17" t="s">
        <v>104</v>
      </c>
      <c r="I390" s="17">
        <v>20175</v>
      </c>
      <c r="J390" s="17" t="s">
        <v>54</v>
      </c>
      <c r="K390" s="17" t="s">
        <v>78</v>
      </c>
      <c r="L390" s="17" t="s">
        <v>20</v>
      </c>
      <c r="M390" s="17" t="s">
        <v>707</v>
      </c>
      <c r="N390" s="17" t="s">
        <v>20</v>
      </c>
      <c r="O390" s="17" t="s">
        <v>706</v>
      </c>
      <c r="P390" s="17" t="s">
        <v>20</v>
      </c>
      <c r="Q390" s="17" t="s">
        <v>704</v>
      </c>
      <c r="R390" s="17" t="s">
        <v>20</v>
      </c>
      <c r="S390" s="17" t="s">
        <v>705</v>
      </c>
      <c r="T390" s="17">
        <v>419</v>
      </c>
      <c r="U390" s="18">
        <v>4495521396</v>
      </c>
      <c r="V390" s="17" t="s">
        <v>2021</v>
      </c>
      <c r="X390" s="17" t="s">
        <v>60</v>
      </c>
      <c r="Y390" s="17" t="s">
        <v>651</v>
      </c>
      <c r="Z390" s="17" t="s">
        <v>662</v>
      </c>
      <c r="AA390" s="28">
        <v>783448.09216999996</v>
      </c>
      <c r="AB390" s="28">
        <v>2425375.97511</v>
      </c>
    </row>
    <row r="391" spans="1:28">
      <c r="A391" s="17">
        <v>390</v>
      </c>
      <c r="B391" s="17">
        <v>624221</v>
      </c>
      <c r="C391" s="17" t="s">
        <v>1044</v>
      </c>
      <c r="D391" s="17" t="s">
        <v>52</v>
      </c>
      <c r="E391" s="17" t="s">
        <v>2022</v>
      </c>
      <c r="F391" s="17" t="s">
        <v>1568</v>
      </c>
      <c r="G391" s="17" t="s">
        <v>2023</v>
      </c>
      <c r="H391" s="17" t="s">
        <v>104</v>
      </c>
      <c r="I391" s="17">
        <v>20265</v>
      </c>
      <c r="J391" s="17" t="s">
        <v>54</v>
      </c>
      <c r="K391" s="17" t="s">
        <v>55</v>
      </c>
      <c r="M391" s="17" t="s">
        <v>59</v>
      </c>
      <c r="N391" s="17" t="s">
        <v>20</v>
      </c>
      <c r="O391" s="17" t="s">
        <v>716</v>
      </c>
      <c r="P391" s="17" t="s">
        <v>156</v>
      </c>
      <c r="Q391" s="17" t="s">
        <v>724</v>
      </c>
      <c r="R391" s="17" t="s">
        <v>156</v>
      </c>
      <c r="S391" s="17" t="s">
        <v>724</v>
      </c>
      <c r="T391" s="17">
        <v>0</v>
      </c>
      <c r="U391" s="18">
        <v>4499130535</v>
      </c>
      <c r="X391" s="17" t="s">
        <v>67</v>
      </c>
      <c r="Y391" s="17" t="s">
        <v>230</v>
      </c>
      <c r="Z391" s="17" t="s">
        <v>712</v>
      </c>
      <c r="AA391" s="28">
        <v>781115.64531099994</v>
      </c>
      <c r="AB391" s="28">
        <v>2420194.2804200002</v>
      </c>
    </row>
    <row r="392" spans="1:28">
      <c r="A392" s="17">
        <v>391</v>
      </c>
      <c r="B392" s="17">
        <v>624411</v>
      </c>
      <c r="C392" s="17" t="s">
        <v>1044</v>
      </c>
      <c r="D392" s="17" t="s">
        <v>52</v>
      </c>
      <c r="E392" s="17" t="s">
        <v>2024</v>
      </c>
      <c r="F392" s="17" t="s">
        <v>1046</v>
      </c>
      <c r="H392" s="17" t="s">
        <v>104</v>
      </c>
      <c r="I392" s="17">
        <v>20270</v>
      </c>
      <c r="J392" s="17" t="s">
        <v>54</v>
      </c>
      <c r="K392" s="17" t="s">
        <v>55</v>
      </c>
      <c r="L392" s="17" t="s">
        <v>20</v>
      </c>
      <c r="M392" s="17" t="s">
        <v>713</v>
      </c>
      <c r="N392" s="17" t="s">
        <v>20</v>
      </c>
      <c r="O392" s="17" t="s">
        <v>714</v>
      </c>
      <c r="P392" s="17" t="s">
        <v>56</v>
      </c>
      <c r="Q392" s="17" t="s">
        <v>170</v>
      </c>
      <c r="R392" s="17" t="s">
        <v>20</v>
      </c>
      <c r="S392" s="17" t="s">
        <v>715</v>
      </c>
      <c r="T392" s="17">
        <v>0</v>
      </c>
      <c r="U392" s="18">
        <v>0</v>
      </c>
      <c r="X392" s="17" t="s">
        <v>60</v>
      </c>
      <c r="Y392" s="17" t="s">
        <v>230</v>
      </c>
      <c r="Z392" s="17" t="s">
        <v>712</v>
      </c>
      <c r="AA392" s="28">
        <v>781154.68283299997</v>
      </c>
      <c r="AB392" s="28">
        <v>2420007.8868100001</v>
      </c>
    </row>
    <row r="393" spans="1:28">
      <c r="A393" s="17">
        <v>392</v>
      </c>
      <c r="B393" s="17">
        <v>624411</v>
      </c>
      <c r="C393" s="17" t="s">
        <v>1044</v>
      </c>
      <c r="D393" s="17" t="s">
        <v>52</v>
      </c>
      <c r="E393" s="17" t="s">
        <v>2025</v>
      </c>
      <c r="F393" s="17" t="s">
        <v>1046</v>
      </c>
      <c r="H393" s="17" t="s">
        <v>92</v>
      </c>
      <c r="I393" s="17">
        <v>20250</v>
      </c>
      <c r="J393" s="17" t="s">
        <v>54</v>
      </c>
      <c r="K393" s="17" t="s">
        <v>55</v>
      </c>
      <c r="L393" s="17" t="s">
        <v>58</v>
      </c>
      <c r="M393" s="17" t="s">
        <v>723</v>
      </c>
      <c r="N393" s="17" t="s">
        <v>58</v>
      </c>
      <c r="O393" s="17" t="s">
        <v>722</v>
      </c>
      <c r="P393" s="17" t="s">
        <v>58</v>
      </c>
      <c r="Q393" s="17" t="s">
        <v>1097</v>
      </c>
      <c r="R393" s="17" t="s">
        <v>56</v>
      </c>
      <c r="S393" s="17" t="s">
        <v>296</v>
      </c>
      <c r="T393" s="17">
        <v>101</v>
      </c>
      <c r="U393" s="18">
        <v>4499177802</v>
      </c>
      <c r="V393" s="17" t="s">
        <v>2026</v>
      </c>
      <c r="X393" s="17" t="s">
        <v>67</v>
      </c>
      <c r="Y393" s="17" t="s">
        <v>230</v>
      </c>
      <c r="Z393" s="17" t="s">
        <v>712</v>
      </c>
      <c r="AA393" s="28">
        <v>781401.35248999996</v>
      </c>
      <c r="AB393" s="28">
        <v>2421061.22205</v>
      </c>
    </row>
    <row r="394" spans="1:28">
      <c r="A394" s="17">
        <v>393</v>
      </c>
      <c r="B394" s="17">
        <v>624112</v>
      </c>
      <c r="C394" s="17" t="s">
        <v>1044</v>
      </c>
      <c r="D394" s="17" t="s">
        <v>1008</v>
      </c>
      <c r="E394" s="17" t="s">
        <v>1428</v>
      </c>
      <c r="F394" s="17" t="s">
        <v>1149</v>
      </c>
      <c r="G394" s="17" t="s">
        <v>508</v>
      </c>
      <c r="H394" s="17" t="s">
        <v>104</v>
      </c>
      <c r="I394" s="17">
        <v>20265</v>
      </c>
      <c r="J394" s="17" t="s">
        <v>54</v>
      </c>
      <c r="K394" s="17" t="s">
        <v>55</v>
      </c>
      <c r="L394" s="17" t="s">
        <v>20</v>
      </c>
      <c r="M394" s="17" t="s">
        <v>721</v>
      </c>
      <c r="N394" s="17" t="s">
        <v>20</v>
      </c>
      <c r="O394" s="17" t="s">
        <v>714</v>
      </c>
      <c r="P394" s="17" t="s">
        <v>20</v>
      </c>
      <c r="Q394" s="17" t="s">
        <v>717</v>
      </c>
      <c r="R394" s="17" t="s">
        <v>20</v>
      </c>
      <c r="S394" s="17" t="s">
        <v>716</v>
      </c>
      <c r="T394" s="17">
        <v>0</v>
      </c>
      <c r="U394" s="18">
        <v>0</v>
      </c>
      <c r="X394" s="17" t="s">
        <v>67</v>
      </c>
      <c r="Y394" s="17" t="s">
        <v>230</v>
      </c>
      <c r="Z394" s="17" t="s">
        <v>712</v>
      </c>
      <c r="AA394" s="28">
        <v>781057.39744099998</v>
      </c>
      <c r="AB394" s="28">
        <v>2420169.3516600002</v>
      </c>
    </row>
    <row r="395" spans="1:28">
      <c r="A395" s="17">
        <v>394</v>
      </c>
      <c r="B395" s="17">
        <v>624412</v>
      </c>
      <c r="C395" s="17" t="s">
        <v>1044</v>
      </c>
      <c r="D395" s="17" t="s">
        <v>1008</v>
      </c>
      <c r="E395" s="17" t="s">
        <v>2027</v>
      </c>
      <c r="F395" s="17" t="s">
        <v>1123</v>
      </c>
      <c r="G395" s="17" t="s">
        <v>1012</v>
      </c>
      <c r="H395" s="17" t="s">
        <v>92</v>
      </c>
      <c r="I395" s="17">
        <v>20257</v>
      </c>
      <c r="J395" s="17" t="s">
        <v>54</v>
      </c>
      <c r="K395" s="17" t="s">
        <v>132</v>
      </c>
      <c r="L395" s="17" t="s">
        <v>56</v>
      </c>
      <c r="M395" s="17" t="s">
        <v>500</v>
      </c>
      <c r="N395" s="17" t="s">
        <v>156</v>
      </c>
      <c r="O395" s="17" t="s">
        <v>59</v>
      </c>
      <c r="P395" s="17" t="s">
        <v>156</v>
      </c>
      <c r="Q395" s="17" t="s">
        <v>59</v>
      </c>
      <c r="R395" s="17" t="s">
        <v>156</v>
      </c>
      <c r="S395" s="17" t="s">
        <v>59</v>
      </c>
      <c r="T395" s="17">
        <v>0</v>
      </c>
      <c r="U395" s="18">
        <v>0</v>
      </c>
      <c r="V395" s="17" t="s">
        <v>2028</v>
      </c>
      <c r="W395" s="17" t="s">
        <v>2029</v>
      </c>
      <c r="X395" s="17" t="s">
        <v>67</v>
      </c>
      <c r="Y395" s="17" t="s">
        <v>230</v>
      </c>
      <c r="Z395" s="17" t="s">
        <v>712</v>
      </c>
      <c r="AA395" s="28">
        <v>781243.48427100002</v>
      </c>
      <c r="AB395" s="28">
        <v>2421347.7170799999</v>
      </c>
    </row>
    <row r="396" spans="1:28">
      <c r="A396" s="17">
        <v>395</v>
      </c>
      <c r="B396" s="17">
        <v>624191</v>
      </c>
      <c r="C396" s="17" t="s">
        <v>1044</v>
      </c>
      <c r="D396" s="17" t="s">
        <v>52</v>
      </c>
      <c r="E396" s="17" t="s">
        <v>2030</v>
      </c>
      <c r="F396" s="17" t="s">
        <v>1064</v>
      </c>
      <c r="G396" s="17" t="s">
        <v>2031</v>
      </c>
      <c r="H396" s="17" t="s">
        <v>104</v>
      </c>
      <c r="I396" s="17">
        <v>20250</v>
      </c>
      <c r="J396" s="17" t="s">
        <v>54</v>
      </c>
      <c r="K396" s="17" t="s">
        <v>78</v>
      </c>
      <c r="L396" s="17" t="s">
        <v>20</v>
      </c>
      <c r="M396" s="17" t="s">
        <v>128</v>
      </c>
      <c r="N396" s="17" t="s">
        <v>20</v>
      </c>
      <c r="O396" s="17" t="s">
        <v>2032</v>
      </c>
      <c r="P396" s="17" t="s">
        <v>20</v>
      </c>
      <c r="Q396" s="17" t="s">
        <v>2033</v>
      </c>
      <c r="R396" s="17" t="s">
        <v>20</v>
      </c>
      <c r="S396" s="17" t="s">
        <v>725</v>
      </c>
      <c r="T396" s="17">
        <v>1209</v>
      </c>
      <c r="U396" s="18">
        <v>0</v>
      </c>
      <c r="X396" s="17" t="s">
        <v>64</v>
      </c>
      <c r="Y396" s="17" t="s">
        <v>230</v>
      </c>
      <c r="Z396" s="17" t="s">
        <v>712</v>
      </c>
      <c r="AA396" s="28">
        <v>781574.964683</v>
      </c>
      <c r="AB396" s="28">
        <v>2421811.3015899998</v>
      </c>
    </row>
    <row r="397" spans="1:28">
      <c r="A397" s="17">
        <v>396</v>
      </c>
      <c r="B397" s="17">
        <v>624191</v>
      </c>
      <c r="C397" s="17" t="s">
        <v>1044</v>
      </c>
      <c r="D397" s="17" t="s">
        <v>52</v>
      </c>
      <c r="E397" s="17" t="s">
        <v>1126</v>
      </c>
      <c r="F397" s="17" t="s">
        <v>1064</v>
      </c>
      <c r="G397" s="17" t="s">
        <v>2034</v>
      </c>
      <c r="H397" s="17" t="s">
        <v>104</v>
      </c>
      <c r="I397" s="17">
        <v>20270</v>
      </c>
      <c r="J397" s="17" t="s">
        <v>54</v>
      </c>
      <c r="K397" s="17" t="s">
        <v>55</v>
      </c>
      <c r="L397" s="17" t="s">
        <v>20</v>
      </c>
      <c r="M397" s="17" t="s">
        <v>719</v>
      </c>
      <c r="N397" s="17" t="s">
        <v>56</v>
      </c>
      <c r="O397" s="17" t="s">
        <v>170</v>
      </c>
      <c r="P397" s="17" t="s">
        <v>20</v>
      </c>
      <c r="Q397" s="17" t="s">
        <v>714</v>
      </c>
      <c r="R397" s="17" t="s">
        <v>20</v>
      </c>
      <c r="S397" s="17" t="s">
        <v>558</v>
      </c>
      <c r="T397" s="17">
        <v>0</v>
      </c>
      <c r="U397" s="18">
        <v>0</v>
      </c>
      <c r="X397" s="17" t="s">
        <v>60</v>
      </c>
      <c r="Y397" s="17" t="s">
        <v>230</v>
      </c>
      <c r="Z397" s="17" t="s">
        <v>712</v>
      </c>
      <c r="AA397" s="28">
        <v>781305.56083500001</v>
      </c>
      <c r="AB397" s="28">
        <v>2420030.0053500002</v>
      </c>
    </row>
    <row r="398" spans="1:28">
      <c r="A398" s="17">
        <v>397</v>
      </c>
      <c r="B398" s="17">
        <v>624191</v>
      </c>
      <c r="C398" s="17" t="s">
        <v>1044</v>
      </c>
      <c r="D398" s="17" t="s">
        <v>52</v>
      </c>
      <c r="E398" s="17" t="s">
        <v>2035</v>
      </c>
      <c r="F398" s="17" t="s">
        <v>1064</v>
      </c>
      <c r="G398" s="17" t="s">
        <v>2036</v>
      </c>
      <c r="H398" s="17" t="s">
        <v>92</v>
      </c>
      <c r="I398" s="17">
        <v>20250</v>
      </c>
      <c r="J398" s="17" t="s">
        <v>54</v>
      </c>
      <c r="K398" s="17" t="s">
        <v>63</v>
      </c>
      <c r="L398" s="17" t="s">
        <v>56</v>
      </c>
      <c r="M398" s="17" t="s">
        <v>500</v>
      </c>
      <c r="N398" s="17" t="s">
        <v>56</v>
      </c>
      <c r="O398" s="17" t="s">
        <v>711</v>
      </c>
      <c r="P398" s="17" t="s">
        <v>56</v>
      </c>
      <c r="Q398" s="17" t="s">
        <v>296</v>
      </c>
      <c r="R398" s="17" t="s">
        <v>20</v>
      </c>
      <c r="S398" s="17" t="s">
        <v>2037</v>
      </c>
      <c r="T398" s="17">
        <v>520</v>
      </c>
      <c r="U398" s="18">
        <v>0</v>
      </c>
      <c r="X398" s="17" t="s">
        <v>60</v>
      </c>
      <c r="Y398" s="17" t="s">
        <v>230</v>
      </c>
      <c r="Z398" s="17" t="s">
        <v>712</v>
      </c>
      <c r="AA398" s="28">
        <v>781303.46106999996</v>
      </c>
      <c r="AB398" s="28">
        <v>2421316.17135</v>
      </c>
    </row>
    <row r="399" spans="1:28">
      <c r="A399" s="17">
        <v>398</v>
      </c>
      <c r="B399" s="17">
        <v>813120</v>
      </c>
      <c r="C399" s="17" t="s">
        <v>1044</v>
      </c>
      <c r="D399" s="17" t="s">
        <v>52</v>
      </c>
      <c r="E399" s="17" t="s">
        <v>2038</v>
      </c>
      <c r="F399" s="17" t="s">
        <v>1173</v>
      </c>
      <c r="G399" s="17" t="s">
        <v>2039</v>
      </c>
      <c r="H399" s="17" t="s">
        <v>92</v>
      </c>
      <c r="I399" s="17">
        <v>20210</v>
      </c>
      <c r="J399" s="17" t="s">
        <v>54</v>
      </c>
      <c r="K399" s="17" t="s">
        <v>63</v>
      </c>
      <c r="L399" s="17" t="s">
        <v>56</v>
      </c>
      <c r="M399" s="17" t="s">
        <v>467</v>
      </c>
      <c r="N399" s="17" t="s">
        <v>56</v>
      </c>
      <c r="O399" s="17" t="s">
        <v>500</v>
      </c>
      <c r="P399" s="17" t="s">
        <v>710</v>
      </c>
      <c r="Q399" s="17" t="s">
        <v>2040</v>
      </c>
      <c r="R399" s="17" t="s">
        <v>710</v>
      </c>
      <c r="S399" s="17" t="s">
        <v>2041</v>
      </c>
      <c r="T399" s="17">
        <v>900</v>
      </c>
      <c r="U399" s="18">
        <v>4493292260</v>
      </c>
      <c r="V399" s="17" t="s">
        <v>2042</v>
      </c>
      <c r="X399" s="17" t="s">
        <v>67</v>
      </c>
      <c r="Y399" s="17" t="s">
        <v>230</v>
      </c>
      <c r="Z399" s="17" t="s">
        <v>712</v>
      </c>
      <c r="AA399" s="28">
        <v>780951.53879200004</v>
      </c>
      <c r="AB399" s="28">
        <v>2421130.5484199999</v>
      </c>
    </row>
    <row r="400" spans="1:28">
      <c r="A400" s="17">
        <v>399</v>
      </c>
      <c r="B400" s="17">
        <v>813130</v>
      </c>
      <c r="C400" s="17" t="s">
        <v>1044</v>
      </c>
      <c r="D400" s="17" t="s">
        <v>52</v>
      </c>
      <c r="E400" s="17" t="s">
        <v>2043</v>
      </c>
      <c r="F400" s="17" t="s">
        <v>1705</v>
      </c>
      <c r="G400" s="17" t="s">
        <v>2044</v>
      </c>
      <c r="H400" s="17" t="s">
        <v>461</v>
      </c>
      <c r="I400" s="17">
        <v>0</v>
      </c>
      <c r="J400" s="17" t="s">
        <v>54</v>
      </c>
      <c r="K400" s="17" t="s">
        <v>63</v>
      </c>
      <c r="L400" s="17" t="s">
        <v>20</v>
      </c>
      <c r="M400" s="17" t="s">
        <v>59</v>
      </c>
      <c r="N400" s="17" t="s">
        <v>56</v>
      </c>
      <c r="O400" s="17" t="s">
        <v>482</v>
      </c>
      <c r="P400" s="17" t="s">
        <v>20</v>
      </c>
      <c r="Q400" s="17" t="s">
        <v>718</v>
      </c>
      <c r="R400" s="17" t="s">
        <v>56</v>
      </c>
      <c r="S400" s="17" t="s">
        <v>296</v>
      </c>
      <c r="T400" s="17">
        <v>0</v>
      </c>
      <c r="U400" s="18">
        <v>4492361998</v>
      </c>
      <c r="V400" s="17" t="s">
        <v>2045</v>
      </c>
      <c r="W400" s="17" t="s">
        <v>2046</v>
      </c>
      <c r="X400" s="17" t="s">
        <v>131</v>
      </c>
      <c r="Y400" s="17" t="s">
        <v>230</v>
      </c>
      <c r="Z400" s="17" t="s">
        <v>712</v>
      </c>
      <c r="AA400" s="28">
        <v>781043.61936500005</v>
      </c>
      <c r="AB400" s="28">
        <v>2421837.8472000002</v>
      </c>
    </row>
    <row r="401" spans="1:28">
      <c r="A401" s="17">
        <v>400</v>
      </c>
      <c r="B401" s="17">
        <v>813230</v>
      </c>
      <c r="C401" s="17" t="s">
        <v>1044</v>
      </c>
      <c r="D401" s="17" t="s">
        <v>52</v>
      </c>
      <c r="E401" s="17" t="s">
        <v>2047</v>
      </c>
      <c r="F401" s="17" t="s">
        <v>1061</v>
      </c>
      <c r="G401" s="17" t="s">
        <v>2048</v>
      </c>
      <c r="H401" s="17" t="s">
        <v>69</v>
      </c>
      <c r="I401" s="17">
        <v>20250</v>
      </c>
      <c r="J401" s="17" t="s">
        <v>54</v>
      </c>
      <c r="K401" s="17" t="s">
        <v>63</v>
      </c>
      <c r="L401" s="17" t="s">
        <v>56</v>
      </c>
      <c r="M401" s="17" t="s">
        <v>482</v>
      </c>
      <c r="N401" s="17" t="s">
        <v>20</v>
      </c>
      <c r="O401" s="17" t="s">
        <v>59</v>
      </c>
      <c r="P401" s="17" t="s">
        <v>56</v>
      </c>
      <c r="Q401" s="17" t="s">
        <v>728</v>
      </c>
      <c r="R401" s="17" t="s">
        <v>20</v>
      </c>
      <c r="S401" s="17" t="s">
        <v>718</v>
      </c>
      <c r="T401" s="17">
        <v>1001</v>
      </c>
      <c r="U401" s="18">
        <v>0</v>
      </c>
      <c r="V401" s="17" t="s">
        <v>2049</v>
      </c>
      <c r="X401" s="17" t="s">
        <v>67</v>
      </c>
      <c r="Y401" s="17" t="s">
        <v>230</v>
      </c>
      <c r="Z401" s="17" t="s">
        <v>712</v>
      </c>
      <c r="AA401" s="28">
        <v>780995.99249800004</v>
      </c>
      <c r="AB401" s="28">
        <v>2421863.2860500002</v>
      </c>
    </row>
    <row r="402" spans="1:28">
      <c r="A402" s="17">
        <v>401</v>
      </c>
      <c r="B402" s="17">
        <v>813230</v>
      </c>
      <c r="C402" s="17" t="s">
        <v>1044</v>
      </c>
      <c r="D402" s="17" t="s">
        <v>52</v>
      </c>
      <c r="E402" s="17" t="s">
        <v>2050</v>
      </c>
      <c r="F402" s="17" t="s">
        <v>1061</v>
      </c>
      <c r="G402" s="17" t="s">
        <v>2051</v>
      </c>
      <c r="H402" s="17" t="s">
        <v>69</v>
      </c>
      <c r="I402" s="17">
        <v>20250</v>
      </c>
      <c r="J402" s="17" t="s">
        <v>54</v>
      </c>
      <c r="K402" s="17" t="s">
        <v>63</v>
      </c>
      <c r="L402" s="17" t="s">
        <v>56</v>
      </c>
      <c r="M402" s="17" t="s">
        <v>482</v>
      </c>
      <c r="N402" s="17" t="s">
        <v>20</v>
      </c>
      <c r="O402" s="17" t="s">
        <v>59</v>
      </c>
      <c r="P402" s="17" t="s">
        <v>56</v>
      </c>
      <c r="Q402" s="17" t="s">
        <v>728</v>
      </c>
      <c r="R402" s="17" t="s">
        <v>20</v>
      </c>
      <c r="S402" s="17" t="s">
        <v>718</v>
      </c>
      <c r="T402" s="17">
        <v>1001</v>
      </c>
      <c r="U402" s="18">
        <v>4494930733</v>
      </c>
      <c r="X402" s="17" t="s">
        <v>60</v>
      </c>
      <c r="Y402" s="17" t="s">
        <v>230</v>
      </c>
      <c r="Z402" s="17" t="s">
        <v>712</v>
      </c>
      <c r="AA402" s="28">
        <v>780995.99249800004</v>
      </c>
      <c r="AB402" s="28">
        <v>2421863.2860500002</v>
      </c>
    </row>
    <row r="403" spans="1:28">
      <c r="A403" s="17">
        <v>402</v>
      </c>
      <c r="B403" s="17">
        <v>813230</v>
      </c>
      <c r="C403" s="17" t="s">
        <v>1044</v>
      </c>
      <c r="D403" s="17" t="s">
        <v>52</v>
      </c>
      <c r="E403" s="17" t="s">
        <v>2052</v>
      </c>
      <c r="F403" s="17" t="s">
        <v>1061</v>
      </c>
      <c r="G403" s="17" t="s">
        <v>2053</v>
      </c>
      <c r="H403" s="17" t="s">
        <v>104</v>
      </c>
      <c r="I403" s="17">
        <v>20265</v>
      </c>
      <c r="J403" s="17" t="s">
        <v>54</v>
      </c>
      <c r="K403" s="17" t="s">
        <v>55</v>
      </c>
      <c r="L403" s="17" t="s">
        <v>20</v>
      </c>
      <c r="M403" s="17" t="s">
        <v>721</v>
      </c>
      <c r="N403" s="17" t="s">
        <v>20</v>
      </c>
      <c r="O403" s="17" t="s">
        <v>714</v>
      </c>
      <c r="P403" s="17" t="s">
        <v>20</v>
      </c>
      <c r="Q403" s="17" t="s">
        <v>717</v>
      </c>
      <c r="R403" s="17" t="s">
        <v>20</v>
      </c>
      <c r="S403" s="17" t="s">
        <v>716</v>
      </c>
      <c r="T403" s="17">
        <v>0</v>
      </c>
      <c r="U403" s="18">
        <v>0</v>
      </c>
      <c r="X403" s="17" t="s">
        <v>67</v>
      </c>
      <c r="Y403" s="17" t="s">
        <v>230</v>
      </c>
      <c r="Z403" s="17" t="s">
        <v>712</v>
      </c>
      <c r="AA403" s="28">
        <v>781056.842343</v>
      </c>
      <c r="AB403" s="28">
        <v>2420162.60684</v>
      </c>
    </row>
    <row r="404" spans="1:28">
      <c r="A404" s="17">
        <v>403</v>
      </c>
      <c r="B404" s="17">
        <v>813230</v>
      </c>
      <c r="C404" s="17" t="s">
        <v>1044</v>
      </c>
      <c r="D404" s="17" t="s">
        <v>52</v>
      </c>
      <c r="E404" s="17" t="s">
        <v>2054</v>
      </c>
      <c r="F404" s="17" t="s">
        <v>1061</v>
      </c>
      <c r="G404" s="17" t="s">
        <v>2055</v>
      </c>
      <c r="H404" s="17" t="s">
        <v>92</v>
      </c>
      <c r="I404" s="17">
        <v>20260</v>
      </c>
      <c r="J404" s="17" t="s">
        <v>54</v>
      </c>
      <c r="K404" s="17" t="s">
        <v>55</v>
      </c>
      <c r="L404" s="17" t="s">
        <v>56</v>
      </c>
      <c r="M404" s="17" t="s">
        <v>359</v>
      </c>
      <c r="N404" s="17" t="s">
        <v>56</v>
      </c>
      <c r="O404" s="17" t="s">
        <v>359</v>
      </c>
      <c r="P404" s="17" t="s">
        <v>156</v>
      </c>
      <c r="Q404" s="17" t="s">
        <v>359</v>
      </c>
      <c r="R404" s="17" t="s">
        <v>56</v>
      </c>
      <c r="S404" s="17" t="s">
        <v>359</v>
      </c>
      <c r="T404" s="17">
        <v>102</v>
      </c>
      <c r="U404" s="18">
        <v>0</v>
      </c>
      <c r="X404" s="17" t="s">
        <v>64</v>
      </c>
      <c r="Y404" s="17" t="s">
        <v>230</v>
      </c>
      <c r="Z404" s="17" t="s">
        <v>712</v>
      </c>
      <c r="AA404" s="28">
        <v>781151.75820599997</v>
      </c>
      <c r="AB404" s="28">
        <v>2421004.1737600002</v>
      </c>
    </row>
    <row r="405" spans="1:28">
      <c r="A405" s="17">
        <v>404</v>
      </c>
      <c r="B405" s="17">
        <v>623991</v>
      </c>
      <c r="C405" s="17" t="s">
        <v>1044</v>
      </c>
      <c r="D405" s="17" t="s">
        <v>52</v>
      </c>
      <c r="E405" s="17" t="s">
        <v>2056</v>
      </c>
      <c r="F405" s="17" t="s">
        <v>1350</v>
      </c>
      <c r="G405" s="17" t="s">
        <v>2057</v>
      </c>
      <c r="H405" s="17" t="s">
        <v>69</v>
      </c>
      <c r="I405" s="17">
        <v>20260</v>
      </c>
      <c r="J405" s="17" t="s">
        <v>54</v>
      </c>
      <c r="K405" s="17" t="s">
        <v>63</v>
      </c>
      <c r="L405" s="17" t="s">
        <v>58</v>
      </c>
      <c r="M405" s="17" t="s">
        <v>756</v>
      </c>
      <c r="N405" s="17" t="s">
        <v>58</v>
      </c>
      <c r="O405" s="17" t="s">
        <v>756</v>
      </c>
      <c r="P405" s="17" t="s">
        <v>58</v>
      </c>
      <c r="Q405" s="17" t="s">
        <v>756</v>
      </c>
      <c r="R405" s="17" t="s">
        <v>58</v>
      </c>
      <c r="S405" s="17" t="s">
        <v>756</v>
      </c>
      <c r="T405" s="17">
        <v>0</v>
      </c>
      <c r="U405" s="18">
        <v>0</v>
      </c>
      <c r="V405" s="17" t="s">
        <v>2058</v>
      </c>
      <c r="X405" s="17" t="s">
        <v>64</v>
      </c>
      <c r="Y405" s="17" t="s">
        <v>198</v>
      </c>
      <c r="Z405" s="17" t="s">
        <v>712</v>
      </c>
      <c r="AA405" s="28">
        <v>781432.10125800001</v>
      </c>
      <c r="AB405" s="28">
        <v>2420387.58127</v>
      </c>
    </row>
    <row r="406" spans="1:28">
      <c r="A406" s="17">
        <v>405</v>
      </c>
      <c r="B406" s="17">
        <v>623991</v>
      </c>
      <c r="C406" s="17" t="s">
        <v>1044</v>
      </c>
      <c r="D406" s="17" t="s">
        <v>52</v>
      </c>
      <c r="E406" s="17" t="s">
        <v>2059</v>
      </c>
      <c r="F406" s="17" t="s">
        <v>1350</v>
      </c>
      <c r="G406" s="17" t="s">
        <v>2060</v>
      </c>
      <c r="H406" s="17" t="s">
        <v>104</v>
      </c>
      <c r="I406" s="17">
        <v>20255</v>
      </c>
      <c r="J406" s="17" t="s">
        <v>54</v>
      </c>
      <c r="K406" s="17" t="s">
        <v>78</v>
      </c>
      <c r="L406" s="17" t="s">
        <v>56</v>
      </c>
      <c r="M406" s="17" t="s">
        <v>482</v>
      </c>
      <c r="N406" s="17" t="s">
        <v>56</v>
      </c>
      <c r="O406" s="17" t="s">
        <v>776</v>
      </c>
      <c r="P406" s="17" t="s">
        <v>58</v>
      </c>
      <c r="Q406" s="17" t="s">
        <v>59</v>
      </c>
      <c r="R406" s="17" t="s">
        <v>20</v>
      </c>
      <c r="S406" s="17" t="s">
        <v>2061</v>
      </c>
      <c r="T406" s="17">
        <v>1714</v>
      </c>
      <c r="U406" s="18">
        <v>0</v>
      </c>
      <c r="V406" s="17" t="s">
        <v>2062</v>
      </c>
      <c r="W406" s="17" t="s">
        <v>2063</v>
      </c>
      <c r="X406" s="17" t="s">
        <v>67</v>
      </c>
      <c r="Y406" s="17" t="s">
        <v>198</v>
      </c>
      <c r="Z406" s="17" t="s">
        <v>712</v>
      </c>
      <c r="AA406" s="28">
        <v>782865.20120000001</v>
      </c>
      <c r="AB406" s="28">
        <v>2421918.9802199998</v>
      </c>
    </row>
    <row r="407" spans="1:28">
      <c r="A407" s="17">
        <v>406</v>
      </c>
      <c r="B407" s="17">
        <v>623991</v>
      </c>
      <c r="C407" s="17" t="s">
        <v>1044</v>
      </c>
      <c r="D407" s="17" t="s">
        <v>52</v>
      </c>
      <c r="E407" s="17" t="s">
        <v>2064</v>
      </c>
      <c r="F407" s="17" t="s">
        <v>1350</v>
      </c>
      <c r="G407" s="17" t="s">
        <v>2065</v>
      </c>
      <c r="H407" s="17" t="s">
        <v>104</v>
      </c>
      <c r="I407" s="17">
        <v>20250</v>
      </c>
      <c r="J407" s="17" t="s">
        <v>54</v>
      </c>
      <c r="K407" s="17" t="s">
        <v>88</v>
      </c>
      <c r="L407" s="17" t="s">
        <v>56</v>
      </c>
      <c r="M407" s="17" t="s">
        <v>740</v>
      </c>
      <c r="N407" s="17" t="s">
        <v>58</v>
      </c>
      <c r="O407" s="17" t="s">
        <v>740</v>
      </c>
      <c r="P407" s="17" t="s">
        <v>56</v>
      </c>
      <c r="Q407" s="17" t="s">
        <v>772</v>
      </c>
      <c r="R407" s="17" t="s">
        <v>20</v>
      </c>
      <c r="S407" s="17" t="s">
        <v>2066</v>
      </c>
      <c r="T407" s="17">
        <v>202</v>
      </c>
      <c r="U407" s="18">
        <v>4499708030</v>
      </c>
      <c r="V407" s="17" t="s">
        <v>2067</v>
      </c>
      <c r="X407" s="17" t="s">
        <v>67</v>
      </c>
      <c r="Y407" s="17" t="s">
        <v>198</v>
      </c>
      <c r="Z407" s="17" t="s">
        <v>712</v>
      </c>
      <c r="AA407" s="28">
        <v>782105.984039</v>
      </c>
      <c r="AB407" s="28">
        <v>2421024.87133</v>
      </c>
    </row>
    <row r="408" spans="1:28">
      <c r="A408" s="17">
        <v>407</v>
      </c>
      <c r="B408" s="17">
        <v>624411</v>
      </c>
      <c r="C408" s="17" t="s">
        <v>1044</v>
      </c>
      <c r="D408" s="17" t="s">
        <v>52</v>
      </c>
      <c r="E408" s="17" t="s">
        <v>1591</v>
      </c>
      <c r="F408" s="17" t="s">
        <v>1046</v>
      </c>
      <c r="H408" s="17" t="s">
        <v>69</v>
      </c>
      <c r="I408" s="17">
        <v>20190</v>
      </c>
      <c r="J408" s="17" t="s">
        <v>54</v>
      </c>
      <c r="K408" s="17" t="s">
        <v>88</v>
      </c>
      <c r="L408" s="17" t="s">
        <v>56</v>
      </c>
      <c r="M408" s="17" t="s">
        <v>871</v>
      </c>
      <c r="N408" s="17" t="s">
        <v>56</v>
      </c>
      <c r="O408" s="17" t="s">
        <v>776</v>
      </c>
      <c r="P408" s="17" t="s">
        <v>20</v>
      </c>
      <c r="Q408" s="17" t="s">
        <v>1032</v>
      </c>
      <c r="R408" s="17" t="s">
        <v>20</v>
      </c>
      <c r="S408" s="17" t="s">
        <v>59</v>
      </c>
      <c r="T408" s="17">
        <v>108</v>
      </c>
      <c r="U408" s="18">
        <v>0</v>
      </c>
      <c r="V408" s="17" t="s">
        <v>2068</v>
      </c>
      <c r="X408" s="17" t="s">
        <v>67</v>
      </c>
      <c r="Y408" s="17" t="s">
        <v>198</v>
      </c>
      <c r="Z408" s="17" t="s">
        <v>712</v>
      </c>
      <c r="AA408" s="28">
        <v>782368.66524999996</v>
      </c>
      <c r="AB408" s="28">
        <v>2422281.3825400001</v>
      </c>
    </row>
    <row r="409" spans="1:28">
      <c r="A409" s="17">
        <v>408</v>
      </c>
      <c r="B409" s="17">
        <v>624411</v>
      </c>
      <c r="C409" s="17" t="s">
        <v>1044</v>
      </c>
      <c r="D409" s="17" t="s">
        <v>52</v>
      </c>
      <c r="E409" s="17" t="s">
        <v>2069</v>
      </c>
      <c r="F409" s="17" t="s">
        <v>1046</v>
      </c>
      <c r="H409" s="17" t="s">
        <v>104</v>
      </c>
      <c r="I409" s="17">
        <v>20297</v>
      </c>
      <c r="J409" s="17" t="s">
        <v>54</v>
      </c>
      <c r="K409" s="17" t="s">
        <v>55</v>
      </c>
      <c r="L409" s="17" t="s">
        <v>56</v>
      </c>
      <c r="M409" s="17" t="s">
        <v>747</v>
      </c>
      <c r="N409" s="17" t="s">
        <v>20</v>
      </c>
      <c r="O409" s="17" t="s">
        <v>733</v>
      </c>
      <c r="P409" s="17" t="s">
        <v>56</v>
      </c>
      <c r="Q409" s="17" t="s">
        <v>711</v>
      </c>
      <c r="R409" s="17" t="s">
        <v>20</v>
      </c>
      <c r="S409" s="17" t="s">
        <v>748</v>
      </c>
      <c r="T409" s="17">
        <v>0</v>
      </c>
      <c r="U409" s="18">
        <v>4491515648</v>
      </c>
      <c r="X409" s="17" t="s">
        <v>60</v>
      </c>
      <c r="Y409" s="17" t="s">
        <v>198</v>
      </c>
      <c r="Z409" s="17" t="s">
        <v>712</v>
      </c>
      <c r="AA409" s="28">
        <v>781884.64756900002</v>
      </c>
      <c r="AB409" s="28">
        <v>2419387.96887</v>
      </c>
    </row>
    <row r="410" spans="1:28">
      <c r="A410" s="17">
        <v>409</v>
      </c>
      <c r="B410" s="17">
        <v>624411</v>
      </c>
      <c r="C410" s="17" t="s">
        <v>1044</v>
      </c>
      <c r="D410" s="17" t="s">
        <v>52</v>
      </c>
      <c r="E410" s="17" t="s">
        <v>2070</v>
      </c>
      <c r="F410" s="17" t="s">
        <v>1046</v>
      </c>
      <c r="H410" s="17" t="s">
        <v>104</v>
      </c>
      <c r="I410" s="17">
        <v>20267</v>
      </c>
      <c r="J410" s="17" t="s">
        <v>54</v>
      </c>
      <c r="K410" s="17" t="s">
        <v>63</v>
      </c>
      <c r="L410" s="17" t="s">
        <v>20</v>
      </c>
      <c r="M410" s="17" t="s">
        <v>84</v>
      </c>
      <c r="N410" s="17" t="s">
        <v>56</v>
      </c>
      <c r="O410" s="17" t="s">
        <v>381</v>
      </c>
      <c r="P410" s="17" t="s">
        <v>20</v>
      </c>
      <c r="Q410" s="17" t="s">
        <v>743</v>
      </c>
      <c r="R410" s="17" t="s">
        <v>20</v>
      </c>
      <c r="S410" s="17" t="s">
        <v>767</v>
      </c>
      <c r="T410" s="17">
        <v>0</v>
      </c>
      <c r="U410" s="18">
        <v>0</v>
      </c>
      <c r="X410" s="17" t="s">
        <v>60</v>
      </c>
      <c r="Y410" s="17" t="s">
        <v>198</v>
      </c>
      <c r="Z410" s="17" t="s">
        <v>712</v>
      </c>
      <c r="AA410" s="28">
        <v>781516.98801099998</v>
      </c>
      <c r="AB410" s="28">
        <v>2420602.8953499999</v>
      </c>
    </row>
    <row r="411" spans="1:28">
      <c r="A411" s="17">
        <v>410</v>
      </c>
      <c r="B411" s="17">
        <v>624411</v>
      </c>
      <c r="C411" s="17" t="s">
        <v>1044</v>
      </c>
      <c r="D411" s="17" t="s">
        <v>52</v>
      </c>
      <c r="E411" s="17" t="s">
        <v>2071</v>
      </c>
      <c r="F411" s="17" t="s">
        <v>1046</v>
      </c>
      <c r="H411" s="17" t="s">
        <v>104</v>
      </c>
      <c r="I411" s="17">
        <v>20298</v>
      </c>
      <c r="J411" s="17" t="s">
        <v>54</v>
      </c>
      <c r="K411" s="17" t="s">
        <v>63</v>
      </c>
      <c r="L411" s="17" t="s">
        <v>20</v>
      </c>
      <c r="M411" s="17" t="s">
        <v>735</v>
      </c>
      <c r="N411" s="17" t="s">
        <v>20</v>
      </c>
      <c r="O411" s="17" t="s">
        <v>731</v>
      </c>
      <c r="P411" s="17" t="s">
        <v>20</v>
      </c>
      <c r="Q411" s="17" t="s">
        <v>730</v>
      </c>
      <c r="R411" s="17" t="s">
        <v>20</v>
      </c>
      <c r="S411" s="17" t="s">
        <v>112</v>
      </c>
      <c r="T411" s="17">
        <v>405</v>
      </c>
      <c r="U411" s="18">
        <v>0</v>
      </c>
      <c r="V411" s="17" t="s">
        <v>2072</v>
      </c>
      <c r="X411" s="17" t="s">
        <v>60</v>
      </c>
      <c r="Y411" s="17" t="s">
        <v>198</v>
      </c>
      <c r="Z411" s="17" t="s">
        <v>712</v>
      </c>
      <c r="AA411" s="28">
        <v>783062.20581499999</v>
      </c>
      <c r="AB411" s="28">
        <v>2419540.5642599999</v>
      </c>
    </row>
    <row r="412" spans="1:28">
      <c r="A412" s="17">
        <v>411</v>
      </c>
      <c r="B412" s="17">
        <v>624411</v>
      </c>
      <c r="C412" s="17" t="s">
        <v>1044</v>
      </c>
      <c r="D412" s="17" t="s">
        <v>52</v>
      </c>
      <c r="E412" s="17" t="s">
        <v>2073</v>
      </c>
      <c r="F412" s="17" t="s">
        <v>1046</v>
      </c>
      <c r="G412" s="17" t="s">
        <v>349</v>
      </c>
      <c r="H412" s="17" t="s">
        <v>104</v>
      </c>
      <c r="I412" s="17">
        <v>20296</v>
      </c>
      <c r="J412" s="17" t="s">
        <v>54</v>
      </c>
      <c r="K412" s="17" t="s">
        <v>55</v>
      </c>
      <c r="L412" s="17" t="s">
        <v>20</v>
      </c>
      <c r="M412" s="17" t="s">
        <v>754</v>
      </c>
      <c r="N412" s="17" t="s">
        <v>20</v>
      </c>
      <c r="O412" s="17" t="s">
        <v>734</v>
      </c>
      <c r="P412" s="17" t="s">
        <v>56</v>
      </c>
      <c r="Q412" s="17" t="s">
        <v>737</v>
      </c>
      <c r="R412" s="17" t="s">
        <v>20</v>
      </c>
      <c r="S412" s="17" t="s">
        <v>734</v>
      </c>
      <c r="T412" s="17">
        <v>0</v>
      </c>
      <c r="U412" s="18">
        <v>4499774831</v>
      </c>
      <c r="X412" s="17" t="s">
        <v>67</v>
      </c>
      <c r="Y412" s="17" t="s">
        <v>198</v>
      </c>
      <c r="Z412" s="17" t="s">
        <v>712</v>
      </c>
      <c r="AA412" s="28">
        <v>783431.42695200001</v>
      </c>
      <c r="AB412" s="28">
        <v>2419191.3538500001</v>
      </c>
    </row>
    <row r="413" spans="1:28">
      <c r="A413" s="17">
        <v>412</v>
      </c>
      <c r="B413" s="17">
        <v>624411</v>
      </c>
      <c r="C413" s="17" t="s">
        <v>1044</v>
      </c>
      <c r="D413" s="17" t="s">
        <v>52</v>
      </c>
      <c r="E413" s="17" t="s">
        <v>2074</v>
      </c>
      <c r="F413" s="17" t="s">
        <v>1046</v>
      </c>
      <c r="H413" s="17" t="s">
        <v>104</v>
      </c>
      <c r="I413" s="17">
        <v>20298</v>
      </c>
      <c r="J413" s="17" t="s">
        <v>54</v>
      </c>
      <c r="K413" s="17" t="s">
        <v>63</v>
      </c>
      <c r="L413" s="17" t="s">
        <v>20</v>
      </c>
      <c r="M413" s="17" t="s">
        <v>758</v>
      </c>
      <c r="N413" s="17" t="s">
        <v>20</v>
      </c>
      <c r="O413" s="17" t="s">
        <v>735</v>
      </c>
      <c r="P413" s="17" t="s">
        <v>20</v>
      </c>
      <c r="Q413" s="17" t="s">
        <v>734</v>
      </c>
      <c r="R413" s="17" t="s">
        <v>20</v>
      </c>
      <c r="S413" s="17" t="s">
        <v>2075</v>
      </c>
      <c r="T413" s="17">
        <v>404</v>
      </c>
      <c r="U413" s="18">
        <v>4492343533</v>
      </c>
      <c r="X413" s="17" t="s">
        <v>64</v>
      </c>
      <c r="Y413" s="17" t="s">
        <v>198</v>
      </c>
      <c r="Z413" s="17" t="s">
        <v>712</v>
      </c>
      <c r="AA413" s="28">
        <v>783246.20661700005</v>
      </c>
      <c r="AB413" s="28">
        <v>2418992.8980700001</v>
      </c>
    </row>
    <row r="414" spans="1:28">
      <c r="A414" s="17">
        <v>413</v>
      </c>
      <c r="B414" s="17">
        <v>624411</v>
      </c>
      <c r="C414" s="17" t="s">
        <v>1044</v>
      </c>
      <c r="D414" s="17" t="s">
        <v>52</v>
      </c>
      <c r="E414" s="17" t="s">
        <v>2076</v>
      </c>
      <c r="F414" s="17" t="s">
        <v>1046</v>
      </c>
      <c r="H414" s="17" t="s">
        <v>104</v>
      </c>
      <c r="I414" s="17">
        <v>20264</v>
      </c>
      <c r="J414" s="17" t="s">
        <v>54</v>
      </c>
      <c r="K414" s="17" t="s">
        <v>55</v>
      </c>
      <c r="L414" s="17" t="s">
        <v>20</v>
      </c>
      <c r="M414" s="17" t="s">
        <v>2077</v>
      </c>
      <c r="N414" s="17" t="s">
        <v>20</v>
      </c>
      <c r="O414" s="17" t="s">
        <v>2078</v>
      </c>
      <c r="P414" s="17" t="s">
        <v>20</v>
      </c>
      <c r="Q414" s="17" t="s">
        <v>2079</v>
      </c>
      <c r="R414" s="17" t="s">
        <v>20</v>
      </c>
      <c r="S414" s="17" t="s">
        <v>742</v>
      </c>
      <c r="T414" s="17">
        <v>110</v>
      </c>
      <c r="U414" s="18">
        <v>4492252343</v>
      </c>
      <c r="X414" s="17" t="s">
        <v>60</v>
      </c>
      <c r="Y414" s="17" t="s">
        <v>198</v>
      </c>
      <c r="Z414" s="17" t="s">
        <v>712</v>
      </c>
      <c r="AA414" s="28">
        <v>782439.35386499995</v>
      </c>
      <c r="AB414" s="28">
        <v>2420322.7301599998</v>
      </c>
    </row>
    <row r="415" spans="1:28">
      <c r="A415" s="17">
        <v>414</v>
      </c>
      <c r="B415" s="17">
        <v>624112</v>
      </c>
      <c r="C415" s="17" t="s">
        <v>1044</v>
      </c>
      <c r="D415" s="17" t="s">
        <v>1008</v>
      </c>
      <c r="E415" s="17" t="s">
        <v>2080</v>
      </c>
      <c r="F415" s="17" t="s">
        <v>1149</v>
      </c>
      <c r="G415" s="17" t="s">
        <v>1015</v>
      </c>
      <c r="H415" s="17" t="s">
        <v>104</v>
      </c>
      <c r="I415" s="17">
        <v>20260</v>
      </c>
      <c r="J415" s="17" t="s">
        <v>54</v>
      </c>
      <c r="K415" s="17" t="s">
        <v>78</v>
      </c>
      <c r="L415" s="17" t="s">
        <v>20</v>
      </c>
      <c r="M415" s="17" t="s">
        <v>59</v>
      </c>
      <c r="N415" s="17" t="s">
        <v>56</v>
      </c>
      <c r="O415" s="17" t="s">
        <v>726</v>
      </c>
      <c r="P415" s="17" t="s">
        <v>142</v>
      </c>
      <c r="Q415" s="17" t="s">
        <v>2032</v>
      </c>
      <c r="R415" s="17" t="s">
        <v>20</v>
      </c>
      <c r="S415" s="17" t="s">
        <v>2081</v>
      </c>
      <c r="T415" s="17">
        <v>0</v>
      </c>
      <c r="U415" s="18">
        <v>4491506166</v>
      </c>
      <c r="X415" s="17" t="s">
        <v>60</v>
      </c>
      <c r="Y415" s="17" t="s">
        <v>198</v>
      </c>
      <c r="Z415" s="17" t="s">
        <v>712</v>
      </c>
      <c r="AA415" s="28">
        <v>781511.39294100006</v>
      </c>
      <c r="AB415" s="28">
        <v>2420912.3562599998</v>
      </c>
    </row>
    <row r="416" spans="1:28">
      <c r="A416" s="17">
        <v>415</v>
      </c>
      <c r="B416" s="17">
        <v>624112</v>
      </c>
      <c r="C416" s="17" t="s">
        <v>1044</v>
      </c>
      <c r="D416" s="17" t="s">
        <v>1008</v>
      </c>
      <c r="E416" s="17" t="s">
        <v>2082</v>
      </c>
      <c r="F416" s="17" t="s">
        <v>1149</v>
      </c>
      <c r="G416" s="17" t="s">
        <v>1097</v>
      </c>
      <c r="H416" s="17" t="s">
        <v>104</v>
      </c>
      <c r="I416" s="17">
        <v>20264</v>
      </c>
      <c r="J416" s="17" t="s">
        <v>54</v>
      </c>
      <c r="K416" s="17" t="s">
        <v>63</v>
      </c>
      <c r="L416" s="17" t="s">
        <v>20</v>
      </c>
      <c r="M416" s="17" t="s">
        <v>737</v>
      </c>
      <c r="N416" s="17" t="s">
        <v>56</v>
      </c>
      <c r="O416" s="17" t="s">
        <v>811</v>
      </c>
      <c r="P416" s="17" t="s">
        <v>56</v>
      </c>
      <c r="Q416" s="17" t="s">
        <v>686</v>
      </c>
      <c r="R416" s="17" t="s">
        <v>56</v>
      </c>
      <c r="S416" s="17" t="s">
        <v>765</v>
      </c>
      <c r="T416" s="17">
        <v>0</v>
      </c>
      <c r="U416" s="18">
        <v>0</v>
      </c>
      <c r="X416" s="17" t="s">
        <v>64</v>
      </c>
      <c r="Y416" s="17" t="s">
        <v>198</v>
      </c>
      <c r="Z416" s="17" t="s">
        <v>712</v>
      </c>
      <c r="AA416" s="28">
        <v>783721.38527099998</v>
      </c>
      <c r="AB416" s="28">
        <v>2420715.1030000001</v>
      </c>
    </row>
    <row r="417" spans="1:28">
      <c r="A417" s="17">
        <v>416</v>
      </c>
      <c r="B417" s="17">
        <v>624122</v>
      </c>
      <c r="C417" s="17" t="s">
        <v>1044</v>
      </c>
      <c r="D417" s="17" t="s">
        <v>1008</v>
      </c>
      <c r="E417" s="17" t="s">
        <v>2083</v>
      </c>
      <c r="F417" s="17" t="s">
        <v>1153</v>
      </c>
      <c r="G417" s="17" t="s">
        <v>2084</v>
      </c>
      <c r="H417" s="17" t="s">
        <v>104</v>
      </c>
      <c r="I417" s="17">
        <v>20260</v>
      </c>
      <c r="J417" s="17" t="s">
        <v>54</v>
      </c>
      <c r="K417" s="17" t="s">
        <v>63</v>
      </c>
      <c r="L417" s="17" t="s">
        <v>142</v>
      </c>
      <c r="M417" s="17" t="s">
        <v>2032</v>
      </c>
      <c r="N417" s="17" t="s">
        <v>20</v>
      </c>
      <c r="O417" s="17" t="s">
        <v>2081</v>
      </c>
      <c r="P417" s="17" t="s">
        <v>20</v>
      </c>
      <c r="Q417" s="17" t="s">
        <v>59</v>
      </c>
      <c r="R417" s="17" t="s">
        <v>56</v>
      </c>
      <c r="S417" s="17" t="s">
        <v>726</v>
      </c>
      <c r="T417" s="17">
        <v>0</v>
      </c>
      <c r="U417" s="18">
        <v>0</v>
      </c>
      <c r="X417" s="17" t="s">
        <v>60</v>
      </c>
      <c r="Y417" s="17" t="s">
        <v>198</v>
      </c>
      <c r="Z417" s="17" t="s">
        <v>712</v>
      </c>
      <c r="AA417" s="28">
        <v>781556.95441899996</v>
      </c>
      <c r="AB417" s="28">
        <v>2421002.9953800002</v>
      </c>
    </row>
    <row r="418" spans="1:28">
      <c r="A418" s="17">
        <v>417</v>
      </c>
      <c r="B418" s="17">
        <v>624412</v>
      </c>
      <c r="C418" s="17" t="s">
        <v>1044</v>
      </c>
      <c r="D418" s="17" t="s">
        <v>1008</v>
      </c>
      <c r="E418" s="17" t="s">
        <v>2085</v>
      </c>
      <c r="F418" s="17" t="s">
        <v>1123</v>
      </c>
      <c r="G418" s="17" t="s">
        <v>2086</v>
      </c>
      <c r="H418" s="17" t="s">
        <v>808</v>
      </c>
      <c r="I418" s="17">
        <v>20267</v>
      </c>
      <c r="J418" s="17" t="s">
        <v>54</v>
      </c>
      <c r="K418" s="17" t="s">
        <v>88</v>
      </c>
      <c r="L418" s="17" t="s">
        <v>58</v>
      </c>
      <c r="M418" s="17" t="s">
        <v>965</v>
      </c>
      <c r="N418" s="17" t="s">
        <v>20</v>
      </c>
      <c r="O418" s="17" t="s">
        <v>59</v>
      </c>
      <c r="P418" s="17" t="s">
        <v>20</v>
      </c>
      <c r="Q418" s="17" t="s">
        <v>752</v>
      </c>
      <c r="R418" s="17" t="s">
        <v>20</v>
      </c>
      <c r="S418" s="17" t="s">
        <v>752</v>
      </c>
      <c r="T418" s="17">
        <v>0</v>
      </c>
      <c r="U418" s="18">
        <v>0</v>
      </c>
      <c r="V418" s="17" t="s">
        <v>2087</v>
      </c>
      <c r="W418" s="17" t="s">
        <v>2088</v>
      </c>
      <c r="X418" s="17" t="s">
        <v>67</v>
      </c>
      <c r="Y418" s="17" t="s">
        <v>198</v>
      </c>
      <c r="Z418" s="17" t="s">
        <v>712</v>
      </c>
      <c r="AA418" s="28">
        <v>781758.51190699998</v>
      </c>
      <c r="AB418" s="28">
        <v>2420669.4061400001</v>
      </c>
    </row>
    <row r="419" spans="1:28">
      <c r="A419" s="17">
        <v>418</v>
      </c>
      <c r="B419" s="17">
        <v>624412</v>
      </c>
      <c r="C419" s="17" t="s">
        <v>1044</v>
      </c>
      <c r="D419" s="17" t="s">
        <v>1008</v>
      </c>
      <c r="E419" s="17" t="s">
        <v>2089</v>
      </c>
      <c r="F419" s="17" t="s">
        <v>1123</v>
      </c>
      <c r="H419" s="17" t="s">
        <v>104</v>
      </c>
      <c r="I419" s="17">
        <v>20297</v>
      </c>
      <c r="J419" s="17" t="s">
        <v>54</v>
      </c>
      <c r="K419" s="17" t="s">
        <v>55</v>
      </c>
      <c r="L419" s="17" t="s">
        <v>56</v>
      </c>
      <c r="M419" s="17" t="s">
        <v>711</v>
      </c>
      <c r="N419" s="17" t="s">
        <v>20</v>
      </c>
      <c r="O419" s="17" t="s">
        <v>2090</v>
      </c>
      <c r="P419" s="17" t="s">
        <v>20</v>
      </c>
      <c r="Q419" s="17" t="s">
        <v>748</v>
      </c>
      <c r="R419" s="17" t="s">
        <v>20</v>
      </c>
      <c r="S419" s="17" t="s">
        <v>746</v>
      </c>
      <c r="T419" s="17">
        <v>459</v>
      </c>
      <c r="U419" s="18">
        <v>4499777799</v>
      </c>
      <c r="X419" s="17" t="s">
        <v>67</v>
      </c>
      <c r="Y419" s="17" t="s">
        <v>198</v>
      </c>
      <c r="Z419" s="17" t="s">
        <v>712</v>
      </c>
      <c r="AA419" s="28">
        <v>781836.843245</v>
      </c>
      <c r="AB419" s="28">
        <v>2419028.9506799998</v>
      </c>
    </row>
    <row r="420" spans="1:28">
      <c r="A420" s="17">
        <v>419</v>
      </c>
      <c r="B420" s="17">
        <v>624412</v>
      </c>
      <c r="C420" s="17" t="s">
        <v>1044</v>
      </c>
      <c r="D420" s="17" t="s">
        <v>1008</v>
      </c>
      <c r="E420" s="17" t="s">
        <v>2091</v>
      </c>
      <c r="F420" s="17" t="s">
        <v>1123</v>
      </c>
      <c r="H420" s="17" t="s">
        <v>104</v>
      </c>
      <c r="I420" s="17">
        <v>20256</v>
      </c>
      <c r="J420" s="17" t="s">
        <v>54</v>
      </c>
      <c r="K420" s="17" t="s">
        <v>63</v>
      </c>
      <c r="L420" s="17" t="s">
        <v>20</v>
      </c>
      <c r="M420" s="17" t="s">
        <v>766</v>
      </c>
      <c r="N420" s="17" t="s">
        <v>20</v>
      </c>
      <c r="O420" s="17" t="s">
        <v>762</v>
      </c>
      <c r="P420" s="17" t="s">
        <v>56</v>
      </c>
      <c r="Q420" s="17" t="s">
        <v>765</v>
      </c>
      <c r="R420" s="17" t="s">
        <v>20</v>
      </c>
      <c r="S420" s="17" t="s">
        <v>763</v>
      </c>
      <c r="T420" s="17">
        <v>151</v>
      </c>
      <c r="U420" s="18">
        <v>4491195697</v>
      </c>
      <c r="V420" s="17" t="s">
        <v>2092</v>
      </c>
      <c r="X420" s="17" t="s">
        <v>64</v>
      </c>
      <c r="Y420" s="17" t="s">
        <v>198</v>
      </c>
      <c r="Z420" s="17" t="s">
        <v>712</v>
      </c>
      <c r="AA420" s="28">
        <v>783281.02425300004</v>
      </c>
      <c r="AB420" s="28">
        <v>2421078.5194299999</v>
      </c>
    </row>
    <row r="421" spans="1:28">
      <c r="A421" s="17">
        <v>420</v>
      </c>
      <c r="B421" s="17">
        <v>624412</v>
      </c>
      <c r="C421" s="17" t="s">
        <v>1044</v>
      </c>
      <c r="D421" s="17" t="s">
        <v>1008</v>
      </c>
      <c r="E421" s="17" t="s">
        <v>2093</v>
      </c>
      <c r="F421" s="17" t="s">
        <v>1123</v>
      </c>
      <c r="G421" s="17" t="s">
        <v>1035</v>
      </c>
      <c r="H421" s="17" t="s">
        <v>104</v>
      </c>
      <c r="I421" s="17">
        <v>20250</v>
      </c>
      <c r="J421" s="17" t="s">
        <v>54</v>
      </c>
      <c r="K421" s="17" t="s">
        <v>55</v>
      </c>
      <c r="L421" s="17" t="s">
        <v>20</v>
      </c>
      <c r="M421" s="17" t="s">
        <v>246</v>
      </c>
      <c r="N421" s="17" t="s">
        <v>20</v>
      </c>
      <c r="O421" s="17" t="s">
        <v>123</v>
      </c>
      <c r="P421" s="17" t="s">
        <v>20</v>
      </c>
      <c r="Q421" s="17" t="s">
        <v>727</v>
      </c>
      <c r="R421" s="17" t="s">
        <v>142</v>
      </c>
      <c r="S421" s="17" t="s">
        <v>2032</v>
      </c>
      <c r="T421" s="17">
        <v>206</v>
      </c>
      <c r="U421" s="18">
        <v>0</v>
      </c>
      <c r="V421" s="17" t="s">
        <v>2094</v>
      </c>
      <c r="X421" s="17" t="s">
        <v>67</v>
      </c>
      <c r="Y421" s="17" t="s">
        <v>198</v>
      </c>
      <c r="Z421" s="17" t="s">
        <v>712</v>
      </c>
      <c r="AA421" s="28">
        <v>781539.16220000002</v>
      </c>
      <c r="AB421" s="28">
        <v>2421449.3766999999</v>
      </c>
    </row>
    <row r="422" spans="1:28">
      <c r="A422" s="17">
        <v>421</v>
      </c>
      <c r="B422" s="17">
        <v>624412</v>
      </c>
      <c r="C422" s="17" t="s">
        <v>1044</v>
      </c>
      <c r="D422" s="17" t="s">
        <v>1008</v>
      </c>
      <c r="E422" s="17" t="s">
        <v>2071</v>
      </c>
      <c r="F422" s="17" t="s">
        <v>1123</v>
      </c>
      <c r="H422" s="17" t="s">
        <v>104</v>
      </c>
      <c r="I422" s="17">
        <v>20298</v>
      </c>
      <c r="J422" s="17" t="s">
        <v>54</v>
      </c>
      <c r="K422" s="17" t="s">
        <v>63</v>
      </c>
      <c r="L422" s="17" t="s">
        <v>20</v>
      </c>
      <c r="M422" s="17" t="s">
        <v>735</v>
      </c>
      <c r="N422" s="17" t="s">
        <v>20</v>
      </c>
      <c r="O422" s="17" t="s">
        <v>731</v>
      </c>
      <c r="P422" s="17" t="s">
        <v>20</v>
      </c>
      <c r="Q422" s="17" t="s">
        <v>730</v>
      </c>
      <c r="R422" s="17" t="s">
        <v>20</v>
      </c>
      <c r="S422" s="17" t="s">
        <v>112</v>
      </c>
      <c r="T422" s="17">
        <v>405</v>
      </c>
      <c r="U422" s="18">
        <v>0</v>
      </c>
      <c r="V422" s="17" t="s">
        <v>2072</v>
      </c>
      <c r="X422" s="17" t="s">
        <v>67</v>
      </c>
      <c r="Y422" s="17" t="s">
        <v>198</v>
      </c>
      <c r="Z422" s="17" t="s">
        <v>712</v>
      </c>
      <c r="AA422" s="28">
        <v>783062.20581499999</v>
      </c>
      <c r="AB422" s="28">
        <v>2419540.5642599999</v>
      </c>
    </row>
    <row r="423" spans="1:28">
      <c r="A423" s="17">
        <v>422</v>
      </c>
      <c r="B423" s="17">
        <v>624191</v>
      </c>
      <c r="C423" s="17" t="s">
        <v>1044</v>
      </c>
      <c r="D423" s="17" t="s">
        <v>52</v>
      </c>
      <c r="E423" s="17" t="s">
        <v>2095</v>
      </c>
      <c r="F423" s="17" t="s">
        <v>1064</v>
      </c>
      <c r="G423" s="17" t="s">
        <v>1841</v>
      </c>
      <c r="H423" s="17" t="s">
        <v>104</v>
      </c>
      <c r="I423" s="17">
        <v>20297</v>
      </c>
      <c r="J423" s="17" t="s">
        <v>54</v>
      </c>
      <c r="K423" s="17" t="s">
        <v>55</v>
      </c>
      <c r="L423" s="17" t="s">
        <v>56</v>
      </c>
      <c r="M423" s="17" t="s">
        <v>747</v>
      </c>
      <c r="N423" s="17" t="s">
        <v>20</v>
      </c>
      <c r="O423" s="17" t="s">
        <v>746</v>
      </c>
      <c r="P423" s="17" t="s">
        <v>20</v>
      </c>
      <c r="Q423" s="17" t="s">
        <v>714</v>
      </c>
      <c r="R423" s="17" t="s">
        <v>20</v>
      </c>
      <c r="S423" s="17" t="s">
        <v>2096</v>
      </c>
      <c r="T423" s="17">
        <v>223</v>
      </c>
      <c r="U423" s="18">
        <v>0</v>
      </c>
      <c r="V423" s="17" t="s">
        <v>2097</v>
      </c>
      <c r="X423" s="17" t="s">
        <v>60</v>
      </c>
      <c r="Y423" s="17" t="s">
        <v>198</v>
      </c>
      <c r="Z423" s="17" t="s">
        <v>712</v>
      </c>
      <c r="AA423" s="28">
        <v>781635.196031</v>
      </c>
      <c r="AB423" s="28">
        <v>2419384.8899099999</v>
      </c>
    </row>
    <row r="424" spans="1:28">
      <c r="A424" s="17">
        <v>423</v>
      </c>
      <c r="B424" s="17">
        <v>624191</v>
      </c>
      <c r="C424" s="17" t="s">
        <v>1044</v>
      </c>
      <c r="D424" s="17" t="s">
        <v>52</v>
      </c>
      <c r="E424" s="17" t="s">
        <v>2098</v>
      </c>
      <c r="F424" s="17" t="s">
        <v>1064</v>
      </c>
      <c r="G424" s="17" t="s">
        <v>2099</v>
      </c>
      <c r="H424" s="17" t="s">
        <v>104</v>
      </c>
      <c r="I424" s="17">
        <v>20297</v>
      </c>
      <c r="J424" s="17" t="s">
        <v>54</v>
      </c>
      <c r="K424" s="17" t="s">
        <v>63</v>
      </c>
      <c r="L424" s="17" t="s">
        <v>20</v>
      </c>
      <c r="M424" s="17" t="s">
        <v>739</v>
      </c>
      <c r="N424" s="17" t="s">
        <v>56</v>
      </c>
      <c r="O424" s="17" t="s">
        <v>729</v>
      </c>
      <c r="P424" s="17" t="s">
        <v>58</v>
      </c>
      <c r="Q424" s="17" t="s">
        <v>2100</v>
      </c>
      <c r="R424" s="17" t="s">
        <v>20</v>
      </c>
      <c r="S424" s="17" t="s">
        <v>761</v>
      </c>
      <c r="T424" s="17">
        <v>100</v>
      </c>
      <c r="U424" s="18">
        <v>0</v>
      </c>
      <c r="X424" s="17" t="s">
        <v>64</v>
      </c>
      <c r="Y424" s="17" t="s">
        <v>198</v>
      </c>
      <c r="Z424" s="17" t="s">
        <v>712</v>
      </c>
      <c r="AA424" s="28">
        <v>782190.34428900003</v>
      </c>
      <c r="AB424" s="28">
        <v>2419480.84375</v>
      </c>
    </row>
    <row r="425" spans="1:28">
      <c r="A425" s="17">
        <v>424</v>
      </c>
      <c r="B425" s="17">
        <v>624191</v>
      </c>
      <c r="C425" s="17" t="s">
        <v>1044</v>
      </c>
      <c r="D425" s="17" t="s">
        <v>52</v>
      </c>
      <c r="E425" s="17" t="s">
        <v>2101</v>
      </c>
      <c r="F425" s="17" t="s">
        <v>1064</v>
      </c>
      <c r="G425" s="17" t="s">
        <v>2102</v>
      </c>
      <c r="H425" s="17" t="s">
        <v>104</v>
      </c>
      <c r="I425" s="17">
        <v>20250</v>
      </c>
      <c r="J425" s="17" t="s">
        <v>54</v>
      </c>
      <c r="K425" s="17" t="s">
        <v>55</v>
      </c>
      <c r="L425" s="17" t="s">
        <v>20</v>
      </c>
      <c r="M425" s="17" t="s">
        <v>769</v>
      </c>
      <c r="N425" s="17" t="s">
        <v>20</v>
      </c>
      <c r="O425" s="17" t="s">
        <v>810</v>
      </c>
      <c r="P425" s="17" t="s">
        <v>20</v>
      </c>
      <c r="Q425" s="17" t="s">
        <v>771</v>
      </c>
      <c r="R425" s="17" t="s">
        <v>20</v>
      </c>
      <c r="S425" s="17" t="s">
        <v>770</v>
      </c>
      <c r="T425" s="17">
        <v>503</v>
      </c>
      <c r="U425" s="18">
        <v>4491183526</v>
      </c>
      <c r="X425" s="17" t="s">
        <v>60</v>
      </c>
      <c r="Y425" s="17" t="s">
        <v>198</v>
      </c>
      <c r="Z425" s="17" t="s">
        <v>712</v>
      </c>
      <c r="AA425" s="28">
        <v>782634.05414999998</v>
      </c>
      <c r="AB425" s="28">
        <v>2420862.3218</v>
      </c>
    </row>
    <row r="426" spans="1:28">
      <c r="A426" s="17">
        <v>425</v>
      </c>
      <c r="B426" s="17">
        <v>624191</v>
      </c>
      <c r="C426" s="17" t="s">
        <v>1044</v>
      </c>
      <c r="D426" s="17" t="s">
        <v>52</v>
      </c>
      <c r="E426" s="17" t="s">
        <v>2103</v>
      </c>
      <c r="F426" s="17" t="s">
        <v>1064</v>
      </c>
      <c r="G426" s="17" t="s">
        <v>1089</v>
      </c>
      <c r="H426" s="17" t="s">
        <v>104</v>
      </c>
      <c r="I426" s="17">
        <v>20298</v>
      </c>
      <c r="J426" s="17" t="s">
        <v>54</v>
      </c>
      <c r="K426" s="17" t="s">
        <v>63</v>
      </c>
      <c r="L426" s="17" t="s">
        <v>20</v>
      </c>
      <c r="M426" s="17" t="s">
        <v>754</v>
      </c>
      <c r="N426" s="17" t="s">
        <v>20</v>
      </c>
      <c r="O426" s="17" t="s">
        <v>744</v>
      </c>
      <c r="P426" s="17" t="s">
        <v>20</v>
      </c>
      <c r="Q426" s="17" t="s">
        <v>753</v>
      </c>
      <c r="R426" s="17" t="s">
        <v>20</v>
      </c>
      <c r="S426" s="17" t="s">
        <v>2104</v>
      </c>
      <c r="T426" s="17">
        <v>219</v>
      </c>
      <c r="U426" s="18">
        <v>0</v>
      </c>
      <c r="X426" s="17" t="s">
        <v>64</v>
      </c>
      <c r="Y426" s="17" t="s">
        <v>198</v>
      </c>
      <c r="Z426" s="17" t="s">
        <v>712</v>
      </c>
      <c r="AA426" s="28">
        <v>782740.39433799998</v>
      </c>
      <c r="AB426" s="28">
        <v>2418989.0090999999</v>
      </c>
    </row>
    <row r="427" spans="1:28">
      <c r="A427" s="17">
        <v>426</v>
      </c>
      <c r="B427" s="17">
        <v>624191</v>
      </c>
      <c r="C427" s="17" t="s">
        <v>1044</v>
      </c>
      <c r="D427" s="17" t="s">
        <v>52</v>
      </c>
      <c r="E427" s="17" t="s">
        <v>1454</v>
      </c>
      <c r="F427" s="17" t="s">
        <v>1064</v>
      </c>
      <c r="G427" s="17" t="s">
        <v>2105</v>
      </c>
      <c r="H427" s="17" t="s">
        <v>104</v>
      </c>
      <c r="I427" s="17">
        <v>20266</v>
      </c>
      <c r="J427" s="17" t="s">
        <v>54</v>
      </c>
      <c r="K427" s="17" t="s">
        <v>55</v>
      </c>
      <c r="L427" s="17" t="s">
        <v>56</v>
      </c>
      <c r="M427" s="17" t="s">
        <v>170</v>
      </c>
      <c r="N427" s="17" t="s">
        <v>20</v>
      </c>
      <c r="O427" s="17" t="s">
        <v>741</v>
      </c>
      <c r="P427" s="17" t="s">
        <v>20</v>
      </c>
      <c r="Q427" s="17" t="s">
        <v>732</v>
      </c>
      <c r="R427" s="17" t="s">
        <v>20</v>
      </c>
      <c r="S427" s="17" t="s">
        <v>768</v>
      </c>
      <c r="T427" s="17">
        <v>2050</v>
      </c>
      <c r="U427" s="18">
        <v>4491710866</v>
      </c>
      <c r="X427" s="17" t="s">
        <v>64</v>
      </c>
      <c r="Y427" s="17" t="s">
        <v>198</v>
      </c>
      <c r="Z427" s="17" t="s">
        <v>712</v>
      </c>
      <c r="AA427" s="28">
        <v>781996.68366400001</v>
      </c>
      <c r="AB427" s="28">
        <v>2419854.95952</v>
      </c>
    </row>
    <row r="428" spans="1:28">
      <c r="A428" s="17">
        <v>427</v>
      </c>
      <c r="B428" s="17">
        <v>812310</v>
      </c>
      <c r="C428" s="17" t="s">
        <v>1044</v>
      </c>
      <c r="D428" s="17" t="s">
        <v>52</v>
      </c>
      <c r="E428" s="17" t="s">
        <v>2106</v>
      </c>
      <c r="F428" s="17" t="s">
        <v>1057</v>
      </c>
      <c r="G428" s="17" t="s">
        <v>2107</v>
      </c>
      <c r="H428" s="17" t="s">
        <v>104</v>
      </c>
      <c r="I428" s="17">
        <v>20298</v>
      </c>
      <c r="J428" s="17" t="s">
        <v>54</v>
      </c>
      <c r="K428" s="17" t="s">
        <v>55</v>
      </c>
      <c r="L428" s="17" t="s">
        <v>56</v>
      </c>
      <c r="M428" s="17" t="s">
        <v>170</v>
      </c>
      <c r="N428" s="17" t="s">
        <v>20</v>
      </c>
      <c r="O428" s="17" t="s">
        <v>753</v>
      </c>
      <c r="P428" s="17" t="s">
        <v>20</v>
      </c>
      <c r="Q428" s="17" t="s">
        <v>112</v>
      </c>
      <c r="R428" s="17" t="s">
        <v>20</v>
      </c>
      <c r="S428" s="17" t="s">
        <v>745</v>
      </c>
      <c r="T428" s="17">
        <v>804</v>
      </c>
      <c r="U428" s="18">
        <v>4499232307</v>
      </c>
      <c r="X428" s="17" t="s">
        <v>64</v>
      </c>
      <c r="Y428" s="17" t="s">
        <v>198</v>
      </c>
      <c r="Z428" s="17" t="s">
        <v>712</v>
      </c>
      <c r="AA428" s="28">
        <v>782781.08645800001</v>
      </c>
      <c r="AB428" s="28">
        <v>2419811.8762300001</v>
      </c>
    </row>
    <row r="429" spans="1:28">
      <c r="A429" s="17">
        <v>428</v>
      </c>
      <c r="B429" s="17">
        <v>813110</v>
      </c>
      <c r="C429" s="17" t="s">
        <v>1044</v>
      </c>
      <c r="D429" s="17" t="s">
        <v>52</v>
      </c>
      <c r="E429" s="17" t="s">
        <v>2108</v>
      </c>
      <c r="F429" s="17" t="s">
        <v>1069</v>
      </c>
      <c r="G429" s="17" t="s">
        <v>2109</v>
      </c>
      <c r="H429" s="17" t="s">
        <v>69</v>
      </c>
      <c r="I429" s="17">
        <v>20190</v>
      </c>
      <c r="J429" s="17" t="s">
        <v>54</v>
      </c>
      <c r="K429" s="17" t="s">
        <v>78</v>
      </c>
      <c r="L429" s="17" t="s">
        <v>56</v>
      </c>
      <c r="M429" s="17" t="s">
        <v>776</v>
      </c>
      <c r="N429" s="17" t="s">
        <v>20</v>
      </c>
      <c r="O429" s="17" t="s">
        <v>1032</v>
      </c>
      <c r="P429" s="17" t="s">
        <v>20</v>
      </c>
      <c r="Q429" s="17" t="s">
        <v>59</v>
      </c>
      <c r="R429" s="17" t="s">
        <v>20</v>
      </c>
      <c r="S429" s="17" t="s">
        <v>59</v>
      </c>
      <c r="T429" s="17">
        <v>108</v>
      </c>
      <c r="U429" s="18">
        <v>0</v>
      </c>
      <c r="V429" s="17" t="s">
        <v>2110</v>
      </c>
      <c r="W429" s="17" t="s">
        <v>2111</v>
      </c>
      <c r="X429" s="17" t="s">
        <v>67</v>
      </c>
      <c r="Y429" s="17" t="s">
        <v>198</v>
      </c>
      <c r="Z429" s="17" t="s">
        <v>712</v>
      </c>
      <c r="AA429" s="28">
        <v>782342.11671500001</v>
      </c>
      <c r="AB429" s="28">
        <v>2422337.8749099998</v>
      </c>
    </row>
    <row r="430" spans="1:28">
      <c r="A430" s="17">
        <v>429</v>
      </c>
      <c r="B430" s="17">
        <v>813110</v>
      </c>
      <c r="C430" s="17" t="s">
        <v>1044</v>
      </c>
      <c r="D430" s="17" t="s">
        <v>52</v>
      </c>
      <c r="E430" s="17" t="s">
        <v>2112</v>
      </c>
      <c r="F430" s="17" t="s">
        <v>1069</v>
      </c>
      <c r="G430" s="17" t="s">
        <v>2113</v>
      </c>
      <c r="H430" s="17" t="s">
        <v>104</v>
      </c>
      <c r="I430" s="17">
        <v>20298</v>
      </c>
      <c r="J430" s="17" t="s">
        <v>54</v>
      </c>
      <c r="K430" s="17" t="s">
        <v>55</v>
      </c>
      <c r="L430" s="17" t="s">
        <v>20</v>
      </c>
      <c r="M430" s="17" t="s">
        <v>744</v>
      </c>
      <c r="N430" s="17" t="s">
        <v>56</v>
      </c>
      <c r="O430" s="17" t="s">
        <v>170</v>
      </c>
      <c r="P430" s="17" t="s">
        <v>20</v>
      </c>
      <c r="Q430" s="17" t="s">
        <v>745</v>
      </c>
      <c r="R430" s="17" t="s">
        <v>20</v>
      </c>
      <c r="S430" s="17" t="s">
        <v>753</v>
      </c>
      <c r="T430" s="17">
        <v>93</v>
      </c>
      <c r="U430" s="18">
        <v>0</v>
      </c>
      <c r="V430" s="17" t="s">
        <v>2114</v>
      </c>
      <c r="W430" s="17" t="s">
        <v>2115</v>
      </c>
      <c r="X430" s="17" t="s">
        <v>67</v>
      </c>
      <c r="Y430" s="17" t="s">
        <v>198</v>
      </c>
      <c r="Z430" s="17" t="s">
        <v>712</v>
      </c>
      <c r="AA430" s="28">
        <v>782497.85904400004</v>
      </c>
      <c r="AB430" s="28">
        <v>2419794.4890200002</v>
      </c>
    </row>
    <row r="431" spans="1:28">
      <c r="A431" s="17">
        <v>430</v>
      </c>
      <c r="B431" s="17">
        <v>813230</v>
      </c>
      <c r="C431" s="17" t="s">
        <v>1044</v>
      </c>
      <c r="D431" s="17" t="s">
        <v>52</v>
      </c>
      <c r="E431" s="17" t="s">
        <v>2116</v>
      </c>
      <c r="F431" s="17" t="s">
        <v>1061</v>
      </c>
      <c r="H431" s="17" t="s">
        <v>104</v>
      </c>
      <c r="I431" s="17">
        <v>20267</v>
      </c>
      <c r="J431" s="17" t="s">
        <v>54</v>
      </c>
      <c r="K431" s="17" t="s">
        <v>55</v>
      </c>
      <c r="L431" s="17" t="s">
        <v>56</v>
      </c>
      <c r="M431" s="17" t="s">
        <v>381</v>
      </c>
      <c r="N431" s="17" t="s">
        <v>20</v>
      </c>
      <c r="O431" s="17" t="s">
        <v>2117</v>
      </c>
      <c r="P431" s="17" t="s">
        <v>20</v>
      </c>
      <c r="Q431" s="17" t="s">
        <v>75</v>
      </c>
      <c r="R431" s="17" t="s">
        <v>20</v>
      </c>
      <c r="S431" s="17" t="s">
        <v>2118</v>
      </c>
      <c r="T431" s="17">
        <v>0</v>
      </c>
      <c r="U431" s="18">
        <v>0</v>
      </c>
      <c r="X431" s="17" t="s">
        <v>60</v>
      </c>
      <c r="Y431" s="17" t="s">
        <v>198</v>
      </c>
      <c r="Z431" s="17" t="s">
        <v>712</v>
      </c>
      <c r="AA431" s="28">
        <v>781495.40638900001</v>
      </c>
      <c r="AB431" s="28">
        <v>2420743.8610700001</v>
      </c>
    </row>
    <row r="432" spans="1:28">
      <c r="A432" s="17">
        <v>431</v>
      </c>
      <c r="B432" s="17">
        <v>813230</v>
      </c>
      <c r="C432" s="17" t="s">
        <v>1044</v>
      </c>
      <c r="D432" s="17" t="s">
        <v>52</v>
      </c>
      <c r="E432" s="17" t="s">
        <v>2119</v>
      </c>
      <c r="F432" s="17" t="s">
        <v>1061</v>
      </c>
      <c r="G432" s="17" t="s">
        <v>2120</v>
      </c>
      <c r="H432" s="17" t="s">
        <v>104</v>
      </c>
      <c r="I432" s="17">
        <v>20250</v>
      </c>
      <c r="J432" s="17" t="s">
        <v>54</v>
      </c>
      <c r="K432" s="17" t="s">
        <v>63</v>
      </c>
      <c r="L432" s="17" t="s">
        <v>20</v>
      </c>
      <c r="M432" s="17" t="s">
        <v>457</v>
      </c>
      <c r="N432" s="17" t="s">
        <v>56</v>
      </c>
      <c r="O432" s="17" t="s">
        <v>500</v>
      </c>
      <c r="P432" s="17" t="s">
        <v>20</v>
      </c>
      <c r="Q432" s="17" t="s">
        <v>725</v>
      </c>
      <c r="R432" s="17" t="s">
        <v>20</v>
      </c>
      <c r="S432" s="17" t="s">
        <v>725</v>
      </c>
      <c r="T432" s="17">
        <v>102</v>
      </c>
      <c r="U432" s="18">
        <v>4491469157</v>
      </c>
      <c r="V432" s="17" t="s">
        <v>2121</v>
      </c>
      <c r="X432" s="17" t="s">
        <v>60</v>
      </c>
      <c r="Y432" s="17" t="s">
        <v>198</v>
      </c>
      <c r="Z432" s="17" t="s">
        <v>712</v>
      </c>
      <c r="AA432" s="28">
        <v>781932.62763200002</v>
      </c>
      <c r="AB432" s="28">
        <v>2421415.1282799998</v>
      </c>
    </row>
    <row r="433" spans="1:28">
      <c r="A433" s="17">
        <v>432</v>
      </c>
      <c r="B433" s="17">
        <v>813230</v>
      </c>
      <c r="C433" s="17" t="s">
        <v>1044</v>
      </c>
      <c r="D433" s="17" t="s">
        <v>52</v>
      </c>
      <c r="E433" s="17" t="s">
        <v>2122</v>
      </c>
      <c r="F433" s="17" t="s">
        <v>1061</v>
      </c>
      <c r="G433" s="17" t="s">
        <v>2122</v>
      </c>
      <c r="H433" s="17" t="s">
        <v>104</v>
      </c>
      <c r="I433" s="17">
        <v>20298</v>
      </c>
      <c r="J433" s="17" t="s">
        <v>54</v>
      </c>
      <c r="K433" s="17" t="s">
        <v>55</v>
      </c>
      <c r="L433" s="17" t="s">
        <v>20</v>
      </c>
      <c r="M433" s="17" t="s">
        <v>736</v>
      </c>
      <c r="N433" s="17" t="s">
        <v>20</v>
      </c>
      <c r="O433" s="17" t="s">
        <v>738</v>
      </c>
      <c r="P433" s="17" t="s">
        <v>56</v>
      </c>
      <c r="Q433" s="17" t="s">
        <v>729</v>
      </c>
      <c r="R433" s="17" t="s">
        <v>20</v>
      </c>
      <c r="S433" s="17" t="s">
        <v>760</v>
      </c>
      <c r="T433" s="17">
        <v>0</v>
      </c>
      <c r="U433" s="18">
        <v>0</v>
      </c>
      <c r="X433" s="17" t="s">
        <v>60</v>
      </c>
      <c r="Y433" s="17" t="s">
        <v>198</v>
      </c>
      <c r="Z433" s="17" t="s">
        <v>712</v>
      </c>
      <c r="AA433" s="28">
        <v>782255.48299699998</v>
      </c>
      <c r="AB433" s="28">
        <v>2419083.5978299999</v>
      </c>
    </row>
    <row r="434" spans="1:28">
      <c r="A434" s="17">
        <v>433</v>
      </c>
      <c r="B434" s="17">
        <v>624411</v>
      </c>
      <c r="C434" s="17" t="s">
        <v>1044</v>
      </c>
      <c r="D434" s="17" t="s">
        <v>52</v>
      </c>
      <c r="E434" s="17" t="s">
        <v>2123</v>
      </c>
      <c r="F434" s="17" t="s">
        <v>1046</v>
      </c>
      <c r="H434" s="17" t="s">
        <v>104</v>
      </c>
      <c r="I434" s="17">
        <v>20277</v>
      </c>
      <c r="J434" s="17" t="s">
        <v>54</v>
      </c>
      <c r="K434" s="17" t="s">
        <v>63</v>
      </c>
      <c r="L434" s="17" t="s">
        <v>56</v>
      </c>
      <c r="M434" s="17" t="s">
        <v>747</v>
      </c>
      <c r="N434" s="17" t="s">
        <v>20</v>
      </c>
      <c r="O434" s="17" t="s">
        <v>465</v>
      </c>
      <c r="P434" s="17" t="s">
        <v>20</v>
      </c>
      <c r="Q434" s="17" t="s">
        <v>715</v>
      </c>
      <c r="R434" s="17" t="s">
        <v>20</v>
      </c>
      <c r="S434" s="17" t="s">
        <v>775</v>
      </c>
      <c r="T434" s="17">
        <v>171</v>
      </c>
      <c r="U434" s="18">
        <v>0</v>
      </c>
      <c r="X434" s="17" t="s">
        <v>67</v>
      </c>
      <c r="Y434" s="17" t="s">
        <v>219</v>
      </c>
      <c r="Z434" s="17" t="s">
        <v>712</v>
      </c>
      <c r="AA434" s="28">
        <v>781035.53201700002</v>
      </c>
      <c r="AB434" s="28">
        <v>2419393.6929500001</v>
      </c>
    </row>
    <row r="435" spans="1:28">
      <c r="A435" s="17">
        <v>434</v>
      </c>
      <c r="B435" s="17">
        <v>624191</v>
      </c>
      <c r="C435" s="17" t="s">
        <v>1044</v>
      </c>
      <c r="D435" s="17" t="s">
        <v>52</v>
      </c>
      <c r="E435" s="17" t="s">
        <v>2124</v>
      </c>
      <c r="F435" s="17" t="s">
        <v>1064</v>
      </c>
      <c r="G435" s="17" t="s">
        <v>2125</v>
      </c>
      <c r="H435" s="17" t="s">
        <v>104</v>
      </c>
      <c r="I435" s="17">
        <v>20270</v>
      </c>
      <c r="J435" s="17" t="s">
        <v>54</v>
      </c>
      <c r="K435" s="17" t="s">
        <v>55</v>
      </c>
      <c r="L435" s="17" t="s">
        <v>20</v>
      </c>
      <c r="M435" s="17" t="s">
        <v>465</v>
      </c>
      <c r="N435" s="17" t="s">
        <v>56</v>
      </c>
      <c r="O435" s="17" t="s">
        <v>170</v>
      </c>
      <c r="P435" s="17" t="s">
        <v>20</v>
      </c>
      <c r="Q435" s="17" t="s">
        <v>350</v>
      </c>
      <c r="R435" s="17" t="s">
        <v>20</v>
      </c>
      <c r="S435" s="17" t="s">
        <v>720</v>
      </c>
      <c r="T435" s="17">
        <v>205</v>
      </c>
      <c r="U435" s="18">
        <v>3921081263</v>
      </c>
      <c r="V435" s="17" t="s">
        <v>2126</v>
      </c>
      <c r="X435" s="17" t="s">
        <v>60</v>
      </c>
      <c r="Y435" s="17" t="s">
        <v>219</v>
      </c>
      <c r="Z435" s="17" t="s">
        <v>712</v>
      </c>
      <c r="AA435" s="28">
        <v>780945.96259500005</v>
      </c>
      <c r="AB435" s="28">
        <v>2419792.8505299999</v>
      </c>
    </row>
    <row r="436" spans="1:28">
      <c r="A436" s="17">
        <v>435</v>
      </c>
      <c r="B436" s="17">
        <v>624112</v>
      </c>
      <c r="C436" s="17" t="s">
        <v>1044</v>
      </c>
      <c r="D436" s="17" t="s">
        <v>1008</v>
      </c>
      <c r="E436" s="17" t="s">
        <v>2127</v>
      </c>
      <c r="F436" s="17" t="s">
        <v>1149</v>
      </c>
      <c r="G436" s="17" t="s">
        <v>1035</v>
      </c>
      <c r="H436" s="17" t="s">
        <v>104</v>
      </c>
      <c r="I436" s="17">
        <v>20298</v>
      </c>
      <c r="J436" s="17" t="s">
        <v>54</v>
      </c>
      <c r="K436" s="17" t="s">
        <v>78</v>
      </c>
      <c r="L436" s="17" t="s">
        <v>56</v>
      </c>
      <c r="M436" s="17" t="s">
        <v>737</v>
      </c>
      <c r="N436" s="17" t="s">
        <v>20</v>
      </c>
      <c r="O436" s="17" t="s">
        <v>779</v>
      </c>
      <c r="P436" s="17" t="s">
        <v>20</v>
      </c>
      <c r="Q436" s="17" t="s">
        <v>778</v>
      </c>
      <c r="R436" s="17" t="s">
        <v>20</v>
      </c>
      <c r="S436" s="17" t="s">
        <v>2128</v>
      </c>
      <c r="T436" s="17">
        <v>1102</v>
      </c>
      <c r="U436" s="18">
        <v>4492870416</v>
      </c>
      <c r="X436" s="17" t="s">
        <v>67</v>
      </c>
      <c r="Y436" s="17" t="s">
        <v>646</v>
      </c>
      <c r="Z436" s="17" t="s">
        <v>712</v>
      </c>
      <c r="AA436" s="28">
        <v>783693.40506000002</v>
      </c>
      <c r="AB436" s="28">
        <v>2418905.59393</v>
      </c>
    </row>
    <row r="437" spans="1:28">
      <c r="A437" s="17">
        <v>436</v>
      </c>
      <c r="B437" s="17">
        <v>624191</v>
      </c>
      <c r="C437" s="17" t="s">
        <v>1044</v>
      </c>
      <c r="D437" s="17" t="s">
        <v>52</v>
      </c>
      <c r="E437" s="17" t="s">
        <v>2129</v>
      </c>
      <c r="F437" s="17" t="s">
        <v>1064</v>
      </c>
      <c r="H437" s="17" t="s">
        <v>104</v>
      </c>
      <c r="I437" s="17">
        <v>20298</v>
      </c>
      <c r="J437" s="17" t="s">
        <v>54</v>
      </c>
      <c r="K437" s="17" t="s">
        <v>55</v>
      </c>
      <c r="L437" s="17" t="s">
        <v>20</v>
      </c>
      <c r="M437" s="17" t="s">
        <v>163</v>
      </c>
      <c r="N437" s="17" t="s">
        <v>20</v>
      </c>
      <c r="O437" s="17" t="s">
        <v>755</v>
      </c>
      <c r="P437" s="17" t="s">
        <v>20</v>
      </c>
      <c r="Q437" s="17" t="s">
        <v>754</v>
      </c>
      <c r="R437" s="17" t="s">
        <v>20</v>
      </c>
      <c r="S437" s="17" t="s">
        <v>777</v>
      </c>
      <c r="T437" s="17">
        <v>202</v>
      </c>
      <c r="U437" s="18">
        <v>4499998844</v>
      </c>
      <c r="X437" s="17" t="s">
        <v>60</v>
      </c>
      <c r="Y437" s="17" t="s">
        <v>646</v>
      </c>
      <c r="Z437" s="17" t="s">
        <v>712</v>
      </c>
      <c r="AA437" s="28">
        <v>783714.79856599995</v>
      </c>
      <c r="AB437" s="28">
        <v>2419276.5757599999</v>
      </c>
    </row>
    <row r="438" spans="1:28">
      <c r="A438" s="17">
        <v>437</v>
      </c>
      <c r="B438" s="17">
        <v>813120</v>
      </c>
      <c r="C438" s="17" t="s">
        <v>1044</v>
      </c>
      <c r="D438" s="17" t="s">
        <v>52</v>
      </c>
      <c r="E438" s="17" t="s">
        <v>2130</v>
      </c>
      <c r="F438" s="17" t="s">
        <v>1173</v>
      </c>
      <c r="G438" s="17" t="s">
        <v>2131</v>
      </c>
      <c r="H438" s="17" t="s">
        <v>104</v>
      </c>
      <c r="I438" s="17">
        <v>20190</v>
      </c>
      <c r="J438" s="17" t="s">
        <v>54</v>
      </c>
      <c r="K438" s="17" t="s">
        <v>55</v>
      </c>
      <c r="L438" s="17" t="s">
        <v>56</v>
      </c>
      <c r="M438" s="17" t="s">
        <v>686</v>
      </c>
      <c r="N438" s="17" t="s">
        <v>56</v>
      </c>
      <c r="O438" s="17" t="s">
        <v>776</v>
      </c>
      <c r="P438" s="17" t="s">
        <v>20</v>
      </c>
      <c r="Q438" s="17" t="s">
        <v>59</v>
      </c>
      <c r="R438" s="17" t="s">
        <v>56</v>
      </c>
      <c r="S438" s="17" t="s">
        <v>871</v>
      </c>
      <c r="T438" s="17">
        <v>2865</v>
      </c>
      <c r="U438" s="18">
        <v>4493522687</v>
      </c>
      <c r="X438" s="17" t="s">
        <v>64</v>
      </c>
      <c r="Y438" s="17" t="s">
        <v>646</v>
      </c>
      <c r="Z438" s="17" t="s">
        <v>712</v>
      </c>
      <c r="AA438" s="28">
        <v>783390.13435900002</v>
      </c>
      <c r="AB438" s="28">
        <v>2422077.1286599999</v>
      </c>
    </row>
    <row r="439" spans="1:28">
      <c r="A439" s="17">
        <v>438</v>
      </c>
      <c r="B439" s="17">
        <v>813230</v>
      </c>
      <c r="C439" s="17" t="s">
        <v>1044</v>
      </c>
      <c r="D439" s="17" t="s">
        <v>52</v>
      </c>
      <c r="E439" s="17" t="s">
        <v>1428</v>
      </c>
      <c r="F439" s="17" t="s">
        <v>1061</v>
      </c>
      <c r="G439" s="17" t="s">
        <v>2132</v>
      </c>
      <c r="H439" s="17" t="s">
        <v>104</v>
      </c>
      <c r="I439" s="17">
        <v>20198</v>
      </c>
      <c r="J439" s="17" t="s">
        <v>54</v>
      </c>
      <c r="K439" s="17" t="s">
        <v>63</v>
      </c>
      <c r="L439" s="17" t="s">
        <v>20</v>
      </c>
      <c r="M439" s="17" t="s">
        <v>2133</v>
      </c>
      <c r="N439" s="17" t="s">
        <v>20</v>
      </c>
      <c r="O439" s="17" t="s">
        <v>2134</v>
      </c>
      <c r="P439" s="17" t="s">
        <v>20</v>
      </c>
      <c r="Q439" s="17" t="s">
        <v>2135</v>
      </c>
      <c r="R439" s="17" t="s">
        <v>20</v>
      </c>
      <c r="S439" s="17" t="s">
        <v>2133</v>
      </c>
      <c r="T439" s="17">
        <v>98</v>
      </c>
      <c r="U439" s="18">
        <v>4499138936</v>
      </c>
      <c r="X439" s="17" t="s">
        <v>64</v>
      </c>
      <c r="Y439" s="17" t="s">
        <v>646</v>
      </c>
      <c r="Z439" s="17" t="s">
        <v>712</v>
      </c>
      <c r="AA439" s="28">
        <v>782789.33175600006</v>
      </c>
      <c r="AB439" s="28">
        <v>2422579.4574600002</v>
      </c>
    </row>
    <row r="440" spans="1:28">
      <c r="A440" s="17">
        <v>439</v>
      </c>
      <c r="B440" s="17">
        <v>624121</v>
      </c>
      <c r="C440" s="17" t="s">
        <v>1044</v>
      </c>
      <c r="D440" s="17" t="s">
        <v>52</v>
      </c>
      <c r="E440" s="17" t="s">
        <v>2136</v>
      </c>
      <c r="F440" s="17" t="s">
        <v>2137</v>
      </c>
      <c r="H440" s="17" t="s">
        <v>104</v>
      </c>
      <c r="I440" s="17">
        <v>20169</v>
      </c>
      <c r="J440" s="17" t="s">
        <v>54</v>
      </c>
      <c r="K440" s="17" t="s">
        <v>55</v>
      </c>
      <c r="L440" s="17" t="s">
        <v>20</v>
      </c>
      <c r="M440" s="17" t="s">
        <v>782</v>
      </c>
      <c r="N440" s="17" t="s">
        <v>20</v>
      </c>
      <c r="O440" s="17" t="s">
        <v>2138</v>
      </c>
      <c r="P440" s="17" t="s">
        <v>20</v>
      </c>
      <c r="Q440" s="17" t="s">
        <v>2139</v>
      </c>
      <c r="R440" s="17" t="s">
        <v>20</v>
      </c>
      <c r="S440" s="17" t="s">
        <v>784</v>
      </c>
      <c r="T440" s="17">
        <v>130</v>
      </c>
      <c r="U440" s="18">
        <v>4491444327</v>
      </c>
      <c r="V440" s="17" t="s">
        <v>2140</v>
      </c>
      <c r="X440" s="17" t="s">
        <v>60</v>
      </c>
      <c r="Y440" s="17" t="s">
        <v>230</v>
      </c>
      <c r="Z440" s="17" t="s">
        <v>780</v>
      </c>
      <c r="AA440" s="28">
        <v>781273.67053600005</v>
      </c>
      <c r="AB440" s="28">
        <v>2423597.3825599998</v>
      </c>
    </row>
    <row r="441" spans="1:28">
      <c r="A441" s="17">
        <v>440</v>
      </c>
      <c r="B441" s="17">
        <v>624211</v>
      </c>
      <c r="C441" s="17" t="s">
        <v>1044</v>
      </c>
      <c r="D441" s="17" t="s">
        <v>52</v>
      </c>
      <c r="E441" s="17" t="s">
        <v>2141</v>
      </c>
      <c r="F441" s="17" t="s">
        <v>1080</v>
      </c>
      <c r="G441" s="17" t="s">
        <v>2142</v>
      </c>
      <c r="H441" s="17" t="s">
        <v>69</v>
      </c>
      <c r="I441" s="17">
        <v>20160</v>
      </c>
      <c r="J441" s="17" t="s">
        <v>54</v>
      </c>
      <c r="K441" s="17" t="s">
        <v>63</v>
      </c>
      <c r="L441" s="17" t="s">
        <v>20</v>
      </c>
      <c r="M441" s="17" t="s">
        <v>496</v>
      </c>
      <c r="N441" s="17" t="s">
        <v>58</v>
      </c>
      <c r="O441" s="17" t="s">
        <v>783</v>
      </c>
      <c r="P441" s="17" t="s">
        <v>95</v>
      </c>
      <c r="Q441" s="17" t="s">
        <v>781</v>
      </c>
      <c r="R441" s="17" t="s">
        <v>95</v>
      </c>
      <c r="S441" s="17" t="s">
        <v>2143</v>
      </c>
      <c r="T441" s="17">
        <v>615</v>
      </c>
      <c r="U441" s="18">
        <v>0</v>
      </c>
      <c r="X441" s="17" t="s">
        <v>60</v>
      </c>
      <c r="Y441" s="17" t="s">
        <v>230</v>
      </c>
      <c r="Z441" s="17" t="s">
        <v>780</v>
      </c>
      <c r="AA441" s="28">
        <v>780551.77245299995</v>
      </c>
      <c r="AB441" s="28">
        <v>2424372.5879600001</v>
      </c>
    </row>
    <row r="442" spans="1:28">
      <c r="A442" s="17">
        <v>441</v>
      </c>
      <c r="B442" s="17">
        <v>624199</v>
      </c>
      <c r="C442" s="17" t="s">
        <v>1044</v>
      </c>
      <c r="D442" s="17" t="s">
        <v>1008</v>
      </c>
      <c r="E442" s="17" t="s">
        <v>2144</v>
      </c>
      <c r="F442" s="17" t="s">
        <v>1156</v>
      </c>
      <c r="H442" s="17" t="s">
        <v>92</v>
      </c>
      <c r="I442" s="17">
        <v>20160</v>
      </c>
      <c r="J442" s="17" t="s">
        <v>54</v>
      </c>
      <c r="K442" s="17" t="s">
        <v>55</v>
      </c>
      <c r="L442" s="17" t="s">
        <v>95</v>
      </c>
      <c r="M442" s="17" t="s">
        <v>2145</v>
      </c>
      <c r="N442" s="17" t="s">
        <v>20</v>
      </c>
      <c r="O442" s="17" t="s">
        <v>2146</v>
      </c>
      <c r="P442" s="17" t="s">
        <v>95</v>
      </c>
      <c r="Q442" s="17" t="s">
        <v>2147</v>
      </c>
      <c r="R442" s="17" t="s">
        <v>95</v>
      </c>
      <c r="S442" s="17" t="s">
        <v>2148</v>
      </c>
      <c r="T442" s="17">
        <v>117</v>
      </c>
      <c r="U442" s="18">
        <v>0</v>
      </c>
      <c r="X442" s="17" t="s">
        <v>67</v>
      </c>
      <c r="Y442" s="17" t="s">
        <v>230</v>
      </c>
      <c r="Z442" s="17" t="s">
        <v>780</v>
      </c>
      <c r="AA442" s="28">
        <v>780912.62160900002</v>
      </c>
      <c r="AB442" s="28">
        <v>2424037.45836</v>
      </c>
    </row>
    <row r="443" spans="1:28">
      <c r="A443" s="17">
        <v>442</v>
      </c>
      <c r="B443" s="17">
        <v>624411</v>
      </c>
      <c r="C443" s="17" t="s">
        <v>1044</v>
      </c>
      <c r="D443" s="17" t="s">
        <v>52</v>
      </c>
      <c r="E443" s="17" t="s">
        <v>2149</v>
      </c>
      <c r="F443" s="17" t="s">
        <v>1046</v>
      </c>
      <c r="H443" s="17" t="s">
        <v>69</v>
      </c>
      <c r="I443" s="17">
        <v>20126</v>
      </c>
      <c r="J443" s="17" t="s">
        <v>54</v>
      </c>
      <c r="K443" s="17" t="s">
        <v>63</v>
      </c>
      <c r="L443" s="17" t="s">
        <v>20</v>
      </c>
      <c r="M443" s="17" t="s">
        <v>797</v>
      </c>
      <c r="N443" s="17" t="s">
        <v>20</v>
      </c>
      <c r="O443" s="17" t="s">
        <v>787</v>
      </c>
      <c r="P443" s="17" t="s">
        <v>20</v>
      </c>
      <c r="Q443" s="17" t="s">
        <v>788</v>
      </c>
      <c r="R443" s="17" t="s">
        <v>20</v>
      </c>
      <c r="S443" s="17" t="s">
        <v>798</v>
      </c>
      <c r="T443" s="17">
        <v>334</v>
      </c>
      <c r="U443" s="18">
        <v>0</v>
      </c>
      <c r="X443" s="17" t="s">
        <v>67</v>
      </c>
      <c r="Y443" s="17" t="s">
        <v>667</v>
      </c>
      <c r="Z443" s="17" t="s">
        <v>780</v>
      </c>
      <c r="AA443" s="28">
        <v>780689.53336799995</v>
      </c>
      <c r="AB443" s="28">
        <v>2428235.5600800002</v>
      </c>
    </row>
    <row r="444" spans="1:28">
      <c r="A444" s="17">
        <v>443</v>
      </c>
      <c r="B444" s="17">
        <v>624411</v>
      </c>
      <c r="C444" s="17" t="s">
        <v>1044</v>
      </c>
      <c r="D444" s="17" t="s">
        <v>52</v>
      </c>
      <c r="E444" s="17" t="s">
        <v>2150</v>
      </c>
      <c r="F444" s="17" t="s">
        <v>1046</v>
      </c>
      <c r="G444" s="17" t="s">
        <v>2151</v>
      </c>
      <c r="H444" s="17" t="s">
        <v>104</v>
      </c>
      <c r="I444" s="17">
        <v>20157</v>
      </c>
      <c r="J444" s="17" t="s">
        <v>54</v>
      </c>
      <c r="K444" s="17" t="s">
        <v>88</v>
      </c>
      <c r="L444" s="17" t="s">
        <v>20</v>
      </c>
      <c r="M444" s="17" t="s">
        <v>2152</v>
      </c>
      <c r="N444" s="17" t="s">
        <v>20</v>
      </c>
      <c r="O444" s="17" t="s">
        <v>805</v>
      </c>
      <c r="P444" s="17" t="s">
        <v>20</v>
      </c>
      <c r="Q444" s="17" t="s">
        <v>91</v>
      </c>
      <c r="R444" s="17" t="s">
        <v>20</v>
      </c>
      <c r="S444" s="17" t="s">
        <v>91</v>
      </c>
      <c r="T444" s="17">
        <v>113</v>
      </c>
      <c r="U444" s="18">
        <v>0</v>
      </c>
      <c r="X444" s="17" t="s">
        <v>67</v>
      </c>
      <c r="Y444" s="17" t="s">
        <v>667</v>
      </c>
      <c r="Z444" s="17" t="s">
        <v>780</v>
      </c>
      <c r="AA444" s="28">
        <v>781262.24440099997</v>
      </c>
      <c r="AB444" s="28">
        <v>2425496.2798000001</v>
      </c>
    </row>
    <row r="445" spans="1:28">
      <c r="A445" s="17">
        <v>444</v>
      </c>
      <c r="B445" s="17">
        <v>623312</v>
      </c>
      <c r="C445" s="17" t="s">
        <v>1044</v>
      </c>
      <c r="D445" s="17" t="s">
        <v>1008</v>
      </c>
      <c r="E445" s="17" t="s">
        <v>2153</v>
      </c>
      <c r="F445" s="17" t="s">
        <v>2154</v>
      </c>
      <c r="G445" s="17" t="s">
        <v>508</v>
      </c>
      <c r="H445" s="17" t="s">
        <v>104</v>
      </c>
      <c r="I445" s="17">
        <v>20158</v>
      </c>
      <c r="J445" s="17" t="s">
        <v>54</v>
      </c>
      <c r="K445" s="17" t="s">
        <v>55</v>
      </c>
      <c r="L445" s="17" t="s">
        <v>20</v>
      </c>
      <c r="M445" s="17" t="s">
        <v>801</v>
      </c>
      <c r="N445" s="17" t="s">
        <v>20</v>
      </c>
      <c r="O445" s="17" t="s">
        <v>785</v>
      </c>
      <c r="P445" s="17" t="s">
        <v>20</v>
      </c>
      <c r="Q445" s="17" t="s">
        <v>793</v>
      </c>
      <c r="R445" s="17" t="s">
        <v>20</v>
      </c>
      <c r="S445" s="17" t="s">
        <v>802</v>
      </c>
      <c r="T445" s="17">
        <v>538</v>
      </c>
      <c r="U445" s="18">
        <v>0</v>
      </c>
      <c r="X445" s="17" t="s">
        <v>60</v>
      </c>
      <c r="Y445" s="17" t="s">
        <v>667</v>
      </c>
      <c r="Z445" s="17" t="s">
        <v>780</v>
      </c>
      <c r="AA445" s="28">
        <v>780886.95051300002</v>
      </c>
      <c r="AB445" s="28">
        <v>2425179.9536600001</v>
      </c>
    </row>
    <row r="446" spans="1:28">
      <c r="A446" s="17">
        <v>445</v>
      </c>
      <c r="B446" s="17">
        <v>624112</v>
      </c>
      <c r="C446" s="17" t="s">
        <v>1044</v>
      </c>
      <c r="D446" s="17" t="s">
        <v>1008</v>
      </c>
      <c r="E446" s="17" t="s">
        <v>2155</v>
      </c>
      <c r="F446" s="17" t="s">
        <v>1149</v>
      </c>
      <c r="G446" s="17" t="s">
        <v>1036</v>
      </c>
      <c r="H446" s="17" t="s">
        <v>69</v>
      </c>
      <c r="I446" s="17">
        <v>20126</v>
      </c>
      <c r="J446" s="17" t="s">
        <v>54</v>
      </c>
      <c r="K446" s="17" t="s">
        <v>78</v>
      </c>
      <c r="L446" s="17" t="s">
        <v>20</v>
      </c>
      <c r="M446" s="17" t="s">
        <v>791</v>
      </c>
      <c r="N446" s="17" t="s">
        <v>20</v>
      </c>
      <c r="O446" s="17" t="s">
        <v>792</v>
      </c>
      <c r="P446" s="17" t="s">
        <v>20</v>
      </c>
      <c r="Q446" s="17" t="s">
        <v>790</v>
      </c>
      <c r="R446" s="17" t="s">
        <v>20</v>
      </c>
      <c r="S446" s="17" t="s">
        <v>794</v>
      </c>
      <c r="T446" s="17">
        <v>0</v>
      </c>
      <c r="U446" s="18">
        <v>0</v>
      </c>
      <c r="V446" s="17" t="s">
        <v>1026</v>
      </c>
      <c r="W446" s="17" t="s">
        <v>2156</v>
      </c>
      <c r="X446" s="17" t="s">
        <v>67</v>
      </c>
      <c r="Y446" s="17" t="s">
        <v>667</v>
      </c>
      <c r="Z446" s="17" t="s">
        <v>780</v>
      </c>
      <c r="AA446" s="28">
        <v>780469.86878300004</v>
      </c>
      <c r="AB446" s="28">
        <v>2427647.4980700002</v>
      </c>
    </row>
    <row r="447" spans="1:28">
      <c r="A447" s="17">
        <v>446</v>
      </c>
      <c r="B447" s="17">
        <v>624412</v>
      </c>
      <c r="C447" s="17" t="s">
        <v>1044</v>
      </c>
      <c r="D447" s="17" t="s">
        <v>1008</v>
      </c>
      <c r="E447" s="17" t="s">
        <v>2157</v>
      </c>
      <c r="F447" s="17" t="s">
        <v>1123</v>
      </c>
      <c r="G447" s="17" t="s">
        <v>2158</v>
      </c>
      <c r="H447" s="17" t="s">
        <v>104</v>
      </c>
      <c r="I447" s="17">
        <v>20157</v>
      </c>
      <c r="J447" s="17" t="s">
        <v>54</v>
      </c>
      <c r="K447" s="17" t="s">
        <v>63</v>
      </c>
      <c r="L447" s="17" t="s">
        <v>20</v>
      </c>
      <c r="M447" s="17" t="s">
        <v>2152</v>
      </c>
      <c r="N447" s="17" t="s">
        <v>20</v>
      </c>
      <c r="O447" s="17" t="s">
        <v>2159</v>
      </c>
      <c r="P447" s="17" t="s">
        <v>20</v>
      </c>
      <c r="Q447" s="17" t="s">
        <v>805</v>
      </c>
      <c r="R447" s="17" t="s">
        <v>20</v>
      </c>
      <c r="S447" s="17" t="s">
        <v>806</v>
      </c>
      <c r="T447" s="17">
        <v>132</v>
      </c>
      <c r="U447" s="18">
        <v>4499724247</v>
      </c>
      <c r="X447" s="17" t="s">
        <v>67</v>
      </c>
      <c r="Y447" s="17" t="s">
        <v>667</v>
      </c>
      <c r="Z447" s="17" t="s">
        <v>780</v>
      </c>
      <c r="AA447" s="28">
        <v>781335.02232900006</v>
      </c>
      <c r="AB447" s="28">
        <v>2425510.06971</v>
      </c>
    </row>
    <row r="448" spans="1:28">
      <c r="A448" s="17">
        <v>447</v>
      </c>
      <c r="B448" s="17">
        <v>624412</v>
      </c>
      <c r="C448" s="17" t="s">
        <v>1044</v>
      </c>
      <c r="D448" s="17" t="s">
        <v>1008</v>
      </c>
      <c r="E448" s="17" t="s">
        <v>2160</v>
      </c>
      <c r="F448" s="17" t="s">
        <v>1123</v>
      </c>
      <c r="H448" s="17" t="s">
        <v>104</v>
      </c>
      <c r="I448" s="17">
        <v>20126</v>
      </c>
      <c r="J448" s="17" t="s">
        <v>54</v>
      </c>
      <c r="K448" s="17" t="s">
        <v>78</v>
      </c>
      <c r="L448" s="17" t="s">
        <v>20</v>
      </c>
      <c r="M448" s="17" t="s">
        <v>752</v>
      </c>
      <c r="N448" s="17" t="s">
        <v>56</v>
      </c>
      <c r="O448" s="17" t="s">
        <v>667</v>
      </c>
      <c r="P448" s="17" t="s">
        <v>58</v>
      </c>
      <c r="Q448" s="17" t="s">
        <v>667</v>
      </c>
      <c r="S448" s="17" t="s">
        <v>59</v>
      </c>
      <c r="T448" s="17">
        <v>708</v>
      </c>
      <c r="U448" s="18">
        <v>0</v>
      </c>
      <c r="V448" s="17" t="s">
        <v>2161</v>
      </c>
      <c r="X448" s="17" t="s">
        <v>60</v>
      </c>
      <c r="Y448" s="17" t="s">
        <v>667</v>
      </c>
      <c r="Z448" s="17" t="s">
        <v>780</v>
      </c>
      <c r="AA448" s="28">
        <v>780902.94828200003</v>
      </c>
      <c r="AB448" s="28">
        <v>2426823.7666199999</v>
      </c>
    </row>
    <row r="449" spans="1:28">
      <c r="A449" s="17">
        <v>448</v>
      </c>
      <c r="B449" s="17">
        <v>624412</v>
      </c>
      <c r="C449" s="17" t="s">
        <v>1044</v>
      </c>
      <c r="D449" s="17" t="s">
        <v>1008</v>
      </c>
      <c r="E449" s="17" t="s">
        <v>2162</v>
      </c>
      <c r="F449" s="17" t="s">
        <v>1123</v>
      </c>
      <c r="H449" s="17" t="s">
        <v>104</v>
      </c>
      <c r="I449" s="17">
        <v>20126</v>
      </c>
      <c r="J449" s="17" t="s">
        <v>54</v>
      </c>
      <c r="K449" s="17" t="s">
        <v>55</v>
      </c>
      <c r="L449" s="17" t="s">
        <v>20</v>
      </c>
      <c r="M449" s="17" t="s">
        <v>672</v>
      </c>
      <c r="N449" s="17" t="s">
        <v>20</v>
      </c>
      <c r="O449" s="17" t="s">
        <v>752</v>
      </c>
      <c r="P449" s="17" t="s">
        <v>20</v>
      </c>
      <c r="Q449" s="17" t="s">
        <v>2163</v>
      </c>
      <c r="R449" s="17" t="s">
        <v>20</v>
      </c>
      <c r="S449" s="17" t="s">
        <v>795</v>
      </c>
      <c r="T449" s="17">
        <v>203</v>
      </c>
      <c r="U449" s="18">
        <v>44999900033</v>
      </c>
      <c r="V449" s="17" t="s">
        <v>2164</v>
      </c>
      <c r="X449" s="17" t="s">
        <v>64</v>
      </c>
      <c r="Y449" s="17" t="s">
        <v>667</v>
      </c>
      <c r="Z449" s="17" t="s">
        <v>780</v>
      </c>
      <c r="AA449" s="28">
        <v>780724.302455</v>
      </c>
      <c r="AB449" s="28">
        <v>2426684.31984</v>
      </c>
    </row>
    <row r="450" spans="1:28">
      <c r="A450" s="17">
        <v>449</v>
      </c>
      <c r="B450" s="17">
        <v>624191</v>
      </c>
      <c r="C450" s="17" t="s">
        <v>1044</v>
      </c>
      <c r="D450" s="17" t="s">
        <v>52</v>
      </c>
      <c r="E450" s="17" t="s">
        <v>2165</v>
      </c>
      <c r="F450" s="17" t="s">
        <v>1064</v>
      </c>
      <c r="G450" s="17" t="s">
        <v>2166</v>
      </c>
      <c r="H450" s="17" t="s">
        <v>69</v>
      </c>
      <c r="I450" s="17">
        <v>20150</v>
      </c>
      <c r="J450" s="17" t="s">
        <v>54</v>
      </c>
      <c r="K450" s="17" t="s">
        <v>55</v>
      </c>
      <c r="L450" s="17" t="s">
        <v>20</v>
      </c>
      <c r="M450" s="17" t="s">
        <v>287</v>
      </c>
      <c r="N450" s="17" t="s">
        <v>20</v>
      </c>
      <c r="O450" s="17" t="s">
        <v>288</v>
      </c>
      <c r="P450" s="17" t="s">
        <v>20</v>
      </c>
      <c r="Q450" s="17" t="s">
        <v>130</v>
      </c>
      <c r="R450" s="17" t="s">
        <v>20</v>
      </c>
      <c r="S450" s="17" t="s">
        <v>793</v>
      </c>
      <c r="T450" s="17">
        <v>0</v>
      </c>
      <c r="U450" s="18">
        <v>4494172133</v>
      </c>
      <c r="V450" s="17" t="s">
        <v>2167</v>
      </c>
      <c r="X450" s="17" t="s">
        <v>64</v>
      </c>
      <c r="Y450" s="17" t="s">
        <v>667</v>
      </c>
      <c r="Z450" s="17" t="s">
        <v>780</v>
      </c>
      <c r="AA450" s="28">
        <v>780604.99851599999</v>
      </c>
      <c r="AB450" s="28">
        <v>2425016.5411</v>
      </c>
    </row>
    <row r="451" spans="1:28">
      <c r="A451" s="17">
        <v>450</v>
      </c>
      <c r="B451" s="17">
        <v>624191</v>
      </c>
      <c r="C451" s="17" t="s">
        <v>1044</v>
      </c>
      <c r="D451" s="17" t="s">
        <v>52</v>
      </c>
      <c r="E451" s="17" t="s">
        <v>2168</v>
      </c>
      <c r="F451" s="17" t="s">
        <v>1064</v>
      </c>
      <c r="G451" s="17" t="s">
        <v>2169</v>
      </c>
      <c r="H451" s="17" t="s">
        <v>69</v>
      </c>
      <c r="I451" s="17">
        <v>20150</v>
      </c>
      <c r="J451" s="17" t="s">
        <v>54</v>
      </c>
      <c r="K451" s="17" t="s">
        <v>55</v>
      </c>
      <c r="L451" s="17" t="s">
        <v>20</v>
      </c>
      <c r="M451" s="17" t="s">
        <v>786</v>
      </c>
      <c r="N451" s="17" t="s">
        <v>20</v>
      </c>
      <c r="O451" s="17" t="s">
        <v>793</v>
      </c>
      <c r="P451" s="17" t="s">
        <v>217</v>
      </c>
      <c r="Q451" s="17" t="s">
        <v>59</v>
      </c>
      <c r="R451" s="17" t="s">
        <v>20</v>
      </c>
      <c r="S451" s="17" t="s">
        <v>288</v>
      </c>
      <c r="T451" s="17">
        <v>212</v>
      </c>
      <c r="U451" s="18">
        <v>0</v>
      </c>
      <c r="X451" s="17" t="s">
        <v>67</v>
      </c>
      <c r="Y451" s="17" t="s">
        <v>667</v>
      </c>
      <c r="Z451" s="17" t="s">
        <v>780</v>
      </c>
      <c r="AA451" s="28">
        <v>780720.86626299995</v>
      </c>
      <c r="AB451" s="28">
        <v>2425220.3063099999</v>
      </c>
    </row>
    <row r="452" spans="1:28">
      <c r="A452" s="17">
        <v>451</v>
      </c>
      <c r="B452" s="17">
        <v>624191</v>
      </c>
      <c r="C452" s="17" t="s">
        <v>1044</v>
      </c>
      <c r="D452" s="17" t="s">
        <v>52</v>
      </c>
      <c r="E452" s="17" t="s">
        <v>2170</v>
      </c>
      <c r="F452" s="17" t="s">
        <v>1064</v>
      </c>
      <c r="G452" s="17" t="s">
        <v>2171</v>
      </c>
      <c r="H452" s="17" t="s">
        <v>69</v>
      </c>
      <c r="I452" s="17">
        <v>20150</v>
      </c>
      <c r="J452" s="17" t="s">
        <v>54</v>
      </c>
      <c r="K452" s="17" t="s">
        <v>78</v>
      </c>
      <c r="L452" s="17" t="s">
        <v>20</v>
      </c>
      <c r="M452" s="17" t="s">
        <v>130</v>
      </c>
      <c r="N452" s="17" t="s">
        <v>20</v>
      </c>
      <c r="O452" s="17" t="s">
        <v>799</v>
      </c>
      <c r="P452" s="17" t="s">
        <v>20</v>
      </c>
      <c r="Q452" s="17" t="s">
        <v>287</v>
      </c>
      <c r="R452" s="17" t="s">
        <v>20</v>
      </c>
      <c r="S452" s="17" t="s">
        <v>288</v>
      </c>
      <c r="T452" s="17">
        <v>123</v>
      </c>
      <c r="U452" s="18">
        <v>4492425347</v>
      </c>
      <c r="V452" s="17" t="s">
        <v>2172</v>
      </c>
      <c r="X452" s="17" t="s">
        <v>64</v>
      </c>
      <c r="Y452" s="17" t="s">
        <v>667</v>
      </c>
      <c r="Z452" s="17" t="s">
        <v>780</v>
      </c>
      <c r="AA452" s="28">
        <v>780618.46423799999</v>
      </c>
      <c r="AB452" s="28">
        <v>2424957.9837400001</v>
      </c>
    </row>
    <row r="453" spans="1:28">
      <c r="A453" s="17">
        <v>452</v>
      </c>
      <c r="B453" s="17">
        <v>624191</v>
      </c>
      <c r="C453" s="17" t="s">
        <v>1044</v>
      </c>
      <c r="D453" s="17" t="s">
        <v>52</v>
      </c>
      <c r="E453" s="17" t="s">
        <v>2173</v>
      </c>
      <c r="F453" s="17" t="s">
        <v>1064</v>
      </c>
      <c r="G453" s="17" t="s">
        <v>2174</v>
      </c>
      <c r="H453" s="17" t="s">
        <v>104</v>
      </c>
      <c r="I453" s="17">
        <v>20150</v>
      </c>
      <c r="J453" s="17" t="s">
        <v>54</v>
      </c>
      <c r="K453" s="17" t="s">
        <v>55</v>
      </c>
      <c r="L453" s="17" t="s">
        <v>20</v>
      </c>
      <c r="M453" s="17" t="s">
        <v>786</v>
      </c>
      <c r="N453" s="17" t="s">
        <v>20</v>
      </c>
      <c r="O453" s="17" t="s">
        <v>799</v>
      </c>
      <c r="P453" s="17" t="s">
        <v>20</v>
      </c>
      <c r="Q453" s="17" t="s">
        <v>807</v>
      </c>
      <c r="R453" s="17" t="s">
        <v>20</v>
      </c>
      <c r="S453" s="17" t="s">
        <v>288</v>
      </c>
      <c r="T453" s="17">
        <v>116</v>
      </c>
      <c r="U453" s="18">
        <v>0</v>
      </c>
      <c r="X453" s="17" t="s">
        <v>67</v>
      </c>
      <c r="Y453" s="17" t="s">
        <v>667</v>
      </c>
      <c r="Z453" s="17" t="s">
        <v>780</v>
      </c>
      <c r="AA453" s="28">
        <v>780805.79784000001</v>
      </c>
      <c r="AB453" s="28">
        <v>2424961.51339</v>
      </c>
    </row>
    <row r="454" spans="1:28">
      <c r="A454" s="17">
        <v>453</v>
      </c>
      <c r="B454" s="17">
        <v>624191</v>
      </c>
      <c r="C454" s="17" t="s">
        <v>1044</v>
      </c>
      <c r="D454" s="17" t="s">
        <v>52</v>
      </c>
      <c r="E454" s="17" t="s">
        <v>2095</v>
      </c>
      <c r="F454" s="17" t="s">
        <v>1064</v>
      </c>
      <c r="G454" s="17" t="s">
        <v>1177</v>
      </c>
      <c r="H454" s="17" t="s">
        <v>104</v>
      </c>
      <c r="I454" s="17">
        <v>20126</v>
      </c>
      <c r="J454" s="17" t="s">
        <v>54</v>
      </c>
      <c r="K454" s="17" t="s">
        <v>63</v>
      </c>
      <c r="L454" s="17" t="s">
        <v>20</v>
      </c>
      <c r="M454" s="17" t="s">
        <v>789</v>
      </c>
      <c r="N454" s="17" t="s">
        <v>20</v>
      </c>
      <c r="O454" s="17" t="s">
        <v>796</v>
      </c>
      <c r="P454" s="17" t="s">
        <v>20</v>
      </c>
      <c r="Q454" s="17" t="s">
        <v>2175</v>
      </c>
      <c r="R454" s="17" t="s">
        <v>20</v>
      </c>
      <c r="S454" s="17" t="s">
        <v>803</v>
      </c>
      <c r="T454" s="17">
        <v>1101</v>
      </c>
      <c r="U454" s="18">
        <v>0</v>
      </c>
      <c r="X454" s="17" t="s">
        <v>60</v>
      </c>
      <c r="Y454" s="17" t="s">
        <v>667</v>
      </c>
      <c r="Z454" s="17" t="s">
        <v>780</v>
      </c>
      <c r="AA454" s="28">
        <v>781004.25058300002</v>
      </c>
      <c r="AB454" s="28">
        <v>2427936.7145400001</v>
      </c>
    </row>
    <row r="455" spans="1:28">
      <c r="A455" s="17">
        <v>454</v>
      </c>
      <c r="B455" s="17">
        <v>813120</v>
      </c>
      <c r="C455" s="17" t="s">
        <v>1044</v>
      </c>
      <c r="D455" s="17" t="s">
        <v>52</v>
      </c>
      <c r="E455" s="17" t="s">
        <v>2176</v>
      </c>
      <c r="F455" s="17" t="s">
        <v>1173</v>
      </c>
      <c r="G455" s="17" t="s">
        <v>2177</v>
      </c>
      <c r="H455" s="17" t="s">
        <v>104</v>
      </c>
      <c r="I455" s="17">
        <v>20126</v>
      </c>
      <c r="J455" s="17" t="s">
        <v>54</v>
      </c>
      <c r="K455" s="17" t="s">
        <v>88</v>
      </c>
      <c r="L455" s="17" t="s">
        <v>58</v>
      </c>
      <c r="M455" s="17" t="s">
        <v>2178</v>
      </c>
      <c r="N455" s="17" t="s">
        <v>20</v>
      </c>
      <c r="O455" s="17" t="s">
        <v>2179</v>
      </c>
      <c r="Q455" s="17" t="s">
        <v>59</v>
      </c>
      <c r="R455" s="17" t="s">
        <v>58</v>
      </c>
      <c r="S455" s="17" t="s">
        <v>2178</v>
      </c>
      <c r="T455" s="17">
        <v>103</v>
      </c>
      <c r="U455" s="18">
        <v>0</v>
      </c>
      <c r="X455" s="17" t="s">
        <v>60</v>
      </c>
      <c r="Y455" s="17" t="s">
        <v>667</v>
      </c>
      <c r="Z455" s="17" t="s">
        <v>780</v>
      </c>
      <c r="AA455" s="28">
        <v>781239.67085200001</v>
      </c>
      <c r="AB455" s="28">
        <v>2427075.3829899998</v>
      </c>
    </row>
    <row r="456" spans="1:28">
      <c r="A456" s="17">
        <v>455</v>
      </c>
      <c r="B456" s="17">
        <v>813230</v>
      </c>
      <c r="C456" s="17" t="s">
        <v>1044</v>
      </c>
      <c r="D456" s="17" t="s">
        <v>52</v>
      </c>
      <c r="E456" s="17" t="s">
        <v>2180</v>
      </c>
      <c r="F456" s="17" t="s">
        <v>1061</v>
      </c>
      <c r="H456" s="17" t="s">
        <v>69</v>
      </c>
      <c r="I456" s="17">
        <v>20126</v>
      </c>
      <c r="J456" s="17" t="s">
        <v>54</v>
      </c>
      <c r="K456" s="17" t="s">
        <v>55</v>
      </c>
      <c r="L456" s="17" t="s">
        <v>20</v>
      </c>
      <c r="M456" s="17" t="s">
        <v>791</v>
      </c>
      <c r="N456" s="17" t="s">
        <v>20</v>
      </c>
      <c r="O456" s="17" t="s">
        <v>787</v>
      </c>
      <c r="P456" s="17" t="s">
        <v>20</v>
      </c>
      <c r="Q456" s="17" t="s">
        <v>788</v>
      </c>
      <c r="R456" s="17" t="s">
        <v>20</v>
      </c>
      <c r="S456" s="17" t="s">
        <v>794</v>
      </c>
      <c r="T456" s="17">
        <v>618</v>
      </c>
      <c r="U456" s="18">
        <v>0</v>
      </c>
      <c r="X456" s="17" t="s">
        <v>60</v>
      </c>
      <c r="Y456" s="17" t="s">
        <v>667</v>
      </c>
      <c r="Z456" s="17" t="s">
        <v>780</v>
      </c>
      <c r="AA456" s="28">
        <v>780527.93073999998</v>
      </c>
      <c r="AB456" s="28">
        <v>2428171.0496399999</v>
      </c>
    </row>
    <row r="457" spans="1:28">
      <c r="A457" s="17">
        <v>456</v>
      </c>
      <c r="B457" s="17">
        <v>813230</v>
      </c>
      <c r="C457" s="17" t="s">
        <v>1044</v>
      </c>
      <c r="D457" s="17" t="s">
        <v>52</v>
      </c>
      <c r="E457" s="17" t="s">
        <v>2181</v>
      </c>
      <c r="F457" s="17" t="s">
        <v>1061</v>
      </c>
      <c r="G457" s="17" t="s">
        <v>2182</v>
      </c>
      <c r="H457" s="17" t="s">
        <v>104</v>
      </c>
      <c r="I457" s="17">
        <v>20150</v>
      </c>
      <c r="J457" s="17" t="s">
        <v>54</v>
      </c>
      <c r="K457" s="17" t="s">
        <v>55</v>
      </c>
      <c r="L457" s="17" t="s">
        <v>58</v>
      </c>
      <c r="M457" s="17" t="s">
        <v>2183</v>
      </c>
      <c r="N457" s="17" t="s">
        <v>56</v>
      </c>
      <c r="O457" s="17" t="s">
        <v>2184</v>
      </c>
      <c r="P457" s="17" t="s">
        <v>58</v>
      </c>
      <c r="Q457" s="17" t="s">
        <v>2183</v>
      </c>
      <c r="R457" s="17" t="s">
        <v>20</v>
      </c>
      <c r="S457" s="17" t="s">
        <v>2185</v>
      </c>
      <c r="T457" s="17">
        <v>101</v>
      </c>
      <c r="U457" s="18">
        <v>4499737540</v>
      </c>
      <c r="V457" s="17" t="s">
        <v>2186</v>
      </c>
      <c r="X457" s="17" t="s">
        <v>64</v>
      </c>
      <c r="Y457" s="17" t="s">
        <v>667</v>
      </c>
      <c r="Z457" s="17" t="s">
        <v>780</v>
      </c>
      <c r="AA457" s="28">
        <v>780623.42947500001</v>
      </c>
      <c r="AB457" s="28">
        <v>2425777.6370700002</v>
      </c>
    </row>
    <row r="458" spans="1:28">
      <c r="A458" s="17">
        <v>457</v>
      </c>
      <c r="B458" s="17">
        <v>624411</v>
      </c>
      <c r="C458" s="17" t="s">
        <v>1044</v>
      </c>
      <c r="D458" s="17" t="s">
        <v>52</v>
      </c>
      <c r="E458" s="17" t="s">
        <v>2187</v>
      </c>
      <c r="F458" s="17" t="s">
        <v>1046</v>
      </c>
      <c r="H458" s="17" t="s">
        <v>104</v>
      </c>
      <c r="I458" s="17">
        <v>20169</v>
      </c>
      <c r="J458" s="17" t="s">
        <v>54</v>
      </c>
      <c r="K458" s="17" t="s">
        <v>55</v>
      </c>
      <c r="L458" s="17" t="s">
        <v>20</v>
      </c>
      <c r="M458" s="17" t="s">
        <v>2188</v>
      </c>
      <c r="N458" s="17" t="s">
        <v>56</v>
      </c>
      <c r="O458" s="17" t="s">
        <v>683</v>
      </c>
      <c r="P458" s="17" t="s">
        <v>20</v>
      </c>
      <c r="Q458" s="17" t="s">
        <v>818</v>
      </c>
      <c r="R458" s="17" t="s">
        <v>56</v>
      </c>
      <c r="S458" s="17" t="s">
        <v>2189</v>
      </c>
      <c r="T458" s="17">
        <v>158</v>
      </c>
      <c r="U458" s="18">
        <v>0</v>
      </c>
      <c r="X458" s="17" t="s">
        <v>60</v>
      </c>
      <c r="Y458" s="17" t="s">
        <v>607</v>
      </c>
      <c r="Z458" s="17" t="s">
        <v>780</v>
      </c>
      <c r="AA458" s="28">
        <v>781436.250061</v>
      </c>
      <c r="AB458" s="28">
        <v>2423673.0295899999</v>
      </c>
    </row>
    <row r="459" spans="1:28">
      <c r="A459" s="17">
        <v>458</v>
      </c>
      <c r="B459" s="17">
        <v>624122</v>
      </c>
      <c r="C459" s="17" t="s">
        <v>1044</v>
      </c>
      <c r="D459" s="17" t="s">
        <v>1008</v>
      </c>
      <c r="E459" s="17" t="s">
        <v>2190</v>
      </c>
      <c r="F459" s="17" t="s">
        <v>1153</v>
      </c>
      <c r="G459" s="17" t="s">
        <v>2191</v>
      </c>
      <c r="H459" s="17" t="s">
        <v>92</v>
      </c>
      <c r="I459" s="17">
        <v>20170</v>
      </c>
      <c r="J459" s="17" t="s">
        <v>54</v>
      </c>
      <c r="K459" s="17" t="s">
        <v>78</v>
      </c>
      <c r="L459" s="17" t="s">
        <v>20</v>
      </c>
      <c r="M459" s="17" t="s">
        <v>2192</v>
      </c>
      <c r="O459" s="17" t="s">
        <v>59</v>
      </c>
      <c r="Q459" s="17" t="s">
        <v>59</v>
      </c>
      <c r="S459" s="17" t="s">
        <v>59</v>
      </c>
      <c r="T459" s="17">
        <v>0</v>
      </c>
      <c r="U459" s="18">
        <v>0</v>
      </c>
      <c r="X459" s="17" t="s">
        <v>60</v>
      </c>
      <c r="Y459" s="17" t="s">
        <v>607</v>
      </c>
      <c r="Z459" s="17" t="s">
        <v>780</v>
      </c>
      <c r="AA459" s="28">
        <v>781689.12823999999</v>
      </c>
      <c r="AB459" s="28">
        <v>2424365.01382</v>
      </c>
    </row>
    <row r="460" spans="1:28">
      <c r="A460" s="17">
        <v>459</v>
      </c>
      <c r="B460" s="17">
        <v>624412</v>
      </c>
      <c r="C460" s="17" t="s">
        <v>1044</v>
      </c>
      <c r="D460" s="17" t="s">
        <v>1008</v>
      </c>
      <c r="E460" s="17" t="s">
        <v>2193</v>
      </c>
      <c r="F460" s="17" t="s">
        <v>1123</v>
      </c>
      <c r="H460" s="17" t="s">
        <v>69</v>
      </c>
      <c r="I460" s="17">
        <v>20150</v>
      </c>
      <c r="J460" s="17" t="s">
        <v>54</v>
      </c>
      <c r="K460" s="17" t="s">
        <v>63</v>
      </c>
      <c r="L460" s="17" t="s">
        <v>56</v>
      </c>
      <c r="M460" s="17" t="s">
        <v>813</v>
      </c>
      <c r="N460" s="17" t="s">
        <v>20</v>
      </c>
      <c r="O460" s="17" t="s">
        <v>812</v>
      </c>
      <c r="P460" s="17" t="s">
        <v>20</v>
      </c>
      <c r="Q460" s="17" t="s">
        <v>773</v>
      </c>
      <c r="R460" s="17" t="s">
        <v>20</v>
      </c>
      <c r="S460" s="17" t="s">
        <v>2194</v>
      </c>
      <c r="T460" s="17">
        <v>210</v>
      </c>
      <c r="U460" s="18">
        <v>0</v>
      </c>
      <c r="V460" s="17" t="s">
        <v>2195</v>
      </c>
      <c r="X460" s="17" t="s">
        <v>64</v>
      </c>
      <c r="Y460" s="17" t="s">
        <v>607</v>
      </c>
      <c r="Z460" s="17" t="s">
        <v>780</v>
      </c>
      <c r="AA460" s="28">
        <v>780981.71133700002</v>
      </c>
      <c r="AB460" s="28">
        <v>2424772.7978099999</v>
      </c>
    </row>
    <row r="461" spans="1:28">
      <c r="A461" s="17">
        <v>460</v>
      </c>
      <c r="B461" s="17">
        <v>624412</v>
      </c>
      <c r="C461" s="17" t="s">
        <v>1044</v>
      </c>
      <c r="D461" s="17" t="s">
        <v>1008</v>
      </c>
      <c r="E461" s="17" t="s">
        <v>2196</v>
      </c>
      <c r="F461" s="17" t="s">
        <v>1123</v>
      </c>
      <c r="G461" s="17" t="s">
        <v>349</v>
      </c>
      <c r="H461" s="17" t="s">
        <v>69</v>
      </c>
      <c r="I461" s="17">
        <v>20150</v>
      </c>
      <c r="J461" s="17" t="s">
        <v>54</v>
      </c>
      <c r="K461" s="17" t="s">
        <v>55</v>
      </c>
      <c r="L461" s="17" t="s">
        <v>20</v>
      </c>
      <c r="M461" s="17" t="s">
        <v>800</v>
      </c>
      <c r="N461" s="17" t="s">
        <v>20</v>
      </c>
      <c r="O461" s="17" t="s">
        <v>750</v>
      </c>
      <c r="P461" s="17" t="s">
        <v>20</v>
      </c>
      <c r="Q461" s="17" t="s">
        <v>751</v>
      </c>
      <c r="R461" s="17" t="s">
        <v>20</v>
      </c>
      <c r="S461" s="17" t="s">
        <v>455</v>
      </c>
      <c r="T461" s="17">
        <v>205</v>
      </c>
      <c r="U461" s="18">
        <v>0</v>
      </c>
      <c r="X461" s="17" t="s">
        <v>64</v>
      </c>
      <c r="Y461" s="17" t="s">
        <v>607</v>
      </c>
      <c r="Z461" s="17" t="s">
        <v>780</v>
      </c>
      <c r="AA461" s="28">
        <v>781190.03336700005</v>
      </c>
      <c r="AB461" s="28">
        <v>2424339.1216199999</v>
      </c>
    </row>
    <row r="462" spans="1:28">
      <c r="A462" s="17">
        <v>461</v>
      </c>
      <c r="B462" s="17">
        <v>624412</v>
      </c>
      <c r="C462" s="17" t="s">
        <v>1044</v>
      </c>
      <c r="D462" s="17" t="s">
        <v>1008</v>
      </c>
      <c r="E462" s="17" t="s">
        <v>1934</v>
      </c>
      <c r="F462" s="17" t="s">
        <v>1123</v>
      </c>
      <c r="H462" s="17" t="s">
        <v>104</v>
      </c>
      <c r="I462" s="17">
        <v>20158</v>
      </c>
      <c r="J462" s="17" t="s">
        <v>54</v>
      </c>
      <c r="K462" s="17" t="s">
        <v>55</v>
      </c>
      <c r="L462" s="17" t="s">
        <v>20</v>
      </c>
      <c r="M462" s="17" t="s">
        <v>799</v>
      </c>
      <c r="N462" s="17" t="s">
        <v>56</v>
      </c>
      <c r="O462" s="17" t="s">
        <v>809</v>
      </c>
      <c r="P462" s="17" t="s">
        <v>20</v>
      </c>
      <c r="Q462" s="17" t="s">
        <v>2197</v>
      </c>
      <c r="R462" s="17" t="s">
        <v>20</v>
      </c>
      <c r="S462" s="17" t="s">
        <v>2197</v>
      </c>
      <c r="T462" s="17">
        <v>715</v>
      </c>
      <c r="U462" s="18">
        <v>4494249702</v>
      </c>
      <c r="V462" s="17" t="s">
        <v>2198</v>
      </c>
      <c r="X462" s="17" t="s">
        <v>67</v>
      </c>
      <c r="Y462" s="17" t="s">
        <v>607</v>
      </c>
      <c r="Z462" s="17" t="s">
        <v>780</v>
      </c>
      <c r="AA462" s="28">
        <v>781365.36534999998</v>
      </c>
      <c r="AB462" s="28">
        <v>2425072.4656600002</v>
      </c>
    </row>
    <row r="463" spans="1:28">
      <c r="A463" s="17">
        <v>462</v>
      </c>
      <c r="B463" s="17">
        <v>624191</v>
      </c>
      <c r="C463" s="17" t="s">
        <v>1044</v>
      </c>
      <c r="D463" s="17" t="s">
        <v>52</v>
      </c>
      <c r="E463" s="17" t="s">
        <v>2199</v>
      </c>
      <c r="F463" s="17" t="s">
        <v>1064</v>
      </c>
      <c r="G463" s="17" t="s">
        <v>331</v>
      </c>
      <c r="H463" s="17" t="s">
        <v>69</v>
      </c>
      <c r="I463" s="17">
        <v>20150</v>
      </c>
      <c r="J463" s="17" t="s">
        <v>54</v>
      </c>
      <c r="K463" s="17" t="s">
        <v>55</v>
      </c>
      <c r="L463" s="17" t="s">
        <v>20</v>
      </c>
      <c r="M463" s="17" t="s">
        <v>812</v>
      </c>
      <c r="N463" s="17" t="s">
        <v>20</v>
      </c>
      <c r="O463" s="17" t="s">
        <v>749</v>
      </c>
      <c r="P463" s="17" t="s">
        <v>20</v>
      </c>
      <c r="Q463" s="17" t="s">
        <v>759</v>
      </c>
      <c r="R463" s="17" t="s">
        <v>20</v>
      </c>
      <c r="S463" s="17" t="s">
        <v>819</v>
      </c>
      <c r="T463" s="17">
        <v>409</v>
      </c>
      <c r="U463" s="18">
        <v>0</v>
      </c>
      <c r="X463" s="17" t="s">
        <v>64</v>
      </c>
      <c r="Y463" s="17" t="s">
        <v>607</v>
      </c>
      <c r="Z463" s="17" t="s">
        <v>780</v>
      </c>
      <c r="AA463" s="28">
        <v>781001.06721500005</v>
      </c>
      <c r="AB463" s="28">
        <v>2424583.9635600001</v>
      </c>
    </row>
    <row r="464" spans="1:28">
      <c r="A464" s="17">
        <v>463</v>
      </c>
      <c r="B464" s="17">
        <v>624191</v>
      </c>
      <c r="C464" s="17" t="s">
        <v>1044</v>
      </c>
      <c r="D464" s="17" t="s">
        <v>52</v>
      </c>
      <c r="E464" s="17" t="s">
        <v>2200</v>
      </c>
      <c r="F464" s="17" t="s">
        <v>1064</v>
      </c>
      <c r="H464" s="17" t="s">
        <v>69</v>
      </c>
      <c r="I464" s="17">
        <v>20150</v>
      </c>
      <c r="J464" s="17" t="s">
        <v>54</v>
      </c>
      <c r="K464" s="17" t="s">
        <v>55</v>
      </c>
      <c r="L464" s="17" t="s">
        <v>20</v>
      </c>
      <c r="M464" s="17" t="s">
        <v>751</v>
      </c>
      <c r="N464" s="17" t="s">
        <v>20</v>
      </c>
      <c r="O464" s="17" t="s">
        <v>820</v>
      </c>
      <c r="P464" s="17" t="s">
        <v>20</v>
      </c>
      <c r="Q464" s="17" t="s">
        <v>769</v>
      </c>
      <c r="R464" s="17" t="s">
        <v>20</v>
      </c>
      <c r="S464" s="17" t="s">
        <v>814</v>
      </c>
      <c r="T464" s="17">
        <v>1209</v>
      </c>
      <c r="U464" s="18">
        <v>0</v>
      </c>
      <c r="X464" s="17" t="s">
        <v>60</v>
      </c>
      <c r="Y464" s="17" t="s">
        <v>607</v>
      </c>
      <c r="Z464" s="17" t="s">
        <v>780</v>
      </c>
      <c r="AA464" s="28">
        <v>781374.18350399996</v>
      </c>
      <c r="AB464" s="28">
        <v>2424560.0006900001</v>
      </c>
    </row>
    <row r="465" spans="1:28">
      <c r="A465" s="17">
        <v>464</v>
      </c>
      <c r="B465" s="17">
        <v>624191</v>
      </c>
      <c r="C465" s="17" t="s">
        <v>1044</v>
      </c>
      <c r="D465" s="17" t="s">
        <v>52</v>
      </c>
      <c r="E465" s="17" t="s">
        <v>2201</v>
      </c>
      <c r="F465" s="17" t="s">
        <v>1064</v>
      </c>
      <c r="H465" s="17" t="s">
        <v>69</v>
      </c>
      <c r="I465" s="17">
        <v>20150</v>
      </c>
      <c r="J465" s="17" t="s">
        <v>54</v>
      </c>
      <c r="K465" s="17" t="s">
        <v>63</v>
      </c>
      <c r="L465" s="17" t="s">
        <v>20</v>
      </c>
      <c r="M465" s="17" t="s">
        <v>769</v>
      </c>
      <c r="N465" s="17" t="s">
        <v>20</v>
      </c>
      <c r="O465" s="17" t="s">
        <v>751</v>
      </c>
      <c r="P465" s="17" t="s">
        <v>20</v>
      </c>
      <c r="Q465" s="17" t="s">
        <v>814</v>
      </c>
      <c r="R465" s="17" t="s">
        <v>20</v>
      </c>
      <c r="S465" s="17" t="s">
        <v>770</v>
      </c>
      <c r="T465" s="17">
        <v>121</v>
      </c>
      <c r="U465" s="18">
        <v>0</v>
      </c>
      <c r="X465" s="17" t="s">
        <v>60</v>
      </c>
      <c r="Y465" s="17" t="s">
        <v>607</v>
      </c>
      <c r="Z465" s="17" t="s">
        <v>780</v>
      </c>
      <c r="AA465" s="28">
        <v>781404.76187799999</v>
      </c>
      <c r="AB465" s="28">
        <v>2424520.11522</v>
      </c>
    </row>
    <row r="466" spans="1:28">
      <c r="A466" s="17">
        <v>465</v>
      </c>
      <c r="B466" s="17">
        <v>813230</v>
      </c>
      <c r="C466" s="17" t="s">
        <v>1044</v>
      </c>
      <c r="D466" s="17" t="s">
        <v>52</v>
      </c>
      <c r="E466" s="17" t="s">
        <v>2202</v>
      </c>
      <c r="F466" s="17" t="s">
        <v>1061</v>
      </c>
      <c r="H466" s="17" t="s">
        <v>69</v>
      </c>
      <c r="I466" s="17">
        <v>20150</v>
      </c>
      <c r="J466" s="17" t="s">
        <v>54</v>
      </c>
      <c r="K466" s="17" t="s">
        <v>55</v>
      </c>
      <c r="L466" s="17" t="s">
        <v>20</v>
      </c>
      <c r="M466" s="17" t="s">
        <v>2203</v>
      </c>
      <c r="N466" s="17" t="s">
        <v>20</v>
      </c>
      <c r="O466" s="17" t="s">
        <v>2204</v>
      </c>
      <c r="P466" s="17" t="s">
        <v>20</v>
      </c>
      <c r="Q466" s="17" t="s">
        <v>2205</v>
      </c>
      <c r="R466" s="17" t="s">
        <v>20</v>
      </c>
      <c r="S466" s="17" t="s">
        <v>2206</v>
      </c>
      <c r="T466" s="17">
        <v>0</v>
      </c>
      <c r="U466" s="18">
        <v>0</v>
      </c>
      <c r="X466" s="17" t="s">
        <v>60</v>
      </c>
      <c r="Y466" s="17" t="s">
        <v>607</v>
      </c>
      <c r="Z466" s="17" t="s">
        <v>780</v>
      </c>
      <c r="AA466" s="28">
        <v>780655.20889100002</v>
      </c>
      <c r="AB466" s="28">
        <v>2424704.8231100002</v>
      </c>
    </row>
    <row r="467" spans="1:28">
      <c r="A467" s="17">
        <v>466</v>
      </c>
      <c r="B467" s="17">
        <v>813230</v>
      </c>
      <c r="C467" s="17" t="s">
        <v>1044</v>
      </c>
      <c r="D467" s="17" t="s">
        <v>52</v>
      </c>
      <c r="E467" s="17" t="s">
        <v>1428</v>
      </c>
      <c r="F467" s="17" t="s">
        <v>1061</v>
      </c>
      <c r="G467" s="17" t="s">
        <v>2084</v>
      </c>
      <c r="H467" s="17" t="s">
        <v>104</v>
      </c>
      <c r="I467" s="17">
        <v>20169</v>
      </c>
      <c r="J467" s="17" t="s">
        <v>54</v>
      </c>
      <c r="K467" s="17" t="s">
        <v>55</v>
      </c>
      <c r="L467" s="17" t="s">
        <v>20</v>
      </c>
      <c r="M467" s="17" t="s">
        <v>2207</v>
      </c>
      <c r="N467" s="17" t="s">
        <v>20</v>
      </c>
      <c r="O467" s="17" t="s">
        <v>326</v>
      </c>
      <c r="P467" s="17" t="s">
        <v>20</v>
      </c>
      <c r="Q467" s="17" t="s">
        <v>816</v>
      </c>
      <c r="R467" s="17" t="s">
        <v>20</v>
      </c>
      <c r="S467" s="17" t="s">
        <v>817</v>
      </c>
      <c r="T467" s="17">
        <v>0</v>
      </c>
      <c r="U467" s="18">
        <v>0</v>
      </c>
      <c r="X467" s="17" t="s">
        <v>64</v>
      </c>
      <c r="Y467" s="17" t="s">
        <v>607</v>
      </c>
      <c r="Z467" s="17" t="s">
        <v>780</v>
      </c>
      <c r="AA467" s="28">
        <v>781572.75409399997</v>
      </c>
      <c r="AB467" s="28">
        <v>2423634.5628300002</v>
      </c>
    </row>
    <row r="468" spans="1:28">
      <c r="A468" s="17">
        <v>467</v>
      </c>
      <c r="B468" s="17">
        <v>624412</v>
      </c>
      <c r="C468" s="17" t="s">
        <v>1044</v>
      </c>
      <c r="D468" s="17" t="s">
        <v>1008</v>
      </c>
      <c r="E468" s="17" t="s">
        <v>2208</v>
      </c>
      <c r="F468" s="17" t="s">
        <v>1123</v>
      </c>
      <c r="G468" s="17" t="s">
        <v>2209</v>
      </c>
      <c r="H468" s="17" t="s">
        <v>86</v>
      </c>
      <c r="I468" s="17">
        <v>20340</v>
      </c>
      <c r="J468" s="17" t="s">
        <v>54</v>
      </c>
      <c r="K468" s="17" t="s">
        <v>55</v>
      </c>
      <c r="L468" s="17" t="s">
        <v>58</v>
      </c>
      <c r="M468" s="17" t="s">
        <v>2210</v>
      </c>
      <c r="O468" s="17" t="s">
        <v>59</v>
      </c>
      <c r="P468" s="17" t="s">
        <v>20</v>
      </c>
      <c r="Q468" s="17" t="s">
        <v>72</v>
      </c>
      <c r="S468" s="17" t="s">
        <v>59</v>
      </c>
      <c r="T468" s="17">
        <v>106</v>
      </c>
      <c r="U468" s="18">
        <v>4495493063</v>
      </c>
      <c r="V468" s="17" t="s">
        <v>2211</v>
      </c>
      <c r="X468" s="17" t="s">
        <v>64</v>
      </c>
      <c r="Y468" s="17" t="s">
        <v>219</v>
      </c>
      <c r="Z468" s="17" t="s">
        <v>822</v>
      </c>
      <c r="AA468" s="28">
        <v>781904.19773400004</v>
      </c>
      <c r="AB468" s="28">
        <v>2413323.3996100002</v>
      </c>
    </row>
    <row r="469" spans="1:28">
      <c r="A469" s="17">
        <v>468</v>
      </c>
      <c r="B469" s="17">
        <v>813120</v>
      </c>
      <c r="C469" s="17" t="s">
        <v>1044</v>
      </c>
      <c r="D469" s="17" t="s">
        <v>52</v>
      </c>
      <c r="E469" s="17" t="s">
        <v>2212</v>
      </c>
      <c r="F469" s="17" t="s">
        <v>1173</v>
      </c>
      <c r="G469" s="17" t="s">
        <v>2212</v>
      </c>
      <c r="H469" s="17" t="s">
        <v>824</v>
      </c>
      <c r="I469" s="17">
        <v>20290</v>
      </c>
      <c r="J469" s="17" t="s">
        <v>54</v>
      </c>
      <c r="K469" s="17" t="s">
        <v>63</v>
      </c>
      <c r="L469" s="17" t="s">
        <v>56</v>
      </c>
      <c r="M469" s="17" t="s">
        <v>825</v>
      </c>
      <c r="N469" s="17" t="s">
        <v>20</v>
      </c>
      <c r="O469" s="17" t="s">
        <v>827</v>
      </c>
      <c r="P469" s="17" t="s">
        <v>56</v>
      </c>
      <c r="Q469" s="17" t="s">
        <v>192</v>
      </c>
      <c r="S469" s="17" t="s">
        <v>59</v>
      </c>
      <c r="T469" s="17">
        <v>110</v>
      </c>
      <c r="U469" s="18">
        <v>0</v>
      </c>
      <c r="X469" s="17" t="s">
        <v>60</v>
      </c>
      <c r="Y469" s="17" t="s">
        <v>219</v>
      </c>
      <c r="Z469" s="17" t="s">
        <v>822</v>
      </c>
      <c r="AA469" s="28">
        <v>781146.06645699998</v>
      </c>
      <c r="AB469" s="28">
        <v>2417509.3680199999</v>
      </c>
    </row>
    <row r="470" spans="1:28">
      <c r="A470" s="17">
        <v>469</v>
      </c>
      <c r="B470" s="17">
        <v>813230</v>
      </c>
      <c r="C470" s="17" t="s">
        <v>1044</v>
      </c>
      <c r="D470" s="17" t="s">
        <v>52</v>
      </c>
      <c r="E470" s="17" t="s">
        <v>2213</v>
      </c>
      <c r="F470" s="17" t="s">
        <v>1061</v>
      </c>
      <c r="G470" s="17" t="s">
        <v>2214</v>
      </c>
      <c r="H470" s="17" t="s">
        <v>824</v>
      </c>
      <c r="I470" s="17">
        <v>20290</v>
      </c>
      <c r="J470" s="17" t="s">
        <v>54</v>
      </c>
      <c r="K470" s="17" t="s">
        <v>63</v>
      </c>
      <c r="L470" s="17" t="s">
        <v>56</v>
      </c>
      <c r="M470" s="17" t="s">
        <v>830</v>
      </c>
      <c r="N470" s="17" t="s">
        <v>20</v>
      </c>
      <c r="O470" s="17" t="s">
        <v>828</v>
      </c>
      <c r="P470" s="17" t="s">
        <v>161</v>
      </c>
      <c r="Q470" s="17" t="s">
        <v>396</v>
      </c>
      <c r="R470" s="17" t="s">
        <v>20</v>
      </c>
      <c r="S470" s="17" t="s">
        <v>829</v>
      </c>
      <c r="T470" s="17">
        <v>130</v>
      </c>
      <c r="U470" s="18">
        <v>4499803531</v>
      </c>
      <c r="V470" s="17" t="s">
        <v>2215</v>
      </c>
      <c r="W470" s="17" t="s">
        <v>2216</v>
      </c>
      <c r="X470" s="17" t="s">
        <v>60</v>
      </c>
      <c r="Y470" s="17" t="s">
        <v>219</v>
      </c>
      <c r="Z470" s="17" t="s">
        <v>822</v>
      </c>
      <c r="AA470" s="28">
        <v>780677.29741600004</v>
      </c>
      <c r="AB470" s="28">
        <v>2416370.48728</v>
      </c>
    </row>
    <row r="471" spans="1:28">
      <c r="A471" s="17">
        <v>470</v>
      </c>
      <c r="B471" s="17">
        <v>813230</v>
      </c>
      <c r="C471" s="17" t="s">
        <v>1044</v>
      </c>
      <c r="D471" s="17" t="s">
        <v>52</v>
      </c>
      <c r="E471" s="17" t="s">
        <v>2217</v>
      </c>
      <c r="F471" s="17" t="s">
        <v>1061</v>
      </c>
      <c r="G471" s="17" t="s">
        <v>2217</v>
      </c>
      <c r="H471" s="17" t="s">
        <v>104</v>
      </c>
      <c r="I471" s="17">
        <v>20298</v>
      </c>
      <c r="J471" s="17" t="s">
        <v>54</v>
      </c>
      <c r="K471" s="17" t="s">
        <v>55</v>
      </c>
      <c r="L471" s="17" t="s">
        <v>20</v>
      </c>
      <c r="M471" s="17" t="s">
        <v>2218</v>
      </c>
      <c r="N471" s="17" t="s">
        <v>20</v>
      </c>
      <c r="O471" s="17" t="s">
        <v>2219</v>
      </c>
      <c r="P471" s="17" t="s">
        <v>20</v>
      </c>
      <c r="Q471" s="17" t="s">
        <v>2220</v>
      </c>
      <c r="R471" s="17" t="s">
        <v>20</v>
      </c>
      <c r="S471" s="17" t="s">
        <v>2221</v>
      </c>
      <c r="T471" s="17">
        <v>102</v>
      </c>
      <c r="U471" s="18">
        <v>4493848978</v>
      </c>
      <c r="X471" s="17" t="s">
        <v>60</v>
      </c>
      <c r="Y471" s="17" t="s">
        <v>219</v>
      </c>
      <c r="Z471" s="17" t="s">
        <v>822</v>
      </c>
      <c r="AA471" s="28">
        <v>781714.64653699996</v>
      </c>
      <c r="AB471" s="28">
        <v>2413972.67258</v>
      </c>
    </row>
    <row r="472" spans="1:28">
      <c r="A472" s="17">
        <v>471</v>
      </c>
      <c r="B472" s="17">
        <v>813230</v>
      </c>
      <c r="C472" s="17" t="s">
        <v>1044</v>
      </c>
      <c r="D472" s="17" t="s">
        <v>52</v>
      </c>
      <c r="E472" s="17" t="s">
        <v>2222</v>
      </c>
      <c r="F472" s="17" t="s">
        <v>1061</v>
      </c>
      <c r="H472" s="17" t="s">
        <v>109</v>
      </c>
      <c r="I472" s="17">
        <v>20298</v>
      </c>
      <c r="J472" s="17" t="s">
        <v>54</v>
      </c>
      <c r="K472" s="17" t="s">
        <v>63</v>
      </c>
      <c r="L472" s="17" t="s">
        <v>20</v>
      </c>
      <c r="M472" s="17" t="s">
        <v>2223</v>
      </c>
      <c r="O472" s="17" t="s">
        <v>59</v>
      </c>
      <c r="P472" s="17" t="s">
        <v>20</v>
      </c>
      <c r="Q472" s="17" t="s">
        <v>2224</v>
      </c>
      <c r="R472" s="17" t="s">
        <v>20</v>
      </c>
      <c r="S472" s="17" t="s">
        <v>59</v>
      </c>
      <c r="T472" s="17">
        <v>101</v>
      </c>
      <c r="U472" s="18">
        <v>0</v>
      </c>
      <c r="X472" s="17" t="s">
        <v>60</v>
      </c>
      <c r="Y472" s="17" t="s">
        <v>219</v>
      </c>
      <c r="Z472" s="17" t="s">
        <v>822</v>
      </c>
      <c r="AA472" s="28">
        <v>783528.50530900003</v>
      </c>
      <c r="AB472" s="28">
        <v>2412294.5547699998</v>
      </c>
    </row>
    <row r="473" spans="1:28">
      <c r="A473" s="17">
        <v>472</v>
      </c>
      <c r="B473" s="17">
        <v>624198</v>
      </c>
      <c r="C473" s="17" t="s">
        <v>1044</v>
      </c>
      <c r="D473" s="17" t="s">
        <v>52</v>
      </c>
      <c r="E473" s="17" t="s">
        <v>2225</v>
      </c>
      <c r="F473" s="17" t="s">
        <v>1130</v>
      </c>
      <c r="G473" s="17" t="s">
        <v>2226</v>
      </c>
      <c r="H473" s="17" t="s">
        <v>104</v>
      </c>
      <c r="I473" s="17">
        <v>20126</v>
      </c>
      <c r="J473" s="17" t="s">
        <v>54</v>
      </c>
      <c r="K473" s="17" t="s">
        <v>63</v>
      </c>
      <c r="L473" s="17" t="s">
        <v>20</v>
      </c>
      <c r="M473" s="17" t="s">
        <v>841</v>
      </c>
      <c r="N473" s="17" t="s">
        <v>20</v>
      </c>
      <c r="O473" s="17" t="s">
        <v>837</v>
      </c>
      <c r="P473" s="17" t="s">
        <v>20</v>
      </c>
      <c r="Q473" s="17" t="s">
        <v>835</v>
      </c>
      <c r="R473" s="17" t="s">
        <v>20</v>
      </c>
      <c r="S473" s="17" t="s">
        <v>842</v>
      </c>
      <c r="T473" s="17">
        <v>0</v>
      </c>
      <c r="U473" s="18">
        <v>4493972751</v>
      </c>
      <c r="V473" s="17" t="s">
        <v>1650</v>
      </c>
      <c r="X473" s="17" t="s">
        <v>60</v>
      </c>
      <c r="Y473" s="17" t="s">
        <v>667</v>
      </c>
      <c r="Z473" s="17" t="s">
        <v>831</v>
      </c>
      <c r="AA473" s="28">
        <v>782767.09205900005</v>
      </c>
      <c r="AB473" s="28">
        <v>2427331.2960899998</v>
      </c>
    </row>
    <row r="474" spans="1:28">
      <c r="A474" s="17">
        <v>473</v>
      </c>
      <c r="B474" s="17">
        <v>624411</v>
      </c>
      <c r="C474" s="17" t="s">
        <v>1044</v>
      </c>
      <c r="D474" s="17" t="s">
        <v>52</v>
      </c>
      <c r="E474" s="17" t="s">
        <v>2227</v>
      </c>
      <c r="F474" s="17" t="s">
        <v>1046</v>
      </c>
      <c r="H474" s="17" t="s">
        <v>104</v>
      </c>
      <c r="I474" s="17">
        <v>20126</v>
      </c>
      <c r="J474" s="17" t="s">
        <v>54</v>
      </c>
      <c r="K474" s="17" t="s">
        <v>63</v>
      </c>
      <c r="L474" s="17" t="s">
        <v>20</v>
      </c>
      <c r="M474" s="17" t="s">
        <v>847</v>
      </c>
      <c r="N474" s="17" t="s">
        <v>20</v>
      </c>
      <c r="O474" s="17" t="s">
        <v>836</v>
      </c>
      <c r="P474" s="17" t="s">
        <v>20</v>
      </c>
      <c r="Q474" s="17" t="s">
        <v>837</v>
      </c>
      <c r="R474" s="17" t="s">
        <v>20</v>
      </c>
      <c r="S474" s="17" t="s">
        <v>2228</v>
      </c>
      <c r="T474" s="17">
        <v>0</v>
      </c>
      <c r="U474" s="18">
        <v>4498001838</v>
      </c>
      <c r="X474" s="17" t="s">
        <v>60</v>
      </c>
      <c r="Y474" s="17" t="s">
        <v>667</v>
      </c>
      <c r="Z474" s="17" t="s">
        <v>831</v>
      </c>
      <c r="AA474" s="28">
        <v>782871.07063199999</v>
      </c>
      <c r="AB474" s="28">
        <v>2427243.85494</v>
      </c>
    </row>
    <row r="475" spans="1:28">
      <c r="A475" s="17">
        <v>474</v>
      </c>
      <c r="B475" s="17">
        <v>624411</v>
      </c>
      <c r="C475" s="17" t="s">
        <v>1044</v>
      </c>
      <c r="D475" s="17" t="s">
        <v>52</v>
      </c>
      <c r="E475" s="17" t="s">
        <v>2229</v>
      </c>
      <c r="F475" s="17" t="s">
        <v>1046</v>
      </c>
      <c r="H475" s="17" t="s">
        <v>104</v>
      </c>
      <c r="I475" s="17">
        <v>20126</v>
      </c>
      <c r="J475" s="17" t="s">
        <v>54</v>
      </c>
      <c r="K475" s="17" t="s">
        <v>55</v>
      </c>
      <c r="L475" s="17" t="s">
        <v>20</v>
      </c>
      <c r="M475" s="17" t="s">
        <v>840</v>
      </c>
      <c r="N475" s="17" t="s">
        <v>20</v>
      </c>
      <c r="O475" s="17" t="s">
        <v>834</v>
      </c>
      <c r="P475" s="17" t="s">
        <v>20</v>
      </c>
      <c r="Q475" s="17" t="s">
        <v>839</v>
      </c>
      <c r="R475" s="17" t="s">
        <v>20</v>
      </c>
      <c r="S475" s="17" t="s">
        <v>834</v>
      </c>
      <c r="T475" s="17">
        <v>1236</v>
      </c>
      <c r="U475" s="18">
        <v>4492054754</v>
      </c>
      <c r="X475" s="17" t="s">
        <v>60</v>
      </c>
      <c r="Y475" s="17" t="s">
        <v>667</v>
      </c>
      <c r="Z475" s="17" t="s">
        <v>831</v>
      </c>
      <c r="AA475" s="28">
        <v>782634.04913099995</v>
      </c>
      <c r="AB475" s="28">
        <v>2427785.6594199999</v>
      </c>
    </row>
    <row r="476" spans="1:28">
      <c r="A476" s="17">
        <v>475</v>
      </c>
      <c r="B476" s="17">
        <v>813120</v>
      </c>
      <c r="C476" s="17" t="s">
        <v>1044</v>
      </c>
      <c r="D476" s="17" t="s">
        <v>52</v>
      </c>
      <c r="E476" s="17" t="s">
        <v>2230</v>
      </c>
      <c r="F476" s="17" t="s">
        <v>1173</v>
      </c>
      <c r="G476" s="17" t="s">
        <v>2231</v>
      </c>
      <c r="H476" s="17" t="s">
        <v>104</v>
      </c>
      <c r="I476" s="17">
        <v>20126</v>
      </c>
      <c r="J476" s="17" t="s">
        <v>54</v>
      </c>
      <c r="K476" s="17" t="s">
        <v>63</v>
      </c>
      <c r="L476" s="17" t="s">
        <v>20</v>
      </c>
      <c r="M476" s="17" t="s">
        <v>676</v>
      </c>
      <c r="N476" s="17" t="s">
        <v>20</v>
      </c>
      <c r="O476" s="17" t="s">
        <v>844</v>
      </c>
      <c r="P476" s="17" t="s">
        <v>20</v>
      </c>
      <c r="Q476" s="17" t="s">
        <v>833</v>
      </c>
      <c r="R476" s="17" t="s">
        <v>20</v>
      </c>
      <c r="S476" s="17" t="s">
        <v>843</v>
      </c>
      <c r="T476" s="17">
        <v>2307</v>
      </c>
      <c r="U476" s="18">
        <v>4491390600</v>
      </c>
      <c r="V476" s="17" t="s">
        <v>2232</v>
      </c>
      <c r="X476" s="17" t="s">
        <v>67</v>
      </c>
      <c r="Y476" s="17" t="s">
        <v>667</v>
      </c>
      <c r="Z476" s="17" t="s">
        <v>831</v>
      </c>
      <c r="AA476" s="28">
        <v>782431.87888900004</v>
      </c>
      <c r="AB476" s="28">
        <v>2427305.49921</v>
      </c>
    </row>
    <row r="477" spans="1:28">
      <c r="A477" s="17">
        <v>476</v>
      </c>
      <c r="B477" s="17">
        <v>624411</v>
      </c>
      <c r="C477" s="17" t="s">
        <v>1044</v>
      </c>
      <c r="D477" s="17" t="s">
        <v>52</v>
      </c>
      <c r="E477" s="17" t="s">
        <v>2233</v>
      </c>
      <c r="F477" s="17" t="s">
        <v>1046</v>
      </c>
      <c r="H477" s="17" t="s">
        <v>104</v>
      </c>
      <c r="I477" s="17">
        <v>20126</v>
      </c>
      <c r="J477" s="17" t="s">
        <v>54</v>
      </c>
      <c r="K477" s="17" t="s">
        <v>55</v>
      </c>
      <c r="L477" s="17" t="s">
        <v>20</v>
      </c>
      <c r="M477" s="17" t="s">
        <v>863</v>
      </c>
      <c r="N477" s="17" t="s">
        <v>20</v>
      </c>
      <c r="O477" s="17" t="s">
        <v>864</v>
      </c>
      <c r="P477" s="17" t="s">
        <v>20</v>
      </c>
      <c r="Q477" s="17" t="s">
        <v>862</v>
      </c>
      <c r="R477" s="17" t="s">
        <v>20</v>
      </c>
      <c r="S477" s="17" t="s">
        <v>2234</v>
      </c>
      <c r="T477" s="17">
        <v>0</v>
      </c>
      <c r="U477" s="18">
        <v>0</v>
      </c>
      <c r="X477" s="17" t="s">
        <v>60</v>
      </c>
      <c r="Y477" s="17" t="s">
        <v>651</v>
      </c>
      <c r="Z477" s="17" t="s">
        <v>831</v>
      </c>
      <c r="AA477" s="28">
        <v>784276.88291499997</v>
      </c>
      <c r="AB477" s="28">
        <v>2428447.8010100001</v>
      </c>
    </row>
    <row r="478" spans="1:28">
      <c r="A478" s="17">
        <v>477</v>
      </c>
      <c r="B478" s="17">
        <v>624411</v>
      </c>
      <c r="C478" s="17" t="s">
        <v>1044</v>
      </c>
      <c r="D478" s="17" t="s">
        <v>52</v>
      </c>
      <c r="E478" s="17" t="s">
        <v>2235</v>
      </c>
      <c r="F478" s="17" t="s">
        <v>1046</v>
      </c>
      <c r="H478" s="17" t="s">
        <v>104</v>
      </c>
      <c r="I478" s="17">
        <v>20126</v>
      </c>
      <c r="J478" s="17" t="s">
        <v>54</v>
      </c>
      <c r="K478" s="17" t="s">
        <v>55</v>
      </c>
      <c r="L478" s="17" t="s">
        <v>56</v>
      </c>
      <c r="M478" s="17" t="s">
        <v>833</v>
      </c>
      <c r="N478" s="17" t="s">
        <v>20</v>
      </c>
      <c r="O478" s="17" t="s">
        <v>2236</v>
      </c>
      <c r="P478" s="17" t="s">
        <v>20</v>
      </c>
      <c r="Q478" s="17" t="s">
        <v>851</v>
      </c>
      <c r="R478" s="17" t="s">
        <v>20</v>
      </c>
      <c r="S478" s="17" t="s">
        <v>852</v>
      </c>
      <c r="T478" s="17">
        <v>1246</v>
      </c>
      <c r="U478" s="18">
        <v>0</v>
      </c>
      <c r="X478" s="17" t="s">
        <v>67</v>
      </c>
      <c r="Y478" s="17" t="s">
        <v>651</v>
      </c>
      <c r="Z478" s="17" t="s">
        <v>831</v>
      </c>
      <c r="AA478" s="28">
        <v>783353.23292900005</v>
      </c>
      <c r="AB478" s="28">
        <v>2428300.5112000001</v>
      </c>
    </row>
    <row r="479" spans="1:28">
      <c r="A479" s="17">
        <v>478</v>
      </c>
      <c r="B479" s="17">
        <v>624411</v>
      </c>
      <c r="C479" s="17" t="s">
        <v>1044</v>
      </c>
      <c r="D479" s="17" t="s">
        <v>52</v>
      </c>
      <c r="E479" s="17" t="s">
        <v>2237</v>
      </c>
      <c r="F479" s="17" t="s">
        <v>1046</v>
      </c>
      <c r="H479" s="17" t="s">
        <v>104</v>
      </c>
      <c r="I479" s="17">
        <v>20126</v>
      </c>
      <c r="J479" s="17" t="s">
        <v>54</v>
      </c>
      <c r="K479" s="17" t="s">
        <v>55</v>
      </c>
      <c r="L479" s="17" t="s">
        <v>20</v>
      </c>
      <c r="M479" s="17" t="s">
        <v>2238</v>
      </c>
      <c r="N479" s="17" t="s">
        <v>56</v>
      </c>
      <c r="O479" s="17" t="s">
        <v>846</v>
      </c>
      <c r="P479" s="17" t="s">
        <v>20</v>
      </c>
      <c r="Q479" s="17" t="s">
        <v>861</v>
      </c>
      <c r="R479" s="17" t="s">
        <v>20</v>
      </c>
      <c r="S479" s="17" t="s">
        <v>2239</v>
      </c>
      <c r="T479" s="17">
        <v>112</v>
      </c>
      <c r="U479" s="18">
        <v>0</v>
      </c>
      <c r="X479" s="17" t="s">
        <v>60</v>
      </c>
      <c r="Y479" s="17" t="s">
        <v>651</v>
      </c>
      <c r="Z479" s="17" t="s">
        <v>831</v>
      </c>
      <c r="AA479" s="28">
        <v>783959.19941600005</v>
      </c>
      <c r="AB479" s="28">
        <v>2427521.0603800002</v>
      </c>
    </row>
    <row r="480" spans="1:28">
      <c r="A480" s="17">
        <v>479</v>
      </c>
      <c r="B480" s="17">
        <v>624199</v>
      </c>
      <c r="C480" s="17" t="s">
        <v>1044</v>
      </c>
      <c r="D480" s="17" t="s">
        <v>1008</v>
      </c>
      <c r="E480" s="17" t="s">
        <v>2240</v>
      </c>
      <c r="F480" s="17" t="s">
        <v>1156</v>
      </c>
      <c r="G480" s="17" t="s">
        <v>2241</v>
      </c>
      <c r="H480" s="17" t="s">
        <v>104</v>
      </c>
      <c r="I480" s="17">
        <v>20126</v>
      </c>
      <c r="J480" s="17" t="s">
        <v>54</v>
      </c>
      <c r="K480" s="17" t="s">
        <v>78</v>
      </c>
      <c r="L480" s="17" t="s">
        <v>20</v>
      </c>
      <c r="M480" s="17" t="s">
        <v>841</v>
      </c>
      <c r="N480" s="17" t="s">
        <v>56</v>
      </c>
      <c r="O480" s="17" t="s">
        <v>846</v>
      </c>
      <c r="P480" s="17" t="s">
        <v>20</v>
      </c>
      <c r="Q480" s="17" t="s">
        <v>866</v>
      </c>
      <c r="R480" s="17" t="s">
        <v>20</v>
      </c>
      <c r="S480" s="17" t="s">
        <v>842</v>
      </c>
      <c r="T480" s="17">
        <v>814</v>
      </c>
      <c r="U480" s="18">
        <v>4492513213</v>
      </c>
      <c r="X480" s="17" t="s">
        <v>64</v>
      </c>
      <c r="Y480" s="17" t="s">
        <v>651</v>
      </c>
      <c r="Z480" s="17" t="s">
        <v>831</v>
      </c>
      <c r="AA480" s="28">
        <v>782978.82187500002</v>
      </c>
      <c r="AB480" s="28">
        <v>2427707.9678400001</v>
      </c>
    </row>
    <row r="481" spans="1:28">
      <c r="A481" s="17">
        <v>480</v>
      </c>
      <c r="B481" s="17">
        <v>624191</v>
      </c>
      <c r="C481" s="17" t="s">
        <v>1044</v>
      </c>
      <c r="D481" s="17" t="s">
        <v>52</v>
      </c>
      <c r="E481" s="17" t="s">
        <v>2242</v>
      </c>
      <c r="F481" s="17" t="s">
        <v>1064</v>
      </c>
      <c r="G481" s="17" t="s">
        <v>821</v>
      </c>
      <c r="H481" s="17" t="s">
        <v>69</v>
      </c>
      <c r="I481" s="17">
        <v>20172</v>
      </c>
      <c r="J481" s="17" t="s">
        <v>54</v>
      </c>
      <c r="K481" s="17" t="s">
        <v>78</v>
      </c>
      <c r="L481" s="17" t="s">
        <v>20</v>
      </c>
      <c r="M481" s="17" t="s">
        <v>856</v>
      </c>
      <c r="N481" s="17" t="s">
        <v>20</v>
      </c>
      <c r="O481" s="17" t="s">
        <v>708</v>
      </c>
      <c r="P481" s="17" t="s">
        <v>20</v>
      </c>
      <c r="Q481" s="17" t="s">
        <v>433</v>
      </c>
      <c r="R481" s="17" t="s">
        <v>20</v>
      </c>
      <c r="S481" s="17" t="s">
        <v>865</v>
      </c>
      <c r="T481" s="17">
        <v>0</v>
      </c>
      <c r="U481" s="18">
        <v>4493247390</v>
      </c>
      <c r="X481" s="17" t="s">
        <v>60</v>
      </c>
      <c r="Y481" s="17" t="s">
        <v>651</v>
      </c>
      <c r="Z481" s="17" t="s">
        <v>831</v>
      </c>
      <c r="AA481" s="28">
        <v>784019.62364300003</v>
      </c>
      <c r="AB481" s="28">
        <v>2426290.1711400002</v>
      </c>
    </row>
    <row r="482" spans="1:28">
      <c r="A482" s="17">
        <v>481</v>
      </c>
      <c r="B482" s="17">
        <v>624191</v>
      </c>
      <c r="C482" s="17" t="s">
        <v>1044</v>
      </c>
      <c r="D482" s="17" t="s">
        <v>52</v>
      </c>
      <c r="E482" s="17" t="s">
        <v>2243</v>
      </c>
      <c r="F482" s="17" t="s">
        <v>1064</v>
      </c>
      <c r="G482" s="17" t="s">
        <v>2244</v>
      </c>
      <c r="H482" s="17" t="s">
        <v>69</v>
      </c>
      <c r="I482" s="17">
        <v>20172</v>
      </c>
      <c r="J482" s="17" t="s">
        <v>54</v>
      </c>
      <c r="K482" s="17" t="s">
        <v>55</v>
      </c>
      <c r="L482" s="17" t="s">
        <v>20</v>
      </c>
      <c r="M482" s="17" t="s">
        <v>2245</v>
      </c>
      <c r="N482" s="17" t="s">
        <v>20</v>
      </c>
      <c r="O482" s="17" t="s">
        <v>433</v>
      </c>
      <c r="P482" s="17" t="s">
        <v>20</v>
      </c>
      <c r="Q482" s="17" t="s">
        <v>849</v>
      </c>
      <c r="R482" s="17" t="s">
        <v>20</v>
      </c>
      <c r="S482" s="17" t="s">
        <v>2246</v>
      </c>
      <c r="T482" s="17">
        <v>207</v>
      </c>
      <c r="U482" s="18">
        <v>0</v>
      </c>
      <c r="X482" s="17" t="s">
        <v>60</v>
      </c>
      <c r="Y482" s="17" t="s">
        <v>651</v>
      </c>
      <c r="Z482" s="17" t="s">
        <v>831</v>
      </c>
      <c r="AA482" s="28">
        <v>784071.428877</v>
      </c>
      <c r="AB482" s="28">
        <v>2426328.8760299999</v>
      </c>
    </row>
    <row r="483" spans="1:28">
      <c r="A483" s="17">
        <v>482</v>
      </c>
      <c r="B483" s="17">
        <v>624191</v>
      </c>
      <c r="C483" s="17" t="s">
        <v>1044</v>
      </c>
      <c r="D483" s="17" t="s">
        <v>52</v>
      </c>
      <c r="E483" s="17" t="s">
        <v>2247</v>
      </c>
      <c r="F483" s="17" t="s">
        <v>1064</v>
      </c>
      <c r="H483" s="17" t="s">
        <v>104</v>
      </c>
      <c r="I483" s="17">
        <v>20172</v>
      </c>
      <c r="J483" s="17" t="s">
        <v>54</v>
      </c>
      <c r="K483" s="17" t="s">
        <v>55</v>
      </c>
      <c r="L483" s="17" t="s">
        <v>20</v>
      </c>
      <c r="M483" s="17" t="s">
        <v>855</v>
      </c>
      <c r="N483" s="17" t="s">
        <v>161</v>
      </c>
      <c r="O483" s="17" t="s">
        <v>656</v>
      </c>
      <c r="P483" s="17" t="s">
        <v>20</v>
      </c>
      <c r="Q483" s="17" t="s">
        <v>849</v>
      </c>
      <c r="R483" s="17" t="s">
        <v>20</v>
      </c>
      <c r="S483" s="17" t="s">
        <v>848</v>
      </c>
      <c r="T483" s="17">
        <v>230</v>
      </c>
      <c r="U483" s="18">
        <v>4491116258</v>
      </c>
      <c r="X483" s="17" t="s">
        <v>60</v>
      </c>
      <c r="Y483" s="17" t="s">
        <v>651</v>
      </c>
      <c r="Z483" s="17" t="s">
        <v>831</v>
      </c>
      <c r="AA483" s="28">
        <v>784339.20914299996</v>
      </c>
      <c r="AB483" s="28">
        <v>2426182.6916100001</v>
      </c>
    </row>
    <row r="484" spans="1:28">
      <c r="A484" s="17">
        <v>483</v>
      </c>
      <c r="B484" s="17">
        <v>624191</v>
      </c>
      <c r="C484" s="17" t="s">
        <v>1044</v>
      </c>
      <c r="D484" s="17" t="s">
        <v>52</v>
      </c>
      <c r="E484" s="17" t="s">
        <v>2248</v>
      </c>
      <c r="F484" s="17" t="s">
        <v>1064</v>
      </c>
      <c r="G484" s="17" t="s">
        <v>2249</v>
      </c>
      <c r="H484" s="17" t="s">
        <v>104</v>
      </c>
      <c r="I484" s="17">
        <v>20172</v>
      </c>
      <c r="J484" s="17" t="s">
        <v>54</v>
      </c>
      <c r="K484" s="17" t="s">
        <v>63</v>
      </c>
      <c r="L484" s="17" t="s">
        <v>20</v>
      </c>
      <c r="M484" s="17" t="s">
        <v>854</v>
      </c>
      <c r="N484" s="17" t="s">
        <v>20</v>
      </c>
      <c r="O484" s="17" t="s">
        <v>849</v>
      </c>
      <c r="P484" s="17" t="s">
        <v>20</v>
      </c>
      <c r="Q484" s="17" t="s">
        <v>433</v>
      </c>
      <c r="R484" s="17" t="s">
        <v>20</v>
      </c>
      <c r="S484" s="17" t="s">
        <v>2250</v>
      </c>
      <c r="T484" s="17">
        <v>0</v>
      </c>
      <c r="U484" s="18">
        <v>0</v>
      </c>
      <c r="X484" s="17" t="s">
        <v>60</v>
      </c>
      <c r="Y484" s="17" t="s">
        <v>651</v>
      </c>
      <c r="Z484" s="17" t="s">
        <v>831</v>
      </c>
      <c r="AA484" s="28">
        <v>783945.37857499998</v>
      </c>
      <c r="AB484" s="28">
        <v>2425967.9471800001</v>
      </c>
    </row>
    <row r="485" spans="1:28">
      <c r="A485" s="17">
        <v>484</v>
      </c>
      <c r="B485" s="17">
        <v>624191</v>
      </c>
      <c r="C485" s="17" t="s">
        <v>1044</v>
      </c>
      <c r="D485" s="17" t="s">
        <v>52</v>
      </c>
      <c r="E485" s="17" t="s">
        <v>2251</v>
      </c>
      <c r="F485" s="17" t="s">
        <v>1064</v>
      </c>
      <c r="G485" s="17" t="s">
        <v>2252</v>
      </c>
      <c r="H485" s="17" t="s">
        <v>104</v>
      </c>
      <c r="I485" s="17">
        <v>20126</v>
      </c>
      <c r="J485" s="17" t="s">
        <v>54</v>
      </c>
      <c r="K485" s="17" t="s">
        <v>55</v>
      </c>
      <c r="L485" s="17" t="s">
        <v>20</v>
      </c>
      <c r="M485" s="17" t="s">
        <v>857</v>
      </c>
      <c r="N485" s="17" t="s">
        <v>20</v>
      </c>
      <c r="O485" s="17" t="s">
        <v>858</v>
      </c>
      <c r="P485" s="17" t="s">
        <v>20</v>
      </c>
      <c r="Q485" s="17" t="s">
        <v>859</v>
      </c>
      <c r="R485" s="17" t="s">
        <v>20</v>
      </c>
      <c r="S485" s="17" t="s">
        <v>860</v>
      </c>
      <c r="T485" s="17">
        <v>112</v>
      </c>
      <c r="U485" s="18">
        <v>0</v>
      </c>
      <c r="X485" s="17" t="s">
        <v>60</v>
      </c>
      <c r="Y485" s="17" t="s">
        <v>651</v>
      </c>
      <c r="Z485" s="17" t="s">
        <v>831</v>
      </c>
      <c r="AA485" s="28">
        <v>784319.47365599999</v>
      </c>
      <c r="AB485" s="28">
        <v>2427554.44789</v>
      </c>
    </row>
    <row r="486" spans="1:28">
      <c r="A486" s="17">
        <v>485</v>
      </c>
      <c r="B486" s="17">
        <v>624191</v>
      </c>
      <c r="C486" s="17" t="s">
        <v>1044</v>
      </c>
      <c r="D486" s="17" t="s">
        <v>52</v>
      </c>
      <c r="E486" s="17" t="s">
        <v>2253</v>
      </c>
      <c r="F486" s="17" t="s">
        <v>1064</v>
      </c>
      <c r="G486" s="17" t="s">
        <v>2253</v>
      </c>
      <c r="H486" s="17" t="s">
        <v>1002</v>
      </c>
      <c r="I486" s="17">
        <v>20126</v>
      </c>
      <c r="J486" s="17" t="s">
        <v>54</v>
      </c>
      <c r="K486" s="17" t="s">
        <v>55</v>
      </c>
      <c r="L486" s="17" t="s">
        <v>56</v>
      </c>
      <c r="M486" s="17" t="s">
        <v>845</v>
      </c>
      <c r="N486" s="17" t="s">
        <v>20</v>
      </c>
      <c r="O486" s="17" t="s">
        <v>2254</v>
      </c>
      <c r="P486" s="17" t="s">
        <v>20</v>
      </c>
      <c r="Q486" s="17" t="s">
        <v>2255</v>
      </c>
      <c r="R486" s="17" t="s">
        <v>56</v>
      </c>
      <c r="S486" s="17" t="s">
        <v>838</v>
      </c>
      <c r="T486" s="17">
        <v>718</v>
      </c>
      <c r="U486" s="18">
        <v>4492341880</v>
      </c>
      <c r="X486" s="17" t="s">
        <v>60</v>
      </c>
      <c r="Y486" s="17" t="s">
        <v>651</v>
      </c>
      <c r="Z486" s="17" t="s">
        <v>831</v>
      </c>
      <c r="AA486" s="28">
        <v>783945.86389599997</v>
      </c>
      <c r="AB486" s="28">
        <v>2428268.9212400001</v>
      </c>
    </row>
    <row r="487" spans="1:28">
      <c r="A487" s="17">
        <v>486</v>
      </c>
      <c r="B487" s="17">
        <v>813230</v>
      </c>
      <c r="C487" s="17" t="s">
        <v>1044</v>
      </c>
      <c r="D487" s="17" t="s">
        <v>52</v>
      </c>
      <c r="E487" s="17" t="s">
        <v>2256</v>
      </c>
      <c r="F487" s="17" t="s">
        <v>1061</v>
      </c>
      <c r="G487" s="17" t="s">
        <v>2257</v>
      </c>
      <c r="H487" s="17" t="s">
        <v>104</v>
      </c>
      <c r="I487" s="17">
        <v>20126</v>
      </c>
      <c r="J487" s="17" t="s">
        <v>54</v>
      </c>
      <c r="K487" s="17" t="s">
        <v>78</v>
      </c>
      <c r="L487" s="17" t="s">
        <v>20</v>
      </c>
      <c r="M487" s="17" t="s">
        <v>852</v>
      </c>
      <c r="N487" s="17" t="s">
        <v>20</v>
      </c>
      <c r="O487" s="17" t="s">
        <v>2258</v>
      </c>
      <c r="P487" s="17" t="s">
        <v>20</v>
      </c>
      <c r="Q487" s="17" t="s">
        <v>832</v>
      </c>
      <c r="R487" s="17" t="s">
        <v>56</v>
      </c>
      <c r="S487" s="17" t="s">
        <v>838</v>
      </c>
      <c r="T487" s="17">
        <v>1607</v>
      </c>
      <c r="U487" s="18">
        <v>0</v>
      </c>
      <c r="V487" s="17" t="s">
        <v>2259</v>
      </c>
      <c r="X487" s="17" t="s">
        <v>60</v>
      </c>
      <c r="Y487" s="17" t="s">
        <v>651</v>
      </c>
      <c r="Z487" s="17" t="s">
        <v>831</v>
      </c>
      <c r="AA487" s="28">
        <v>783213.62119600002</v>
      </c>
      <c r="AB487" s="28">
        <v>2428444.7664399999</v>
      </c>
    </row>
    <row r="488" spans="1:28">
      <c r="A488" s="17">
        <v>487</v>
      </c>
      <c r="B488" s="17">
        <v>813230</v>
      </c>
      <c r="C488" s="17" t="s">
        <v>1044</v>
      </c>
      <c r="D488" s="17" t="s">
        <v>52</v>
      </c>
      <c r="E488" s="17" t="s">
        <v>2260</v>
      </c>
      <c r="F488" s="17" t="s">
        <v>1061</v>
      </c>
      <c r="G488" s="17" t="s">
        <v>1010</v>
      </c>
      <c r="H488" s="17" t="s">
        <v>104</v>
      </c>
      <c r="I488" s="17">
        <v>20126</v>
      </c>
      <c r="J488" s="17" t="s">
        <v>54</v>
      </c>
      <c r="K488" s="17" t="s">
        <v>55</v>
      </c>
      <c r="L488" s="17" t="s">
        <v>20</v>
      </c>
      <c r="M488" s="17" t="s">
        <v>841</v>
      </c>
      <c r="N488" s="17" t="s">
        <v>56</v>
      </c>
      <c r="O488" s="17" t="s">
        <v>846</v>
      </c>
      <c r="P488" s="17" t="s">
        <v>20</v>
      </c>
      <c r="Q488" s="17" t="s">
        <v>850</v>
      </c>
      <c r="R488" s="17" t="s">
        <v>20</v>
      </c>
      <c r="S488" s="17" t="s">
        <v>853</v>
      </c>
      <c r="T488" s="17">
        <v>0</v>
      </c>
      <c r="U488" s="18">
        <v>0</v>
      </c>
      <c r="W488" s="17" t="s">
        <v>1023</v>
      </c>
      <c r="X488" s="17" t="s">
        <v>60</v>
      </c>
      <c r="Y488" s="17" t="s">
        <v>651</v>
      </c>
      <c r="Z488" s="17" t="s">
        <v>831</v>
      </c>
      <c r="AA488" s="28">
        <v>782983.80035999999</v>
      </c>
      <c r="AB488" s="28">
        <v>2427680.8191399998</v>
      </c>
    </row>
    <row r="489" spans="1:28">
      <c r="A489" s="17">
        <v>488</v>
      </c>
      <c r="B489" s="17">
        <v>624211</v>
      </c>
      <c r="C489" s="17" t="s">
        <v>1044</v>
      </c>
      <c r="D489" s="17" t="s">
        <v>52</v>
      </c>
      <c r="E489" s="17" t="s">
        <v>2261</v>
      </c>
      <c r="F489" s="17" t="s">
        <v>1080</v>
      </c>
      <c r="H489" s="17" t="s">
        <v>104</v>
      </c>
      <c r="I489" s="17">
        <v>20263</v>
      </c>
      <c r="J489" s="17" t="s">
        <v>54</v>
      </c>
      <c r="K489" s="17" t="s">
        <v>55</v>
      </c>
      <c r="L489" s="17" t="s">
        <v>20</v>
      </c>
      <c r="M489" s="17" t="s">
        <v>2262</v>
      </c>
      <c r="N489" s="17" t="s">
        <v>20</v>
      </c>
      <c r="O489" s="17" t="s">
        <v>2263</v>
      </c>
      <c r="P489" s="17" t="s">
        <v>20</v>
      </c>
      <c r="Q489" s="17" t="s">
        <v>868</v>
      </c>
      <c r="S489" s="17" t="s">
        <v>59</v>
      </c>
      <c r="T489" s="17">
        <v>0</v>
      </c>
      <c r="U489" s="18">
        <v>4491646872</v>
      </c>
      <c r="X489" s="17" t="s">
        <v>60</v>
      </c>
      <c r="Y489" s="17" t="s">
        <v>612</v>
      </c>
      <c r="Z489" s="17" t="s">
        <v>867</v>
      </c>
      <c r="AA489" s="28">
        <v>785195.74581400002</v>
      </c>
      <c r="AB489" s="28">
        <v>2419943.17478</v>
      </c>
    </row>
    <row r="490" spans="1:28">
      <c r="A490" s="17">
        <v>489</v>
      </c>
      <c r="B490" s="17">
        <v>624411</v>
      </c>
      <c r="C490" s="17" t="s">
        <v>1044</v>
      </c>
      <c r="D490" s="17" t="s">
        <v>52</v>
      </c>
      <c r="E490" s="17" t="s">
        <v>2264</v>
      </c>
      <c r="F490" s="17" t="s">
        <v>1046</v>
      </c>
      <c r="H490" s="17" t="s">
        <v>104</v>
      </c>
      <c r="I490" s="17">
        <v>20263</v>
      </c>
      <c r="J490" s="17" t="s">
        <v>54</v>
      </c>
      <c r="K490" s="17" t="s">
        <v>63</v>
      </c>
      <c r="L490" s="17" t="s">
        <v>20</v>
      </c>
      <c r="M490" s="17" t="s">
        <v>2265</v>
      </c>
      <c r="N490" s="17" t="s">
        <v>58</v>
      </c>
      <c r="O490" s="17" t="s">
        <v>2265</v>
      </c>
      <c r="P490" s="17" t="s">
        <v>20</v>
      </c>
      <c r="Q490" s="17" t="s">
        <v>904</v>
      </c>
      <c r="R490" s="17" t="s">
        <v>142</v>
      </c>
      <c r="S490" s="17" t="s">
        <v>870</v>
      </c>
      <c r="T490" s="17">
        <v>332</v>
      </c>
      <c r="U490" s="18">
        <v>4499048857</v>
      </c>
      <c r="X490" s="17" t="s">
        <v>67</v>
      </c>
      <c r="Y490" s="17" t="s">
        <v>612</v>
      </c>
      <c r="Z490" s="17" t="s">
        <v>867</v>
      </c>
      <c r="AA490" s="28">
        <v>785362.74737999996</v>
      </c>
      <c r="AB490" s="28">
        <v>2420164.39108</v>
      </c>
    </row>
    <row r="491" spans="1:28">
      <c r="A491" s="17">
        <v>490</v>
      </c>
      <c r="B491" s="17">
        <v>624411</v>
      </c>
      <c r="C491" s="17" t="s">
        <v>1044</v>
      </c>
      <c r="D491" s="17" t="s">
        <v>52</v>
      </c>
      <c r="E491" s="17" t="s">
        <v>2266</v>
      </c>
      <c r="F491" s="17" t="s">
        <v>1046</v>
      </c>
      <c r="H491" s="17" t="s">
        <v>104</v>
      </c>
      <c r="I491" s="17">
        <v>20263</v>
      </c>
      <c r="J491" s="17" t="s">
        <v>54</v>
      </c>
      <c r="K491" s="17" t="s">
        <v>63</v>
      </c>
      <c r="L491" s="17" t="s">
        <v>56</v>
      </c>
      <c r="M491" s="17" t="s">
        <v>1942</v>
      </c>
      <c r="N491" s="17" t="s">
        <v>58</v>
      </c>
      <c r="O491" s="17" t="s">
        <v>2267</v>
      </c>
      <c r="P491" s="17" t="s">
        <v>20</v>
      </c>
      <c r="Q491" s="17" t="s">
        <v>869</v>
      </c>
      <c r="R491" s="17" t="s">
        <v>20</v>
      </c>
      <c r="S491" s="17" t="s">
        <v>2268</v>
      </c>
      <c r="T491" s="17">
        <v>2219</v>
      </c>
      <c r="U491" s="18">
        <v>4499995975</v>
      </c>
      <c r="V491" s="17" t="s">
        <v>2269</v>
      </c>
      <c r="X491" s="17" t="s">
        <v>60</v>
      </c>
      <c r="Y491" s="17" t="s">
        <v>612</v>
      </c>
      <c r="Z491" s="17" t="s">
        <v>867</v>
      </c>
      <c r="AA491" s="28">
        <v>785830.14987199998</v>
      </c>
      <c r="AB491" s="28">
        <v>2420084.7385</v>
      </c>
    </row>
    <row r="492" spans="1:28">
      <c r="A492" s="17">
        <v>491</v>
      </c>
      <c r="B492" s="17">
        <v>624112</v>
      </c>
      <c r="C492" s="17" t="s">
        <v>1044</v>
      </c>
      <c r="D492" s="17" t="s">
        <v>1008</v>
      </c>
      <c r="E492" s="17" t="s">
        <v>2270</v>
      </c>
      <c r="F492" s="17" t="s">
        <v>1149</v>
      </c>
      <c r="G492" s="17" t="s">
        <v>2271</v>
      </c>
      <c r="H492" s="17" t="s">
        <v>104</v>
      </c>
      <c r="I492" s="17">
        <v>20299</v>
      </c>
      <c r="J492" s="17" t="s">
        <v>54</v>
      </c>
      <c r="K492" s="17" t="s">
        <v>63</v>
      </c>
      <c r="L492" s="17" t="s">
        <v>20</v>
      </c>
      <c r="M492" s="17" t="s">
        <v>2272</v>
      </c>
      <c r="N492" s="17" t="s">
        <v>20</v>
      </c>
      <c r="O492" s="17" t="s">
        <v>815</v>
      </c>
      <c r="P492" s="17" t="s">
        <v>142</v>
      </c>
      <c r="Q492" s="17" t="s">
        <v>148</v>
      </c>
      <c r="R492" s="17" t="s">
        <v>20</v>
      </c>
      <c r="S492" s="17" t="s">
        <v>815</v>
      </c>
      <c r="T492" s="17">
        <v>228</v>
      </c>
      <c r="U492" s="18">
        <v>4491377819</v>
      </c>
      <c r="W492" s="17" t="s">
        <v>2273</v>
      </c>
      <c r="X492" s="17" t="s">
        <v>64</v>
      </c>
      <c r="Y492" s="17" t="s">
        <v>219</v>
      </c>
      <c r="Z492" s="17" t="s">
        <v>867</v>
      </c>
      <c r="AA492" s="28">
        <v>784457.89047999994</v>
      </c>
      <c r="AB492" s="28">
        <v>2418430.5326100001</v>
      </c>
    </row>
    <row r="493" spans="1:28">
      <c r="A493" s="17">
        <v>492</v>
      </c>
      <c r="B493" s="17">
        <v>624412</v>
      </c>
      <c r="C493" s="17" t="s">
        <v>1044</v>
      </c>
      <c r="D493" s="17" t="s">
        <v>1008</v>
      </c>
      <c r="E493" s="17" t="s">
        <v>2274</v>
      </c>
      <c r="F493" s="17" t="s">
        <v>1123</v>
      </c>
      <c r="H493" s="17" t="s">
        <v>104</v>
      </c>
      <c r="I493" s="17">
        <v>20299</v>
      </c>
      <c r="J493" s="17" t="s">
        <v>54</v>
      </c>
      <c r="K493" s="17" t="s">
        <v>55</v>
      </c>
      <c r="L493" s="17" t="s">
        <v>217</v>
      </c>
      <c r="M493" s="17" t="s">
        <v>2275</v>
      </c>
      <c r="N493" s="17" t="s">
        <v>20</v>
      </c>
      <c r="O493" s="17" t="s">
        <v>2275</v>
      </c>
      <c r="P493" s="17" t="s">
        <v>142</v>
      </c>
      <c r="Q493" s="17" t="s">
        <v>737</v>
      </c>
      <c r="R493" s="17" t="s">
        <v>20</v>
      </c>
      <c r="S493" s="17" t="s">
        <v>2276</v>
      </c>
      <c r="T493" s="17">
        <v>104</v>
      </c>
      <c r="U493" s="18">
        <v>4494278815</v>
      </c>
      <c r="V493" s="17" t="s">
        <v>2277</v>
      </c>
      <c r="X493" s="17" t="s">
        <v>64</v>
      </c>
      <c r="Y493" s="17" t="s">
        <v>219</v>
      </c>
      <c r="Z493" s="17" t="s">
        <v>867</v>
      </c>
      <c r="AA493" s="28">
        <v>785192.85212000005</v>
      </c>
      <c r="AB493" s="28">
        <v>2418669.68358</v>
      </c>
    </row>
    <row r="494" spans="1:28">
      <c r="A494" s="17">
        <v>493</v>
      </c>
      <c r="B494" s="17">
        <v>624191</v>
      </c>
      <c r="C494" s="17" t="s">
        <v>1044</v>
      </c>
      <c r="D494" s="17" t="s">
        <v>52</v>
      </c>
      <c r="E494" s="17" t="s">
        <v>2278</v>
      </c>
      <c r="F494" s="17" t="s">
        <v>1064</v>
      </c>
      <c r="G494" s="17" t="s">
        <v>2279</v>
      </c>
      <c r="H494" s="17" t="s">
        <v>104</v>
      </c>
      <c r="I494" s="17">
        <v>20217</v>
      </c>
      <c r="J494" s="17" t="s">
        <v>54</v>
      </c>
      <c r="K494" s="17" t="s">
        <v>55</v>
      </c>
      <c r="L494" s="17" t="s">
        <v>20</v>
      </c>
      <c r="M494" s="17" t="s">
        <v>59</v>
      </c>
      <c r="O494" s="17" t="s">
        <v>91</v>
      </c>
      <c r="P494" s="17" t="s">
        <v>56</v>
      </c>
      <c r="Q494" s="17" t="s">
        <v>2280</v>
      </c>
      <c r="R494" s="17" t="s">
        <v>20</v>
      </c>
      <c r="S494" s="17" t="s">
        <v>2280</v>
      </c>
      <c r="T494" s="17">
        <v>98</v>
      </c>
      <c r="U494" s="18">
        <v>0</v>
      </c>
      <c r="X494" s="17" t="s">
        <v>64</v>
      </c>
      <c r="Y494" s="17" t="s">
        <v>219</v>
      </c>
      <c r="Z494" s="17" t="s">
        <v>867</v>
      </c>
      <c r="AA494" s="28">
        <v>781530.91335799999</v>
      </c>
      <c r="AB494" s="28">
        <v>2415771.3599399999</v>
      </c>
    </row>
    <row r="495" spans="1:28">
      <c r="A495" s="17">
        <v>494</v>
      </c>
      <c r="B495" s="17">
        <v>624412</v>
      </c>
      <c r="C495" s="17" t="s">
        <v>1044</v>
      </c>
      <c r="D495" s="17" t="s">
        <v>1008</v>
      </c>
      <c r="E495" s="17" t="s">
        <v>2281</v>
      </c>
      <c r="F495" s="17" t="s">
        <v>1123</v>
      </c>
      <c r="H495" s="17" t="s">
        <v>104</v>
      </c>
      <c r="I495" s="17">
        <v>20133</v>
      </c>
      <c r="J495" s="17" t="s">
        <v>54</v>
      </c>
      <c r="K495" s="17" t="s">
        <v>63</v>
      </c>
      <c r="L495" s="17" t="s">
        <v>20</v>
      </c>
      <c r="M495" s="17" t="s">
        <v>876</v>
      </c>
      <c r="N495" s="17" t="s">
        <v>56</v>
      </c>
      <c r="O495" s="17" t="s">
        <v>874</v>
      </c>
      <c r="P495" s="17" t="s">
        <v>20</v>
      </c>
      <c r="Q495" s="17" t="s">
        <v>878</v>
      </c>
      <c r="R495" s="17" t="s">
        <v>20</v>
      </c>
      <c r="S495" s="17" t="s">
        <v>875</v>
      </c>
      <c r="T495" s="17">
        <v>98</v>
      </c>
      <c r="U495" s="18">
        <v>4492709252</v>
      </c>
      <c r="V495" s="17" t="s">
        <v>2282</v>
      </c>
      <c r="X495" s="17" t="s">
        <v>64</v>
      </c>
      <c r="Y495" s="17" t="s">
        <v>612</v>
      </c>
      <c r="Z495" s="17" t="s">
        <v>877</v>
      </c>
      <c r="AA495" s="28">
        <v>784389.13221099996</v>
      </c>
      <c r="AB495" s="28">
        <v>2423042.7503599999</v>
      </c>
    </row>
    <row r="496" spans="1:28">
      <c r="A496" s="17">
        <v>495</v>
      </c>
      <c r="B496" s="17">
        <v>624411</v>
      </c>
      <c r="C496" s="17" t="s">
        <v>1044</v>
      </c>
      <c r="D496" s="17" t="s">
        <v>52</v>
      </c>
      <c r="E496" s="17" t="s">
        <v>2283</v>
      </c>
      <c r="F496" s="17" t="s">
        <v>1046</v>
      </c>
      <c r="H496" s="17" t="s">
        <v>104</v>
      </c>
      <c r="I496" s="17">
        <v>20298</v>
      </c>
      <c r="J496" s="17" t="s">
        <v>54</v>
      </c>
      <c r="K496" s="17" t="s">
        <v>55</v>
      </c>
      <c r="L496" s="17" t="s">
        <v>56</v>
      </c>
      <c r="M496" s="17" t="s">
        <v>880</v>
      </c>
      <c r="N496" s="17" t="s">
        <v>56</v>
      </c>
      <c r="O496" s="17" t="s">
        <v>621</v>
      </c>
      <c r="P496" s="17" t="s">
        <v>20</v>
      </c>
      <c r="Q496" s="17" t="s">
        <v>881</v>
      </c>
      <c r="R496" s="17" t="s">
        <v>20</v>
      </c>
      <c r="S496" s="17" t="s">
        <v>882</v>
      </c>
      <c r="T496" s="17">
        <v>516</v>
      </c>
      <c r="U496" s="18">
        <v>0</v>
      </c>
      <c r="V496" s="17" t="s">
        <v>2284</v>
      </c>
      <c r="X496" s="17" t="s">
        <v>64</v>
      </c>
      <c r="Y496" s="17" t="s">
        <v>219</v>
      </c>
      <c r="Z496" s="17" t="s">
        <v>877</v>
      </c>
      <c r="AA496" s="28">
        <v>783494.38283599995</v>
      </c>
      <c r="AB496" s="28">
        <v>2418257.3733299999</v>
      </c>
    </row>
    <row r="497" spans="1:28">
      <c r="A497" s="17">
        <v>496</v>
      </c>
      <c r="B497" s="17">
        <v>624411</v>
      </c>
      <c r="C497" s="17" t="s">
        <v>1044</v>
      </c>
      <c r="D497" s="17" t="s">
        <v>52</v>
      </c>
      <c r="E497" s="17" t="s">
        <v>2285</v>
      </c>
      <c r="F497" s="17" t="s">
        <v>1046</v>
      </c>
      <c r="H497" s="17" t="s">
        <v>104</v>
      </c>
      <c r="I497" s="17">
        <v>20299</v>
      </c>
      <c r="J497" s="17" t="s">
        <v>54</v>
      </c>
      <c r="K497" s="17" t="s">
        <v>55</v>
      </c>
      <c r="L497" s="17" t="s">
        <v>20</v>
      </c>
      <c r="M497" s="17" t="s">
        <v>889</v>
      </c>
      <c r="N497" s="17" t="s">
        <v>20</v>
      </c>
      <c r="O497" s="17" t="s">
        <v>887</v>
      </c>
      <c r="P497" s="17" t="s">
        <v>56</v>
      </c>
      <c r="Q497" s="17" t="s">
        <v>873</v>
      </c>
      <c r="R497" s="17" t="s">
        <v>20</v>
      </c>
      <c r="S497" s="17" t="s">
        <v>890</v>
      </c>
      <c r="T497" s="17">
        <v>147</v>
      </c>
      <c r="U497" s="18">
        <v>4492341051</v>
      </c>
      <c r="X497" s="17" t="s">
        <v>64</v>
      </c>
      <c r="Y497" s="17" t="s">
        <v>219</v>
      </c>
      <c r="Z497" s="17" t="s">
        <v>877</v>
      </c>
      <c r="AA497" s="28">
        <v>783766.72009900003</v>
      </c>
      <c r="AB497" s="28">
        <v>2417861.74707</v>
      </c>
    </row>
    <row r="498" spans="1:28">
      <c r="A498" s="17">
        <v>497</v>
      </c>
      <c r="B498" s="17">
        <v>624411</v>
      </c>
      <c r="C498" s="17" t="s">
        <v>1044</v>
      </c>
      <c r="D498" s="17" t="s">
        <v>52</v>
      </c>
      <c r="E498" s="17" t="s">
        <v>2286</v>
      </c>
      <c r="F498" s="17" t="s">
        <v>1046</v>
      </c>
      <c r="H498" s="17" t="s">
        <v>104</v>
      </c>
      <c r="I498" s="17">
        <v>20299</v>
      </c>
      <c r="J498" s="17" t="s">
        <v>54</v>
      </c>
      <c r="K498" s="17" t="s">
        <v>55</v>
      </c>
      <c r="L498" s="17" t="s">
        <v>20</v>
      </c>
      <c r="M498" s="17" t="s">
        <v>2287</v>
      </c>
      <c r="N498" s="17" t="s">
        <v>142</v>
      </c>
      <c r="O498" s="17" t="s">
        <v>2288</v>
      </c>
      <c r="P498" s="17" t="s">
        <v>20</v>
      </c>
      <c r="Q498" s="17" t="s">
        <v>2289</v>
      </c>
      <c r="R498" s="17" t="s">
        <v>20</v>
      </c>
      <c r="S498" s="17" t="s">
        <v>2290</v>
      </c>
      <c r="T498" s="17">
        <v>214</v>
      </c>
      <c r="U498" s="18">
        <v>4499082143</v>
      </c>
      <c r="X498" s="17" t="s">
        <v>67</v>
      </c>
      <c r="Y498" s="17" t="s">
        <v>219</v>
      </c>
      <c r="Z498" s="17" t="s">
        <v>877</v>
      </c>
      <c r="AA498" s="28">
        <v>783087.00939100003</v>
      </c>
      <c r="AB498" s="28">
        <v>2418429.4665000001</v>
      </c>
    </row>
    <row r="499" spans="1:28">
      <c r="A499" s="17">
        <v>498</v>
      </c>
      <c r="B499" s="17">
        <v>624411</v>
      </c>
      <c r="C499" s="17" t="s">
        <v>1044</v>
      </c>
      <c r="D499" s="17" t="s">
        <v>52</v>
      </c>
      <c r="E499" s="17" t="s">
        <v>2291</v>
      </c>
      <c r="F499" s="17" t="s">
        <v>1046</v>
      </c>
      <c r="H499" s="17" t="s">
        <v>104</v>
      </c>
      <c r="I499" s="17">
        <v>20299</v>
      </c>
      <c r="J499" s="17" t="s">
        <v>54</v>
      </c>
      <c r="K499" s="17" t="s">
        <v>55</v>
      </c>
      <c r="L499" s="17" t="s">
        <v>20</v>
      </c>
      <c r="M499" s="17" t="s">
        <v>2289</v>
      </c>
      <c r="N499" s="17" t="s">
        <v>20</v>
      </c>
      <c r="O499" s="17" t="s">
        <v>2287</v>
      </c>
      <c r="P499" s="17" t="s">
        <v>20</v>
      </c>
      <c r="Q499" s="17" t="s">
        <v>2292</v>
      </c>
      <c r="R499" s="17" t="s">
        <v>20</v>
      </c>
      <c r="S499" s="17" t="s">
        <v>2293</v>
      </c>
      <c r="T499" s="17">
        <v>437</v>
      </c>
      <c r="U499" s="18">
        <v>4495545305</v>
      </c>
      <c r="X499" s="17" t="s">
        <v>64</v>
      </c>
      <c r="Y499" s="17" t="s">
        <v>219</v>
      </c>
      <c r="Z499" s="17" t="s">
        <v>877</v>
      </c>
      <c r="AA499" s="28">
        <v>783072.14127300004</v>
      </c>
      <c r="AB499" s="28">
        <v>2418362.7107099998</v>
      </c>
    </row>
    <row r="500" spans="1:28">
      <c r="A500" s="17">
        <v>499</v>
      </c>
      <c r="B500" s="17">
        <v>624411</v>
      </c>
      <c r="C500" s="17" t="s">
        <v>1044</v>
      </c>
      <c r="D500" s="17" t="s">
        <v>52</v>
      </c>
      <c r="E500" s="17" t="s">
        <v>2294</v>
      </c>
      <c r="F500" s="17" t="s">
        <v>1046</v>
      </c>
      <c r="H500" s="17" t="s">
        <v>104</v>
      </c>
      <c r="I500" s="17">
        <v>20299</v>
      </c>
      <c r="J500" s="17" t="s">
        <v>54</v>
      </c>
      <c r="K500" s="17" t="s">
        <v>63</v>
      </c>
      <c r="L500" s="17" t="s">
        <v>56</v>
      </c>
      <c r="M500" s="17" t="s">
        <v>621</v>
      </c>
      <c r="N500" s="17" t="s">
        <v>20</v>
      </c>
      <c r="O500" s="17" t="s">
        <v>883</v>
      </c>
      <c r="P500" s="17" t="s">
        <v>142</v>
      </c>
      <c r="Q500" s="17" t="s">
        <v>737</v>
      </c>
      <c r="R500" s="17" t="s">
        <v>20</v>
      </c>
      <c r="S500" s="17" t="s">
        <v>2295</v>
      </c>
      <c r="T500" s="17">
        <v>510</v>
      </c>
      <c r="U500" s="18">
        <v>0</v>
      </c>
      <c r="X500" s="17" t="s">
        <v>67</v>
      </c>
      <c r="Y500" s="17" t="s">
        <v>219</v>
      </c>
      <c r="Z500" s="17" t="s">
        <v>877</v>
      </c>
      <c r="AA500" s="28">
        <v>783875.64410499996</v>
      </c>
      <c r="AB500" s="28">
        <v>2418692.85348</v>
      </c>
    </row>
    <row r="501" spans="1:28">
      <c r="A501" s="17">
        <v>500</v>
      </c>
      <c r="B501" s="17">
        <v>624412</v>
      </c>
      <c r="C501" s="17" t="s">
        <v>1044</v>
      </c>
      <c r="D501" s="17" t="s">
        <v>1008</v>
      </c>
      <c r="E501" s="17" t="s">
        <v>2296</v>
      </c>
      <c r="F501" s="17" t="s">
        <v>1123</v>
      </c>
      <c r="H501" s="17" t="s">
        <v>104</v>
      </c>
      <c r="I501" s="17">
        <v>20299</v>
      </c>
      <c r="J501" s="17" t="s">
        <v>54</v>
      </c>
      <c r="K501" s="17" t="s">
        <v>55</v>
      </c>
      <c r="L501" s="17" t="s">
        <v>20</v>
      </c>
      <c r="M501" s="17" t="s">
        <v>2297</v>
      </c>
      <c r="N501" s="17" t="s">
        <v>20</v>
      </c>
      <c r="O501" s="17" t="s">
        <v>2298</v>
      </c>
      <c r="P501" s="17" t="s">
        <v>56</v>
      </c>
      <c r="Q501" s="17" t="s">
        <v>880</v>
      </c>
      <c r="R501" s="17" t="s">
        <v>20</v>
      </c>
      <c r="S501" s="17" t="s">
        <v>2299</v>
      </c>
      <c r="T501" s="17">
        <v>206</v>
      </c>
      <c r="U501" s="18">
        <v>4493389450</v>
      </c>
      <c r="V501" s="17" t="s">
        <v>2300</v>
      </c>
      <c r="X501" s="17" t="s">
        <v>64</v>
      </c>
      <c r="Y501" s="17" t="s">
        <v>219</v>
      </c>
      <c r="Z501" s="17" t="s">
        <v>877</v>
      </c>
      <c r="AA501" s="28">
        <v>784145.24345499999</v>
      </c>
      <c r="AB501" s="28">
        <v>2418393.7404200002</v>
      </c>
    </row>
    <row r="502" spans="1:28">
      <c r="A502" s="17">
        <v>501</v>
      </c>
      <c r="B502" s="17">
        <v>624412</v>
      </c>
      <c r="C502" s="17" t="s">
        <v>1044</v>
      </c>
      <c r="D502" s="17" t="s">
        <v>1008</v>
      </c>
      <c r="E502" s="17" t="s">
        <v>2301</v>
      </c>
      <c r="F502" s="17" t="s">
        <v>1123</v>
      </c>
      <c r="G502" s="17" t="s">
        <v>1013</v>
      </c>
      <c r="H502" s="17" t="s">
        <v>104</v>
      </c>
      <c r="I502" s="17">
        <v>20299</v>
      </c>
      <c r="J502" s="17" t="s">
        <v>54</v>
      </c>
      <c r="K502" s="17" t="s">
        <v>88</v>
      </c>
      <c r="L502" s="17" t="s">
        <v>20</v>
      </c>
      <c r="M502" s="17" t="s">
        <v>883</v>
      </c>
      <c r="N502" s="17" t="s">
        <v>20</v>
      </c>
      <c r="O502" s="17" t="s">
        <v>872</v>
      </c>
      <c r="P502" s="17" t="s">
        <v>20</v>
      </c>
      <c r="Q502" s="17" t="s">
        <v>894</v>
      </c>
      <c r="R502" s="17" t="s">
        <v>20</v>
      </c>
      <c r="S502" s="17" t="s">
        <v>891</v>
      </c>
      <c r="T502" s="17">
        <v>0</v>
      </c>
      <c r="U502" s="18">
        <v>0</v>
      </c>
      <c r="V502" s="17" t="s">
        <v>2302</v>
      </c>
      <c r="X502" s="17" t="s">
        <v>64</v>
      </c>
      <c r="Y502" s="17" t="s">
        <v>219</v>
      </c>
      <c r="Z502" s="17" t="s">
        <v>877</v>
      </c>
      <c r="AA502" s="28">
        <v>784181.90861299995</v>
      </c>
      <c r="AB502" s="28">
        <v>2418602.5883399998</v>
      </c>
    </row>
    <row r="503" spans="1:28">
      <c r="A503" s="17">
        <v>502</v>
      </c>
      <c r="B503" s="17">
        <v>624191</v>
      </c>
      <c r="C503" s="17" t="s">
        <v>1044</v>
      </c>
      <c r="D503" s="17" t="s">
        <v>52</v>
      </c>
      <c r="E503" s="17" t="s">
        <v>2303</v>
      </c>
      <c r="F503" s="17" t="s">
        <v>1064</v>
      </c>
      <c r="G503" s="17" t="s">
        <v>2303</v>
      </c>
      <c r="H503" s="17" t="s">
        <v>104</v>
      </c>
      <c r="I503" s="17">
        <v>20299</v>
      </c>
      <c r="J503" s="17" t="s">
        <v>54</v>
      </c>
      <c r="K503" s="17" t="s">
        <v>55</v>
      </c>
      <c r="L503" s="17" t="s">
        <v>20</v>
      </c>
      <c r="M503" s="17" t="s">
        <v>888</v>
      </c>
      <c r="N503" s="17" t="s">
        <v>20</v>
      </c>
      <c r="O503" s="17" t="s">
        <v>887</v>
      </c>
      <c r="P503" s="17" t="s">
        <v>56</v>
      </c>
      <c r="Q503" s="17" t="s">
        <v>873</v>
      </c>
      <c r="R503" s="17" t="s">
        <v>20</v>
      </c>
      <c r="S503" s="17" t="s">
        <v>893</v>
      </c>
      <c r="T503" s="17">
        <v>0</v>
      </c>
      <c r="U503" s="18">
        <v>4492421387</v>
      </c>
      <c r="X503" s="17" t="s">
        <v>60</v>
      </c>
      <c r="Y503" s="17" t="s">
        <v>219</v>
      </c>
      <c r="Z503" s="17" t="s">
        <v>877</v>
      </c>
      <c r="AA503" s="28">
        <v>783710.72804199997</v>
      </c>
      <c r="AB503" s="28">
        <v>2418043.77581</v>
      </c>
    </row>
    <row r="504" spans="1:28">
      <c r="A504" s="17">
        <v>503</v>
      </c>
      <c r="B504" s="17">
        <v>813110</v>
      </c>
      <c r="C504" s="17" t="s">
        <v>1044</v>
      </c>
      <c r="D504" s="17" t="s">
        <v>52</v>
      </c>
      <c r="E504" s="17" t="s">
        <v>2304</v>
      </c>
      <c r="F504" s="17" t="s">
        <v>1069</v>
      </c>
      <c r="G504" s="17" t="s">
        <v>2305</v>
      </c>
      <c r="H504" s="17" t="s">
        <v>104</v>
      </c>
      <c r="I504" s="17">
        <v>20298</v>
      </c>
      <c r="J504" s="17" t="s">
        <v>54</v>
      </c>
      <c r="K504" s="17" t="s">
        <v>55</v>
      </c>
      <c r="L504" s="17" t="s">
        <v>56</v>
      </c>
      <c r="M504" s="17" t="s">
        <v>880</v>
      </c>
      <c r="N504" s="17" t="s">
        <v>20</v>
      </c>
      <c r="O504" s="17" t="s">
        <v>885</v>
      </c>
      <c r="P504" s="17" t="s">
        <v>20</v>
      </c>
      <c r="Q504" s="17" t="s">
        <v>744</v>
      </c>
      <c r="R504" s="17" t="s">
        <v>20</v>
      </c>
      <c r="S504" s="17" t="s">
        <v>886</v>
      </c>
      <c r="T504" s="17">
        <v>834</v>
      </c>
      <c r="U504" s="18">
        <v>0</v>
      </c>
      <c r="X504" s="17" t="s">
        <v>60</v>
      </c>
      <c r="Y504" s="17" t="s">
        <v>219</v>
      </c>
      <c r="Z504" s="17" t="s">
        <v>877</v>
      </c>
      <c r="AA504" s="28">
        <v>782884.03587300004</v>
      </c>
      <c r="AB504" s="28">
        <v>2418052.7207300002</v>
      </c>
    </row>
    <row r="505" spans="1:28">
      <c r="A505" s="17">
        <v>504</v>
      </c>
      <c r="B505" s="17">
        <v>813230</v>
      </c>
      <c r="C505" s="17" t="s">
        <v>1044</v>
      </c>
      <c r="D505" s="17" t="s">
        <v>52</v>
      </c>
      <c r="E505" s="17" t="s">
        <v>2306</v>
      </c>
      <c r="F505" s="17" t="s">
        <v>1061</v>
      </c>
      <c r="G505" s="17" t="s">
        <v>2307</v>
      </c>
      <c r="H505" s="17" t="s">
        <v>104</v>
      </c>
      <c r="I505" s="17">
        <v>20298</v>
      </c>
      <c r="J505" s="17" t="s">
        <v>54</v>
      </c>
      <c r="K505" s="17" t="s">
        <v>55</v>
      </c>
      <c r="L505" s="17" t="s">
        <v>20</v>
      </c>
      <c r="M505" s="17" t="s">
        <v>892</v>
      </c>
      <c r="N505" s="17" t="s">
        <v>20</v>
      </c>
      <c r="O505" s="17" t="s">
        <v>2308</v>
      </c>
      <c r="Q505" s="17" t="s">
        <v>59</v>
      </c>
      <c r="R505" s="17" t="s">
        <v>20</v>
      </c>
      <c r="S505" s="17" t="s">
        <v>884</v>
      </c>
      <c r="T505" s="17">
        <v>206</v>
      </c>
      <c r="U505" s="18">
        <v>4491272191</v>
      </c>
      <c r="X505" s="17" t="s">
        <v>60</v>
      </c>
      <c r="Y505" s="17" t="s">
        <v>219</v>
      </c>
      <c r="Z505" s="17" t="s">
        <v>877</v>
      </c>
      <c r="AA505" s="28">
        <v>783127.90446300001</v>
      </c>
      <c r="AB505" s="28">
        <v>2418080.5754300002</v>
      </c>
    </row>
    <row r="506" spans="1:28">
      <c r="A506" s="17">
        <v>505</v>
      </c>
      <c r="B506" s="17">
        <v>623991</v>
      </c>
      <c r="C506" s="17" t="s">
        <v>1044</v>
      </c>
      <c r="D506" s="17" t="s">
        <v>52</v>
      </c>
      <c r="E506" s="17" t="s">
        <v>2309</v>
      </c>
      <c r="F506" s="17" t="s">
        <v>1350</v>
      </c>
      <c r="G506" s="17" t="s">
        <v>2310</v>
      </c>
      <c r="H506" s="17" t="s">
        <v>86</v>
      </c>
      <c r="I506" s="17">
        <v>20263</v>
      </c>
      <c r="J506" s="17" t="s">
        <v>54</v>
      </c>
      <c r="K506" s="17" t="s">
        <v>55</v>
      </c>
      <c r="L506" s="17" t="s">
        <v>58</v>
      </c>
      <c r="M506" s="17" t="s">
        <v>2311</v>
      </c>
      <c r="N506" s="17" t="s">
        <v>20</v>
      </c>
      <c r="O506" s="17" t="s">
        <v>901</v>
      </c>
      <c r="P506" s="17" t="s">
        <v>20</v>
      </c>
      <c r="Q506" s="17" t="s">
        <v>59</v>
      </c>
      <c r="R506" s="17" t="s">
        <v>56</v>
      </c>
      <c r="S506" s="17" t="s">
        <v>871</v>
      </c>
      <c r="T506" s="17">
        <v>311</v>
      </c>
      <c r="U506" s="18">
        <v>4492188055</v>
      </c>
      <c r="X506" s="17" t="s">
        <v>64</v>
      </c>
      <c r="Y506" s="17" t="s">
        <v>646</v>
      </c>
      <c r="Z506" s="17" t="s">
        <v>877</v>
      </c>
      <c r="AA506" s="28">
        <v>784128.37702000001</v>
      </c>
      <c r="AB506" s="28">
        <v>2421008.2346600001</v>
      </c>
    </row>
    <row r="507" spans="1:28">
      <c r="A507" s="17">
        <v>506</v>
      </c>
      <c r="B507" s="17">
        <v>623991</v>
      </c>
      <c r="C507" s="17" t="s">
        <v>1044</v>
      </c>
      <c r="D507" s="17" t="s">
        <v>52</v>
      </c>
      <c r="E507" s="17" t="s">
        <v>2312</v>
      </c>
      <c r="F507" s="17" t="s">
        <v>1350</v>
      </c>
      <c r="H507" s="17" t="s">
        <v>86</v>
      </c>
      <c r="I507" s="17">
        <v>20263</v>
      </c>
      <c r="J507" s="17" t="s">
        <v>54</v>
      </c>
      <c r="K507" s="17" t="s">
        <v>55</v>
      </c>
      <c r="L507" s="17" t="s">
        <v>56</v>
      </c>
      <c r="M507" s="17" t="s">
        <v>776</v>
      </c>
      <c r="N507" s="17" t="s">
        <v>56</v>
      </c>
      <c r="O507" s="17" t="s">
        <v>646</v>
      </c>
      <c r="P507" s="17" t="s">
        <v>20</v>
      </c>
      <c r="Q507" s="17" t="s">
        <v>59</v>
      </c>
      <c r="R507" s="17" t="s">
        <v>20</v>
      </c>
      <c r="S507" s="17" t="s">
        <v>59</v>
      </c>
      <c r="T507" s="17">
        <v>0</v>
      </c>
      <c r="U507" s="18">
        <v>44921888055</v>
      </c>
      <c r="V507" s="17" t="s">
        <v>2313</v>
      </c>
      <c r="X507" s="17" t="s">
        <v>60</v>
      </c>
      <c r="Y507" s="17" t="s">
        <v>646</v>
      </c>
      <c r="Z507" s="17" t="s">
        <v>877</v>
      </c>
      <c r="AA507" s="28">
        <v>784113.712405</v>
      </c>
      <c r="AB507" s="28">
        <v>2421085.18089</v>
      </c>
    </row>
    <row r="508" spans="1:28">
      <c r="A508" s="17">
        <v>507</v>
      </c>
      <c r="B508" s="17">
        <v>623991</v>
      </c>
      <c r="C508" s="17" t="s">
        <v>1044</v>
      </c>
      <c r="D508" s="17" t="s">
        <v>52</v>
      </c>
      <c r="E508" s="17" t="s">
        <v>2314</v>
      </c>
      <c r="F508" s="17" t="s">
        <v>1350</v>
      </c>
      <c r="G508" s="17" t="s">
        <v>2315</v>
      </c>
      <c r="H508" s="17" t="s">
        <v>104</v>
      </c>
      <c r="I508" s="17">
        <v>20196</v>
      </c>
      <c r="J508" s="17" t="s">
        <v>54</v>
      </c>
      <c r="K508" s="17" t="s">
        <v>78</v>
      </c>
      <c r="L508" s="17" t="s">
        <v>20</v>
      </c>
      <c r="M508" s="17" t="s">
        <v>648</v>
      </c>
      <c r="N508" s="17" t="s">
        <v>20</v>
      </c>
      <c r="O508" s="17" t="s">
        <v>627</v>
      </c>
      <c r="P508" s="17" t="s">
        <v>20</v>
      </c>
      <c r="Q508" s="17" t="s">
        <v>899</v>
      </c>
      <c r="R508" s="17" t="s">
        <v>20</v>
      </c>
      <c r="S508" s="17" t="s">
        <v>649</v>
      </c>
      <c r="T508" s="17">
        <v>511</v>
      </c>
      <c r="U508" s="18">
        <v>0</v>
      </c>
      <c r="X508" s="17" t="s">
        <v>64</v>
      </c>
      <c r="Y508" s="17" t="s">
        <v>646</v>
      </c>
      <c r="Z508" s="17" t="s">
        <v>877</v>
      </c>
      <c r="AA508" s="28">
        <v>784662.98903499998</v>
      </c>
      <c r="AB508" s="28">
        <v>2421768.09632</v>
      </c>
    </row>
    <row r="509" spans="1:28">
      <c r="A509" s="17">
        <v>508</v>
      </c>
      <c r="B509" s="17">
        <v>624311</v>
      </c>
      <c r="C509" s="17" t="s">
        <v>1044</v>
      </c>
      <c r="D509" s="17" t="s">
        <v>52</v>
      </c>
      <c r="E509" s="17" t="s">
        <v>2316</v>
      </c>
      <c r="F509" s="17" t="s">
        <v>1132</v>
      </c>
      <c r="G509" s="17" t="s">
        <v>2317</v>
      </c>
      <c r="H509" s="17" t="s">
        <v>104</v>
      </c>
      <c r="I509" s="17">
        <v>20263</v>
      </c>
      <c r="J509" s="17" t="s">
        <v>54</v>
      </c>
      <c r="K509" s="17" t="s">
        <v>55</v>
      </c>
      <c r="L509" s="17" t="s">
        <v>56</v>
      </c>
      <c r="M509" s="17" t="s">
        <v>192</v>
      </c>
      <c r="N509" s="17" t="s">
        <v>20</v>
      </c>
      <c r="O509" s="17" t="s">
        <v>912</v>
      </c>
      <c r="P509" s="17" t="s">
        <v>20</v>
      </c>
      <c r="Q509" s="17" t="s">
        <v>918</v>
      </c>
      <c r="R509" s="17" t="s">
        <v>20</v>
      </c>
      <c r="S509" s="17" t="s">
        <v>917</v>
      </c>
      <c r="T509" s="17">
        <v>1416</v>
      </c>
      <c r="U509" s="18">
        <v>0</v>
      </c>
      <c r="X509" s="17" t="s">
        <v>67</v>
      </c>
      <c r="Y509" s="17" t="s">
        <v>646</v>
      </c>
      <c r="Z509" s="17" t="s">
        <v>877</v>
      </c>
      <c r="AA509" s="28">
        <v>784353.60342499998</v>
      </c>
      <c r="AB509" s="28">
        <v>2420123.4155100002</v>
      </c>
    </row>
    <row r="510" spans="1:28">
      <c r="A510" s="17">
        <v>509</v>
      </c>
      <c r="B510" s="17">
        <v>624411</v>
      </c>
      <c r="C510" s="17" t="s">
        <v>1044</v>
      </c>
      <c r="D510" s="17" t="s">
        <v>52</v>
      </c>
      <c r="E510" s="17" t="s">
        <v>2318</v>
      </c>
      <c r="F510" s="17" t="s">
        <v>1046</v>
      </c>
      <c r="H510" s="17" t="s">
        <v>104</v>
      </c>
      <c r="I510" s="17">
        <v>20936</v>
      </c>
      <c r="J510" s="17" t="s">
        <v>54</v>
      </c>
      <c r="K510" s="17" t="s">
        <v>55</v>
      </c>
      <c r="L510" s="17" t="s">
        <v>56</v>
      </c>
      <c r="M510" s="17" t="s">
        <v>686</v>
      </c>
      <c r="N510" s="17" t="s">
        <v>20</v>
      </c>
      <c r="O510" s="17" t="s">
        <v>2319</v>
      </c>
      <c r="P510" s="17" t="s">
        <v>20</v>
      </c>
      <c r="Q510" s="17" t="s">
        <v>900</v>
      </c>
      <c r="R510" s="17" t="s">
        <v>20</v>
      </c>
      <c r="S510" s="17" t="s">
        <v>764</v>
      </c>
      <c r="T510" s="17">
        <v>220</v>
      </c>
      <c r="U510" s="18">
        <v>0</v>
      </c>
      <c r="X510" s="17" t="s">
        <v>60</v>
      </c>
      <c r="Y510" s="17" t="s">
        <v>646</v>
      </c>
      <c r="Z510" s="17" t="s">
        <v>877</v>
      </c>
      <c r="AA510" s="28">
        <v>783969.88014000002</v>
      </c>
      <c r="AB510" s="28">
        <v>2420411.7235400002</v>
      </c>
    </row>
    <row r="511" spans="1:28">
      <c r="A511" s="17">
        <v>510</v>
      </c>
      <c r="B511" s="17">
        <v>624411</v>
      </c>
      <c r="C511" s="17" t="s">
        <v>1044</v>
      </c>
      <c r="D511" s="17" t="s">
        <v>52</v>
      </c>
      <c r="E511" s="17" t="s">
        <v>2320</v>
      </c>
      <c r="F511" s="17" t="s">
        <v>1046</v>
      </c>
      <c r="H511" s="17" t="s">
        <v>104</v>
      </c>
      <c r="I511" s="17">
        <v>20196</v>
      </c>
      <c r="J511" s="17" t="s">
        <v>54</v>
      </c>
      <c r="K511" s="17" t="s">
        <v>55</v>
      </c>
      <c r="L511" s="17" t="s">
        <v>20</v>
      </c>
      <c r="M511" s="17" t="s">
        <v>649</v>
      </c>
      <c r="N511" s="17" t="s">
        <v>20</v>
      </c>
      <c r="O511" s="17" t="s">
        <v>896</v>
      </c>
      <c r="P511" s="17" t="s">
        <v>20</v>
      </c>
      <c r="Q511" s="17" t="s">
        <v>627</v>
      </c>
      <c r="R511" s="17" t="s">
        <v>20</v>
      </c>
      <c r="S511" s="17" t="s">
        <v>897</v>
      </c>
      <c r="T511" s="17">
        <v>237</v>
      </c>
      <c r="U511" s="18">
        <v>4493248335</v>
      </c>
      <c r="V511" s="17" t="s">
        <v>2321</v>
      </c>
      <c r="X511" s="17" t="s">
        <v>64</v>
      </c>
      <c r="Y511" s="17" t="s">
        <v>646</v>
      </c>
      <c r="Z511" s="17" t="s">
        <v>877</v>
      </c>
      <c r="AA511" s="28">
        <v>784729.63596500002</v>
      </c>
      <c r="AB511" s="28">
        <v>2421634.2301699999</v>
      </c>
    </row>
    <row r="512" spans="1:28">
      <c r="A512" s="17">
        <v>511</v>
      </c>
      <c r="B512" s="17">
        <v>624411</v>
      </c>
      <c r="C512" s="17" t="s">
        <v>1044</v>
      </c>
      <c r="D512" s="17" t="s">
        <v>52</v>
      </c>
      <c r="E512" s="17" t="s">
        <v>2322</v>
      </c>
      <c r="F512" s="17" t="s">
        <v>1046</v>
      </c>
      <c r="H512" s="17" t="s">
        <v>104</v>
      </c>
      <c r="I512" s="17">
        <v>20190</v>
      </c>
      <c r="J512" s="17" t="s">
        <v>54</v>
      </c>
      <c r="K512" s="17" t="s">
        <v>55</v>
      </c>
      <c r="L512" s="17" t="s">
        <v>20</v>
      </c>
      <c r="M512" s="17" t="s">
        <v>909</v>
      </c>
      <c r="N512" s="17" t="s">
        <v>20</v>
      </c>
      <c r="O512" s="17" t="s">
        <v>2323</v>
      </c>
      <c r="P512" s="17" t="s">
        <v>20</v>
      </c>
      <c r="Q512" s="17" t="s">
        <v>911</v>
      </c>
      <c r="R512" s="17" t="s">
        <v>20</v>
      </c>
      <c r="S512" s="17" t="s">
        <v>908</v>
      </c>
      <c r="T512" s="17">
        <v>240</v>
      </c>
      <c r="U512" s="18">
        <v>4495499111</v>
      </c>
      <c r="X512" s="17" t="s">
        <v>60</v>
      </c>
      <c r="Y512" s="17" t="s">
        <v>646</v>
      </c>
      <c r="Z512" s="17" t="s">
        <v>877</v>
      </c>
      <c r="AA512" s="28">
        <v>783682.73533599998</v>
      </c>
      <c r="AB512" s="28">
        <v>2423031.0370200002</v>
      </c>
    </row>
    <row r="513" spans="1:28">
      <c r="A513" s="17">
        <v>512</v>
      </c>
      <c r="B513" s="17">
        <v>624411</v>
      </c>
      <c r="C513" s="17" t="s">
        <v>1044</v>
      </c>
      <c r="D513" s="17" t="s">
        <v>52</v>
      </c>
      <c r="E513" s="17" t="s">
        <v>2324</v>
      </c>
      <c r="F513" s="17" t="s">
        <v>1046</v>
      </c>
      <c r="G513" s="17" t="s">
        <v>2325</v>
      </c>
      <c r="H513" s="17" t="s">
        <v>104</v>
      </c>
      <c r="I513" s="17">
        <v>20196</v>
      </c>
      <c r="J513" s="17" t="s">
        <v>54</v>
      </c>
      <c r="K513" s="17" t="s">
        <v>88</v>
      </c>
      <c r="L513" s="17" t="s">
        <v>56</v>
      </c>
      <c r="M513" s="17" t="s">
        <v>776</v>
      </c>
      <c r="N513" s="17" t="s">
        <v>20</v>
      </c>
      <c r="O513" s="17" t="s">
        <v>905</v>
      </c>
      <c r="P513" s="17" t="s">
        <v>20</v>
      </c>
      <c r="Q513" s="17" t="s">
        <v>2326</v>
      </c>
      <c r="R513" s="17" t="s">
        <v>20</v>
      </c>
      <c r="S513" s="17" t="s">
        <v>373</v>
      </c>
      <c r="T513" s="17">
        <v>403</v>
      </c>
      <c r="U513" s="18">
        <v>0</v>
      </c>
      <c r="V513" s="17" t="s">
        <v>2327</v>
      </c>
      <c r="X513" s="17" t="s">
        <v>67</v>
      </c>
      <c r="Y513" s="17" t="s">
        <v>646</v>
      </c>
      <c r="Z513" s="17" t="s">
        <v>877</v>
      </c>
      <c r="AA513" s="28">
        <v>784405.30942499998</v>
      </c>
      <c r="AB513" s="28">
        <v>2420969.0344400001</v>
      </c>
    </row>
    <row r="514" spans="1:28">
      <c r="A514" s="17">
        <v>513</v>
      </c>
      <c r="B514" s="17">
        <v>624112</v>
      </c>
      <c r="C514" s="17" t="s">
        <v>1044</v>
      </c>
      <c r="D514" s="17" t="s">
        <v>1008</v>
      </c>
      <c r="E514" s="17" t="s">
        <v>2328</v>
      </c>
      <c r="F514" s="17" t="s">
        <v>1149</v>
      </c>
      <c r="G514" s="17" t="s">
        <v>2329</v>
      </c>
      <c r="H514" s="17" t="s">
        <v>69</v>
      </c>
      <c r="I514" s="17">
        <v>20190</v>
      </c>
      <c r="J514" s="17" t="s">
        <v>54</v>
      </c>
      <c r="K514" s="17" t="s">
        <v>88</v>
      </c>
      <c r="L514" s="17" t="s">
        <v>20</v>
      </c>
      <c r="M514" s="17" t="s">
        <v>919</v>
      </c>
      <c r="N514" s="17" t="s">
        <v>56</v>
      </c>
      <c r="O514" s="17" t="s">
        <v>2330</v>
      </c>
      <c r="P514" s="17" t="s">
        <v>20</v>
      </c>
      <c r="Q514" s="17" t="s">
        <v>2331</v>
      </c>
      <c r="R514" s="17" t="s">
        <v>20</v>
      </c>
      <c r="S514" s="17" t="s">
        <v>2332</v>
      </c>
      <c r="T514" s="17">
        <v>0</v>
      </c>
      <c r="U514" s="18">
        <v>0</v>
      </c>
      <c r="W514" s="17" t="s">
        <v>2333</v>
      </c>
      <c r="X514" s="17" t="s">
        <v>90</v>
      </c>
      <c r="Y514" s="17" t="s">
        <v>646</v>
      </c>
      <c r="Z514" s="17" t="s">
        <v>877</v>
      </c>
      <c r="AA514" s="28">
        <v>783989.39410599996</v>
      </c>
      <c r="AB514" s="28">
        <v>2421835.0410199999</v>
      </c>
    </row>
    <row r="515" spans="1:28">
      <c r="A515" s="17">
        <v>514</v>
      </c>
      <c r="B515" s="17">
        <v>624412</v>
      </c>
      <c r="C515" s="17" t="s">
        <v>1044</v>
      </c>
      <c r="D515" s="17" t="s">
        <v>1008</v>
      </c>
      <c r="E515" s="17" t="s">
        <v>2334</v>
      </c>
      <c r="F515" s="17" t="s">
        <v>1123</v>
      </c>
      <c r="G515" s="17" t="s">
        <v>1018</v>
      </c>
      <c r="H515" s="17" t="s">
        <v>104</v>
      </c>
      <c r="I515" s="17">
        <v>20196</v>
      </c>
      <c r="J515" s="17" t="s">
        <v>54</v>
      </c>
      <c r="K515" s="17" t="s">
        <v>88</v>
      </c>
      <c r="L515" s="17" t="s">
        <v>20</v>
      </c>
      <c r="M515" s="17" t="s">
        <v>635</v>
      </c>
      <c r="N515" s="17" t="s">
        <v>20</v>
      </c>
      <c r="O515" s="17" t="s">
        <v>920</v>
      </c>
      <c r="P515" s="17" t="s">
        <v>20</v>
      </c>
      <c r="Q515" s="17" t="s">
        <v>1037</v>
      </c>
      <c r="R515" s="17" t="s">
        <v>20</v>
      </c>
      <c r="S515" s="17" t="s">
        <v>919</v>
      </c>
      <c r="T515" s="17">
        <v>301</v>
      </c>
      <c r="U515" s="18">
        <v>0</v>
      </c>
      <c r="V515" s="17" t="s">
        <v>2335</v>
      </c>
      <c r="W515" s="17" t="s">
        <v>2336</v>
      </c>
      <c r="X515" s="17" t="s">
        <v>67</v>
      </c>
      <c r="Y515" s="17" t="s">
        <v>646</v>
      </c>
      <c r="Z515" s="17" t="s">
        <v>877</v>
      </c>
      <c r="AA515" s="28">
        <v>783770.04175700003</v>
      </c>
      <c r="AB515" s="28">
        <v>2421969.2974299998</v>
      </c>
    </row>
    <row r="516" spans="1:28">
      <c r="A516" s="17">
        <v>515</v>
      </c>
      <c r="B516" s="17">
        <v>624191</v>
      </c>
      <c r="C516" s="17" t="s">
        <v>1044</v>
      </c>
      <c r="D516" s="17" t="s">
        <v>52</v>
      </c>
      <c r="E516" s="17" t="s">
        <v>2337</v>
      </c>
      <c r="F516" s="17" t="s">
        <v>1064</v>
      </c>
      <c r="H516" s="17" t="s">
        <v>86</v>
      </c>
      <c r="I516" s="17">
        <v>20263</v>
      </c>
      <c r="J516" s="17" t="s">
        <v>54</v>
      </c>
      <c r="K516" s="17" t="s">
        <v>55</v>
      </c>
      <c r="L516" s="17" t="s">
        <v>20</v>
      </c>
      <c r="M516" s="17" t="s">
        <v>914</v>
      </c>
      <c r="N516" s="17" t="s">
        <v>20</v>
      </c>
      <c r="O516" s="17" t="s">
        <v>83</v>
      </c>
      <c r="P516" s="17" t="s">
        <v>20</v>
      </c>
      <c r="Q516" s="17" t="s">
        <v>903</v>
      </c>
      <c r="R516" s="17" t="s">
        <v>20</v>
      </c>
      <c r="S516" s="17" t="s">
        <v>72</v>
      </c>
      <c r="T516" s="17">
        <v>113</v>
      </c>
      <c r="U516" s="18">
        <v>0</v>
      </c>
      <c r="X516" s="17" t="s">
        <v>64</v>
      </c>
      <c r="Y516" s="17" t="s">
        <v>646</v>
      </c>
      <c r="Z516" s="17" t="s">
        <v>877</v>
      </c>
      <c r="AA516" s="28">
        <v>784387.120628</v>
      </c>
      <c r="AB516" s="28">
        <v>2420510.6858399999</v>
      </c>
    </row>
    <row r="517" spans="1:28">
      <c r="A517" s="17">
        <v>516</v>
      </c>
      <c r="B517" s="17">
        <v>624191</v>
      </c>
      <c r="C517" s="17" t="s">
        <v>1044</v>
      </c>
      <c r="D517" s="17" t="s">
        <v>52</v>
      </c>
      <c r="E517" s="17" t="s">
        <v>2338</v>
      </c>
      <c r="F517" s="17" t="s">
        <v>1064</v>
      </c>
      <c r="G517" s="17" t="s">
        <v>2339</v>
      </c>
      <c r="H517" s="17" t="s">
        <v>104</v>
      </c>
      <c r="I517" s="17">
        <v>20196</v>
      </c>
      <c r="J517" s="17" t="s">
        <v>54</v>
      </c>
      <c r="K517" s="17" t="s">
        <v>63</v>
      </c>
      <c r="L517" s="17" t="s">
        <v>56</v>
      </c>
      <c r="M517" s="17" t="s">
        <v>874</v>
      </c>
      <c r="N517" s="17" t="s">
        <v>20</v>
      </c>
      <c r="O517" s="17" t="s">
        <v>876</v>
      </c>
      <c r="P517" s="17" t="s">
        <v>20</v>
      </c>
      <c r="Q517" s="17" t="s">
        <v>895</v>
      </c>
      <c r="R517" s="17" t="s">
        <v>20</v>
      </c>
      <c r="S517" s="17" t="s">
        <v>902</v>
      </c>
      <c r="T517" s="17">
        <v>145</v>
      </c>
      <c r="U517" s="18">
        <v>4493406186</v>
      </c>
      <c r="V517" s="17" t="s">
        <v>1474</v>
      </c>
      <c r="W517" s="17" t="s">
        <v>1648</v>
      </c>
      <c r="X517" s="17" t="s">
        <v>67</v>
      </c>
      <c r="Y517" s="17" t="s">
        <v>646</v>
      </c>
      <c r="Z517" s="17" t="s">
        <v>877</v>
      </c>
      <c r="AA517" s="28">
        <v>784305.21580600005</v>
      </c>
      <c r="AB517" s="28">
        <v>2422973.16212</v>
      </c>
    </row>
    <row r="518" spans="1:28">
      <c r="A518" s="17">
        <v>517</v>
      </c>
      <c r="B518" s="17">
        <v>624191</v>
      </c>
      <c r="C518" s="17" t="s">
        <v>1044</v>
      </c>
      <c r="D518" s="17" t="s">
        <v>52</v>
      </c>
      <c r="E518" s="17" t="s">
        <v>2340</v>
      </c>
      <c r="F518" s="17" t="s">
        <v>1064</v>
      </c>
      <c r="G518" s="17" t="s">
        <v>2341</v>
      </c>
      <c r="H518" s="17" t="s">
        <v>104</v>
      </c>
      <c r="I518" s="17">
        <v>20196</v>
      </c>
      <c r="J518" s="17" t="s">
        <v>54</v>
      </c>
      <c r="K518" s="17" t="s">
        <v>55</v>
      </c>
      <c r="L518" s="17" t="s">
        <v>20</v>
      </c>
      <c r="M518" s="17" t="s">
        <v>648</v>
      </c>
      <c r="N518" s="17" t="s">
        <v>20</v>
      </c>
      <c r="O518" s="17" t="s">
        <v>896</v>
      </c>
      <c r="P518" s="17" t="s">
        <v>20</v>
      </c>
      <c r="Q518" s="17" t="s">
        <v>915</v>
      </c>
      <c r="R518" s="17" t="s">
        <v>20</v>
      </c>
      <c r="S518" s="17" t="s">
        <v>2342</v>
      </c>
      <c r="T518" s="17">
        <v>516</v>
      </c>
      <c r="U518" s="18">
        <v>0</v>
      </c>
      <c r="X518" s="17" t="s">
        <v>64</v>
      </c>
      <c r="Y518" s="17" t="s">
        <v>646</v>
      </c>
      <c r="Z518" s="17" t="s">
        <v>877</v>
      </c>
      <c r="AA518" s="28">
        <v>784573.25624999998</v>
      </c>
      <c r="AB518" s="28">
        <v>2421750.62824</v>
      </c>
    </row>
    <row r="519" spans="1:28">
      <c r="A519" s="17">
        <v>518</v>
      </c>
      <c r="B519" s="17">
        <v>624191</v>
      </c>
      <c r="C519" s="17" t="s">
        <v>1044</v>
      </c>
      <c r="D519" s="17" t="s">
        <v>52</v>
      </c>
      <c r="E519" s="17" t="s">
        <v>2343</v>
      </c>
      <c r="F519" s="17" t="s">
        <v>1064</v>
      </c>
      <c r="G519" s="17" t="s">
        <v>2343</v>
      </c>
      <c r="H519" s="17" t="s">
        <v>104</v>
      </c>
      <c r="I519" s="17">
        <v>20196</v>
      </c>
      <c r="J519" s="17" t="s">
        <v>54</v>
      </c>
      <c r="K519" s="17" t="s">
        <v>78</v>
      </c>
      <c r="L519" s="17" t="s">
        <v>20</v>
      </c>
      <c r="M519" s="17" t="s">
        <v>373</v>
      </c>
      <c r="N519" s="17" t="s">
        <v>20</v>
      </c>
      <c r="O519" s="17" t="s">
        <v>631</v>
      </c>
      <c r="P519" s="17" t="s">
        <v>20</v>
      </c>
      <c r="Q519" s="17" t="s">
        <v>2326</v>
      </c>
      <c r="R519" s="17" t="s">
        <v>20</v>
      </c>
      <c r="S519" s="17" t="s">
        <v>645</v>
      </c>
      <c r="T519" s="17">
        <v>0</v>
      </c>
      <c r="U519" s="18">
        <v>0</v>
      </c>
      <c r="X519" s="17" t="s">
        <v>60</v>
      </c>
      <c r="Y519" s="17" t="s">
        <v>646</v>
      </c>
      <c r="Z519" s="17" t="s">
        <v>877</v>
      </c>
      <c r="AA519" s="28">
        <v>784356.88496900001</v>
      </c>
      <c r="AB519" s="28">
        <v>2421065.08305</v>
      </c>
    </row>
    <row r="520" spans="1:28">
      <c r="A520" s="17">
        <v>519</v>
      </c>
      <c r="B520" s="17">
        <v>812310</v>
      </c>
      <c r="C520" s="17" t="s">
        <v>1044</v>
      </c>
      <c r="D520" s="17" t="s">
        <v>52</v>
      </c>
      <c r="E520" s="17" t="s">
        <v>2344</v>
      </c>
      <c r="F520" s="17" t="s">
        <v>1057</v>
      </c>
      <c r="G520" s="17" t="s">
        <v>2345</v>
      </c>
      <c r="H520" s="17" t="s">
        <v>104</v>
      </c>
      <c r="I520" s="17">
        <v>20263</v>
      </c>
      <c r="J520" s="17" t="s">
        <v>54</v>
      </c>
      <c r="K520" s="17" t="s">
        <v>55</v>
      </c>
      <c r="L520" s="17" t="s">
        <v>20</v>
      </c>
      <c r="M520" s="17" t="s">
        <v>332</v>
      </c>
      <c r="N520" s="17" t="s">
        <v>20</v>
      </c>
      <c r="O520" s="17" t="s">
        <v>906</v>
      </c>
      <c r="P520" s="17" t="s">
        <v>20</v>
      </c>
      <c r="Q520" s="17" t="s">
        <v>898</v>
      </c>
      <c r="R520" s="17" t="s">
        <v>20</v>
      </c>
      <c r="S520" s="17" t="s">
        <v>907</v>
      </c>
      <c r="T520" s="17">
        <v>805</v>
      </c>
      <c r="U520" s="18">
        <v>4494489519</v>
      </c>
      <c r="X520" s="17" t="s">
        <v>67</v>
      </c>
      <c r="Y520" s="17" t="s">
        <v>646</v>
      </c>
      <c r="Z520" s="17" t="s">
        <v>877</v>
      </c>
      <c r="AA520" s="28">
        <v>784724.61731300002</v>
      </c>
      <c r="AB520" s="28">
        <v>2419742.4661099999</v>
      </c>
    </row>
    <row r="521" spans="1:28">
      <c r="A521" s="17">
        <v>520</v>
      </c>
      <c r="B521" s="17">
        <v>812310</v>
      </c>
      <c r="C521" s="17" t="s">
        <v>1044</v>
      </c>
      <c r="D521" s="17" t="s">
        <v>52</v>
      </c>
      <c r="E521" s="17" t="s">
        <v>2346</v>
      </c>
      <c r="F521" s="17" t="s">
        <v>1057</v>
      </c>
      <c r="G521" s="17" t="s">
        <v>2347</v>
      </c>
      <c r="H521" s="17" t="s">
        <v>104</v>
      </c>
      <c r="I521" s="17">
        <v>20196</v>
      </c>
      <c r="J521" s="17" t="s">
        <v>54</v>
      </c>
      <c r="K521" s="17" t="s">
        <v>55</v>
      </c>
      <c r="L521" s="17" t="s">
        <v>20</v>
      </c>
      <c r="M521" s="17" t="s">
        <v>919</v>
      </c>
      <c r="N521" s="17" t="s">
        <v>20</v>
      </c>
      <c r="O521" s="17" t="s">
        <v>1037</v>
      </c>
      <c r="P521" s="17" t="s">
        <v>56</v>
      </c>
      <c r="Q521" s="17" t="s">
        <v>686</v>
      </c>
      <c r="R521" s="17" t="s">
        <v>20</v>
      </c>
      <c r="S521" s="17" t="s">
        <v>1039</v>
      </c>
      <c r="T521" s="17">
        <v>112</v>
      </c>
      <c r="U521" s="18">
        <v>4499718464</v>
      </c>
      <c r="X521" s="17" t="s">
        <v>67</v>
      </c>
      <c r="Y521" s="17" t="s">
        <v>646</v>
      </c>
      <c r="Z521" s="17" t="s">
        <v>877</v>
      </c>
      <c r="AA521" s="28">
        <v>783861.82560600003</v>
      </c>
      <c r="AB521" s="28">
        <v>2421803.4964200002</v>
      </c>
    </row>
    <row r="522" spans="1:28">
      <c r="A522" s="17">
        <v>521</v>
      </c>
      <c r="B522" s="17">
        <v>812310</v>
      </c>
      <c r="C522" s="17" t="s">
        <v>1044</v>
      </c>
      <c r="D522" s="17" t="s">
        <v>52</v>
      </c>
      <c r="E522" s="17" t="s">
        <v>2348</v>
      </c>
      <c r="F522" s="17" t="s">
        <v>1057</v>
      </c>
      <c r="H522" s="17" t="s">
        <v>104</v>
      </c>
      <c r="I522" s="17">
        <v>20196</v>
      </c>
      <c r="J522" s="17" t="s">
        <v>54</v>
      </c>
      <c r="K522" s="17" t="s">
        <v>55</v>
      </c>
      <c r="L522" s="17" t="s">
        <v>56</v>
      </c>
      <c r="M522" s="17" t="s">
        <v>776</v>
      </c>
      <c r="N522" s="17" t="s">
        <v>20</v>
      </c>
      <c r="O522" s="17" t="s">
        <v>905</v>
      </c>
      <c r="P522" s="17" t="s">
        <v>20</v>
      </c>
      <c r="Q522" s="17" t="s">
        <v>2326</v>
      </c>
      <c r="R522" s="17" t="s">
        <v>20</v>
      </c>
      <c r="S522" s="17" t="s">
        <v>373</v>
      </c>
      <c r="T522" s="17">
        <v>419</v>
      </c>
      <c r="U522" s="18">
        <v>4494132112</v>
      </c>
      <c r="X522" s="17" t="s">
        <v>60</v>
      </c>
      <c r="Y522" s="17" t="s">
        <v>646</v>
      </c>
      <c r="Z522" s="17" t="s">
        <v>877</v>
      </c>
      <c r="AA522" s="28">
        <v>784548.53939000005</v>
      </c>
      <c r="AB522" s="28">
        <v>2420872.6815999998</v>
      </c>
    </row>
    <row r="523" spans="1:28">
      <c r="A523" s="17">
        <v>522</v>
      </c>
      <c r="B523" s="17">
        <v>813110</v>
      </c>
      <c r="C523" s="17" t="s">
        <v>1044</v>
      </c>
      <c r="D523" s="17" t="s">
        <v>52</v>
      </c>
      <c r="E523" s="17" t="s">
        <v>2349</v>
      </c>
      <c r="F523" s="17" t="s">
        <v>1069</v>
      </c>
      <c r="G523" s="17" t="s">
        <v>2350</v>
      </c>
      <c r="H523" s="17" t="s">
        <v>86</v>
      </c>
      <c r="I523" s="17">
        <v>20263</v>
      </c>
      <c r="J523" s="17" t="s">
        <v>54</v>
      </c>
      <c r="K523" s="17" t="s">
        <v>55</v>
      </c>
      <c r="L523" s="17" t="s">
        <v>20</v>
      </c>
      <c r="M523" s="17" t="s">
        <v>904</v>
      </c>
      <c r="N523" s="17" t="s">
        <v>20</v>
      </c>
      <c r="O523" s="17" t="s">
        <v>72</v>
      </c>
      <c r="P523" s="17" t="s">
        <v>56</v>
      </c>
      <c r="Q523" s="17" t="s">
        <v>192</v>
      </c>
      <c r="R523" s="17" t="s">
        <v>20</v>
      </c>
      <c r="S523" s="17" t="s">
        <v>2351</v>
      </c>
      <c r="T523" s="17">
        <v>106</v>
      </c>
      <c r="U523" s="18">
        <v>0</v>
      </c>
      <c r="X523" s="17" t="s">
        <v>67</v>
      </c>
      <c r="Y523" s="17" t="s">
        <v>646</v>
      </c>
      <c r="Z523" s="17" t="s">
        <v>877</v>
      </c>
      <c r="AA523" s="28">
        <v>784646.68205499998</v>
      </c>
      <c r="AB523" s="28">
        <v>2420628.22273</v>
      </c>
    </row>
    <row r="524" spans="1:28">
      <c r="A524" s="17">
        <v>523</v>
      </c>
      <c r="B524" s="17">
        <v>813110</v>
      </c>
      <c r="C524" s="17" t="s">
        <v>1044</v>
      </c>
      <c r="D524" s="17" t="s">
        <v>52</v>
      </c>
      <c r="E524" s="17" t="s">
        <v>2352</v>
      </c>
      <c r="F524" s="17" t="s">
        <v>1069</v>
      </c>
      <c r="G524" s="17" t="s">
        <v>2353</v>
      </c>
      <c r="H524" s="17" t="s">
        <v>644</v>
      </c>
      <c r="I524" s="17">
        <v>20196</v>
      </c>
      <c r="J524" s="17" t="s">
        <v>54</v>
      </c>
      <c r="K524" s="17" t="s">
        <v>55</v>
      </c>
      <c r="L524" s="17" t="s">
        <v>56</v>
      </c>
      <c r="M524" s="17" t="s">
        <v>646</v>
      </c>
      <c r="N524" s="17" t="s">
        <v>56</v>
      </c>
      <c r="O524" s="17" t="s">
        <v>776</v>
      </c>
      <c r="P524" s="17" t="s">
        <v>56</v>
      </c>
      <c r="Q524" s="17" t="s">
        <v>316</v>
      </c>
      <c r="R524" s="17" t="s">
        <v>20</v>
      </c>
      <c r="S524" s="17" t="s">
        <v>59</v>
      </c>
      <c r="T524" s="17">
        <v>0</v>
      </c>
      <c r="U524" s="18">
        <v>0</v>
      </c>
      <c r="V524" s="17" t="s">
        <v>2354</v>
      </c>
      <c r="X524" s="17" t="s">
        <v>67</v>
      </c>
      <c r="Y524" s="17" t="s">
        <v>646</v>
      </c>
      <c r="Z524" s="17" t="s">
        <v>877</v>
      </c>
      <c r="AA524" s="28">
        <v>784317.79356200004</v>
      </c>
      <c r="AB524" s="28">
        <v>2421256.1300499998</v>
      </c>
    </row>
    <row r="525" spans="1:28">
      <c r="A525" s="17">
        <v>524</v>
      </c>
      <c r="B525" s="17">
        <v>813120</v>
      </c>
      <c r="C525" s="17" t="s">
        <v>1044</v>
      </c>
      <c r="D525" s="17" t="s">
        <v>52</v>
      </c>
      <c r="E525" s="17" t="s">
        <v>2355</v>
      </c>
      <c r="F525" s="17" t="s">
        <v>1173</v>
      </c>
      <c r="G525" s="17" t="s">
        <v>331</v>
      </c>
      <c r="H525" s="17" t="s">
        <v>86</v>
      </c>
      <c r="I525" s="17">
        <v>20263</v>
      </c>
      <c r="J525" s="17" t="s">
        <v>54</v>
      </c>
      <c r="K525" s="17" t="s">
        <v>55</v>
      </c>
      <c r="L525" s="17" t="s">
        <v>20</v>
      </c>
      <c r="M525" s="17" t="s">
        <v>901</v>
      </c>
      <c r="N525" s="17" t="s">
        <v>58</v>
      </c>
      <c r="O525" s="17" t="s">
        <v>913</v>
      </c>
      <c r="P525" s="17" t="s">
        <v>56</v>
      </c>
      <c r="Q525" s="17" t="s">
        <v>686</v>
      </c>
      <c r="R525" s="17" t="s">
        <v>20</v>
      </c>
      <c r="S525" s="17" t="s">
        <v>59</v>
      </c>
      <c r="T525" s="17">
        <v>0</v>
      </c>
      <c r="U525" s="18">
        <v>0</v>
      </c>
      <c r="X525" s="17" t="s">
        <v>60</v>
      </c>
      <c r="Y525" s="17" t="s">
        <v>646</v>
      </c>
      <c r="Z525" s="17" t="s">
        <v>877</v>
      </c>
      <c r="AA525" s="28">
        <v>783941.337955</v>
      </c>
      <c r="AB525" s="28">
        <v>2420837.5057399999</v>
      </c>
    </row>
    <row r="526" spans="1:28">
      <c r="A526" s="17">
        <v>525</v>
      </c>
      <c r="B526" s="17">
        <v>813120</v>
      </c>
      <c r="C526" s="17" t="s">
        <v>1044</v>
      </c>
      <c r="D526" s="17" t="s">
        <v>52</v>
      </c>
      <c r="E526" s="17" t="s">
        <v>2356</v>
      </c>
      <c r="F526" s="17" t="s">
        <v>1173</v>
      </c>
      <c r="G526" s="17" t="s">
        <v>2357</v>
      </c>
      <c r="H526" s="17" t="s">
        <v>104</v>
      </c>
      <c r="I526" s="17">
        <v>20196</v>
      </c>
      <c r="J526" s="17" t="s">
        <v>54</v>
      </c>
      <c r="K526" s="17" t="s">
        <v>55</v>
      </c>
      <c r="L526" s="17" t="s">
        <v>20</v>
      </c>
      <c r="M526" s="17" t="s">
        <v>635</v>
      </c>
      <c r="N526" s="17" t="s">
        <v>20</v>
      </c>
      <c r="O526" s="17" t="s">
        <v>1037</v>
      </c>
      <c r="P526" s="17" t="s">
        <v>56</v>
      </c>
      <c r="Q526" s="17" t="s">
        <v>646</v>
      </c>
      <c r="R526" s="17" t="s">
        <v>20</v>
      </c>
      <c r="S526" s="17" t="s">
        <v>919</v>
      </c>
      <c r="T526" s="17">
        <v>415</v>
      </c>
      <c r="U526" s="18">
        <v>0</v>
      </c>
      <c r="W526" s="17" t="s">
        <v>2358</v>
      </c>
      <c r="X526" s="17" t="s">
        <v>67</v>
      </c>
      <c r="Y526" s="17" t="s">
        <v>646</v>
      </c>
      <c r="Z526" s="17" t="s">
        <v>877</v>
      </c>
      <c r="AA526" s="28">
        <v>783858.46164800005</v>
      </c>
      <c r="AB526" s="28">
        <v>2421977.5312800002</v>
      </c>
    </row>
    <row r="527" spans="1:28">
      <c r="A527" s="17">
        <v>526</v>
      </c>
      <c r="B527" s="17">
        <v>813120</v>
      </c>
      <c r="C527" s="17" t="s">
        <v>1044</v>
      </c>
      <c r="D527" s="17" t="s">
        <v>52</v>
      </c>
      <c r="E527" s="17" t="s">
        <v>2359</v>
      </c>
      <c r="F527" s="17" t="s">
        <v>1173</v>
      </c>
      <c r="G527" s="17" t="s">
        <v>2360</v>
      </c>
      <c r="H527" s="17" t="s">
        <v>104</v>
      </c>
      <c r="I527" s="17">
        <v>20196</v>
      </c>
      <c r="J527" s="17" t="s">
        <v>54</v>
      </c>
      <c r="K527" s="17" t="s">
        <v>125</v>
      </c>
      <c r="L527" s="17" t="s">
        <v>56</v>
      </c>
      <c r="M527" s="17" t="s">
        <v>776</v>
      </c>
      <c r="N527" s="17" t="s">
        <v>56</v>
      </c>
      <c r="O527" s="17" t="s">
        <v>646</v>
      </c>
      <c r="P527" s="17" t="s">
        <v>56</v>
      </c>
      <c r="Q527" s="17" t="s">
        <v>686</v>
      </c>
      <c r="R527" s="17" t="s">
        <v>20</v>
      </c>
      <c r="S527" s="17" t="s">
        <v>1037</v>
      </c>
      <c r="T527" s="17">
        <v>602</v>
      </c>
      <c r="U527" s="18">
        <v>0</v>
      </c>
      <c r="W527" s="17" t="s">
        <v>2361</v>
      </c>
      <c r="X527" s="17" t="s">
        <v>67</v>
      </c>
      <c r="Y527" s="17" t="s">
        <v>646</v>
      </c>
      <c r="Z527" s="17" t="s">
        <v>877</v>
      </c>
      <c r="AA527" s="28">
        <v>784028.51018900005</v>
      </c>
      <c r="AB527" s="28">
        <v>2421182.3387000002</v>
      </c>
    </row>
    <row r="528" spans="1:28">
      <c r="A528" s="17">
        <v>527</v>
      </c>
      <c r="B528" s="17">
        <v>813230</v>
      </c>
      <c r="C528" s="17" t="s">
        <v>1044</v>
      </c>
      <c r="D528" s="17" t="s">
        <v>52</v>
      </c>
      <c r="E528" s="17" t="s">
        <v>2362</v>
      </c>
      <c r="F528" s="17" t="s">
        <v>1061</v>
      </c>
      <c r="G528" s="17" t="s">
        <v>2363</v>
      </c>
      <c r="H528" s="17" t="s">
        <v>104</v>
      </c>
      <c r="I528" s="17">
        <v>20196</v>
      </c>
      <c r="J528" s="17" t="s">
        <v>54</v>
      </c>
      <c r="K528" s="17" t="s">
        <v>63</v>
      </c>
      <c r="L528" s="17" t="s">
        <v>20</v>
      </c>
      <c r="M528" s="17" t="s">
        <v>648</v>
      </c>
      <c r="N528" s="17" t="s">
        <v>20</v>
      </c>
      <c r="O528" s="17" t="s">
        <v>627</v>
      </c>
      <c r="P528" s="17" t="s">
        <v>20</v>
      </c>
      <c r="Q528" s="17" t="s">
        <v>899</v>
      </c>
      <c r="R528" s="17" t="s">
        <v>20</v>
      </c>
      <c r="S528" s="17" t="s">
        <v>649</v>
      </c>
      <c r="T528" s="17">
        <v>0</v>
      </c>
      <c r="U528" s="18">
        <v>0</v>
      </c>
      <c r="X528" s="17" t="s">
        <v>64</v>
      </c>
      <c r="Y528" s="17" t="s">
        <v>646</v>
      </c>
      <c r="Z528" s="17" t="s">
        <v>877</v>
      </c>
      <c r="AA528" s="28">
        <v>784718.60012099997</v>
      </c>
      <c r="AB528" s="28">
        <v>2421786.4944199999</v>
      </c>
    </row>
    <row r="529" spans="1:28">
      <c r="A529" s="17">
        <v>528</v>
      </c>
      <c r="B529" s="17">
        <v>813230</v>
      </c>
      <c r="C529" s="17" t="s">
        <v>1044</v>
      </c>
      <c r="D529" s="17" t="s">
        <v>52</v>
      </c>
      <c r="E529" s="17" t="s">
        <v>2364</v>
      </c>
      <c r="F529" s="17" t="s">
        <v>1061</v>
      </c>
      <c r="G529" s="17" t="s">
        <v>2365</v>
      </c>
      <c r="H529" s="17" t="s">
        <v>104</v>
      </c>
      <c r="I529" s="17">
        <v>20190</v>
      </c>
      <c r="J529" s="17" t="s">
        <v>54</v>
      </c>
      <c r="K529" s="17" t="s">
        <v>55</v>
      </c>
      <c r="L529" s="17" t="s">
        <v>20</v>
      </c>
      <c r="M529" s="17" t="s">
        <v>911</v>
      </c>
      <c r="N529" s="17" t="s">
        <v>20</v>
      </c>
      <c r="O529" s="17" t="s">
        <v>910</v>
      </c>
      <c r="P529" s="17" t="s">
        <v>20</v>
      </c>
      <c r="Q529" s="17" t="s">
        <v>908</v>
      </c>
      <c r="R529" s="17" t="s">
        <v>20</v>
      </c>
      <c r="S529" s="17" t="s">
        <v>2323</v>
      </c>
      <c r="T529" s="17">
        <v>412</v>
      </c>
      <c r="U529" s="18">
        <v>4491284739</v>
      </c>
      <c r="X529" s="17" t="s">
        <v>64</v>
      </c>
      <c r="Y529" s="17" t="s">
        <v>646</v>
      </c>
      <c r="Z529" s="17" t="s">
        <v>877</v>
      </c>
      <c r="AA529" s="28">
        <v>783715.87803300004</v>
      </c>
      <c r="AB529" s="28">
        <v>2422934.2321700002</v>
      </c>
    </row>
    <row r="530" spans="1:28">
      <c r="A530" s="17">
        <v>529</v>
      </c>
      <c r="B530" s="17">
        <v>813230</v>
      </c>
      <c r="C530" s="17" t="s">
        <v>1044</v>
      </c>
      <c r="D530" s="17" t="s">
        <v>52</v>
      </c>
      <c r="E530" s="17" t="s">
        <v>2366</v>
      </c>
      <c r="F530" s="17" t="s">
        <v>1061</v>
      </c>
      <c r="G530" s="17" t="s">
        <v>2367</v>
      </c>
      <c r="H530" s="17" t="s">
        <v>104</v>
      </c>
      <c r="I530" s="17">
        <v>20196</v>
      </c>
      <c r="J530" s="17" t="s">
        <v>54</v>
      </c>
      <c r="K530" s="17" t="s">
        <v>63</v>
      </c>
      <c r="L530" s="17" t="s">
        <v>20</v>
      </c>
      <c r="M530" s="17" t="s">
        <v>919</v>
      </c>
      <c r="N530" s="17" t="s">
        <v>56</v>
      </c>
      <c r="O530" s="17" t="s">
        <v>686</v>
      </c>
      <c r="P530" s="17" t="s">
        <v>20</v>
      </c>
      <c r="Q530" s="17" t="s">
        <v>1037</v>
      </c>
      <c r="R530" s="17" t="s">
        <v>20</v>
      </c>
      <c r="S530" s="17" t="s">
        <v>1038</v>
      </c>
      <c r="T530" s="17">
        <v>202</v>
      </c>
      <c r="U530" s="18">
        <v>0</v>
      </c>
      <c r="X530" s="17" t="s">
        <v>67</v>
      </c>
      <c r="Y530" s="17" t="s">
        <v>646</v>
      </c>
      <c r="Z530" s="17" t="s">
        <v>877</v>
      </c>
      <c r="AA530" s="28">
        <v>783869.25780999998</v>
      </c>
      <c r="AB530" s="28">
        <v>2421787.8873100001</v>
      </c>
    </row>
    <row r="531" spans="1:28">
      <c r="A531" s="17">
        <v>530</v>
      </c>
      <c r="B531" s="17">
        <v>813230</v>
      </c>
      <c r="C531" s="17" t="s">
        <v>1044</v>
      </c>
      <c r="D531" s="17" t="s">
        <v>52</v>
      </c>
      <c r="E531" s="17" t="s">
        <v>2368</v>
      </c>
      <c r="F531" s="17" t="s">
        <v>1061</v>
      </c>
      <c r="G531" s="17" t="s">
        <v>2369</v>
      </c>
      <c r="H531" s="17" t="s">
        <v>471</v>
      </c>
      <c r="I531" s="17">
        <v>20328</v>
      </c>
      <c r="J531" s="17" t="s">
        <v>54</v>
      </c>
      <c r="K531" s="17" t="s">
        <v>55</v>
      </c>
      <c r="L531" s="17" t="s">
        <v>20</v>
      </c>
      <c r="M531" s="17" t="s">
        <v>928</v>
      </c>
      <c r="N531" s="17" t="s">
        <v>56</v>
      </c>
      <c r="O531" s="17" t="s">
        <v>922</v>
      </c>
      <c r="P531" s="17" t="s">
        <v>20</v>
      </c>
      <c r="Q531" s="17" t="s">
        <v>59</v>
      </c>
      <c r="R531" s="17" t="s">
        <v>56</v>
      </c>
      <c r="S531" s="17" t="s">
        <v>922</v>
      </c>
      <c r="T531" s="17">
        <v>1113</v>
      </c>
      <c r="U531" s="18">
        <v>4492380703</v>
      </c>
      <c r="X531" s="17" t="s">
        <v>116</v>
      </c>
      <c r="Y531" s="17" t="s">
        <v>197</v>
      </c>
      <c r="Z531" s="17" t="s">
        <v>923</v>
      </c>
      <c r="AA531" s="28">
        <v>775269.71970999998</v>
      </c>
      <c r="AB531" s="28">
        <v>2425291.6309699998</v>
      </c>
    </row>
    <row r="532" spans="1:28">
      <c r="A532" s="17">
        <v>531</v>
      </c>
      <c r="B532" s="17">
        <v>624412</v>
      </c>
      <c r="C532" s="17" t="s">
        <v>1044</v>
      </c>
      <c r="D532" s="17" t="s">
        <v>1008</v>
      </c>
      <c r="E532" s="17" t="s">
        <v>2370</v>
      </c>
      <c r="F532" s="17" t="s">
        <v>1123</v>
      </c>
      <c r="H532" s="17" t="s">
        <v>104</v>
      </c>
      <c r="I532" s="17">
        <v>20326</v>
      </c>
      <c r="J532" s="17" t="s">
        <v>54</v>
      </c>
      <c r="K532" s="17" t="s">
        <v>55</v>
      </c>
      <c r="L532" s="17" t="s">
        <v>20</v>
      </c>
      <c r="M532" s="17" t="s">
        <v>931</v>
      </c>
      <c r="N532" s="17" t="s">
        <v>20</v>
      </c>
      <c r="O532" s="17" t="s">
        <v>925</v>
      </c>
      <c r="P532" s="17" t="s">
        <v>20</v>
      </c>
      <c r="Q532" s="17" t="s">
        <v>924</v>
      </c>
      <c r="R532" s="17" t="s">
        <v>20</v>
      </c>
      <c r="S532" s="17" t="s">
        <v>926</v>
      </c>
      <c r="T532" s="17">
        <v>207</v>
      </c>
      <c r="U532" s="18">
        <v>0</v>
      </c>
      <c r="X532" s="17" t="s">
        <v>60</v>
      </c>
      <c r="Y532" s="17" t="s">
        <v>221</v>
      </c>
      <c r="Z532" s="17" t="s">
        <v>923</v>
      </c>
      <c r="AA532" s="28">
        <v>775509.05763199995</v>
      </c>
      <c r="AB532" s="28">
        <v>2422218.0970299998</v>
      </c>
    </row>
    <row r="533" spans="1:28">
      <c r="A533" s="17">
        <v>532</v>
      </c>
      <c r="B533" s="17">
        <v>624191</v>
      </c>
      <c r="C533" s="17" t="s">
        <v>1044</v>
      </c>
      <c r="D533" s="17" t="s">
        <v>52</v>
      </c>
      <c r="E533" s="17" t="s">
        <v>2371</v>
      </c>
      <c r="F533" s="17" t="s">
        <v>1064</v>
      </c>
      <c r="G533" s="17" t="s">
        <v>2372</v>
      </c>
      <c r="H533" s="17" t="s">
        <v>104</v>
      </c>
      <c r="I533" s="17">
        <v>20326</v>
      </c>
      <c r="J533" s="17" t="s">
        <v>54</v>
      </c>
      <c r="K533" s="17" t="s">
        <v>55</v>
      </c>
      <c r="L533" s="17" t="s">
        <v>20</v>
      </c>
      <c r="M533" s="17" t="s">
        <v>930</v>
      </c>
      <c r="N533" s="17" t="s">
        <v>20</v>
      </c>
      <c r="O533" s="17" t="s">
        <v>927</v>
      </c>
      <c r="P533" s="17" t="s">
        <v>20</v>
      </c>
      <c r="Q533" s="17" t="s">
        <v>929</v>
      </c>
      <c r="R533" s="17" t="s">
        <v>20</v>
      </c>
      <c r="S533" s="17" t="s">
        <v>932</v>
      </c>
      <c r="T533" s="17">
        <v>201</v>
      </c>
      <c r="U533" s="18">
        <v>0</v>
      </c>
      <c r="X533" s="17" t="s">
        <v>60</v>
      </c>
      <c r="Y533" s="17" t="s">
        <v>221</v>
      </c>
      <c r="Z533" s="17" t="s">
        <v>923</v>
      </c>
      <c r="AA533" s="28">
        <v>775497.86831100006</v>
      </c>
      <c r="AB533" s="28">
        <v>2421624.0672399998</v>
      </c>
    </row>
    <row r="534" spans="1:28">
      <c r="A534" s="17">
        <v>533</v>
      </c>
      <c r="B534" s="17">
        <v>624121</v>
      </c>
      <c r="C534" s="17" t="s">
        <v>1044</v>
      </c>
      <c r="D534" s="17" t="s">
        <v>52</v>
      </c>
      <c r="E534" s="17" t="s">
        <v>2373</v>
      </c>
      <c r="F534" s="17" t="s">
        <v>2137</v>
      </c>
      <c r="H534" s="17" t="s">
        <v>104</v>
      </c>
      <c r="I534" s="17">
        <v>20207</v>
      </c>
      <c r="J534" s="17" t="s">
        <v>54</v>
      </c>
      <c r="K534" s="17" t="s">
        <v>78</v>
      </c>
      <c r="L534" s="17" t="s">
        <v>20</v>
      </c>
      <c r="M534" s="17" t="s">
        <v>935</v>
      </c>
      <c r="N534" s="17" t="s">
        <v>20</v>
      </c>
      <c r="O534" s="17" t="s">
        <v>1040</v>
      </c>
      <c r="P534" s="17" t="s">
        <v>20</v>
      </c>
      <c r="Q534" s="17" t="s">
        <v>1040</v>
      </c>
      <c r="R534" s="17" t="s">
        <v>20</v>
      </c>
      <c r="S534" s="17" t="s">
        <v>935</v>
      </c>
      <c r="T534" s="17">
        <v>114</v>
      </c>
      <c r="U534" s="18">
        <v>0</v>
      </c>
      <c r="W534" s="17" t="s">
        <v>2374</v>
      </c>
      <c r="X534" s="17" t="s">
        <v>131</v>
      </c>
      <c r="Y534" s="17" t="s">
        <v>221</v>
      </c>
      <c r="Z534" s="17" t="s">
        <v>933</v>
      </c>
      <c r="AA534" s="28">
        <v>775163.25102600001</v>
      </c>
      <c r="AB534" s="28">
        <v>2419657.1582200001</v>
      </c>
    </row>
    <row r="535" spans="1:28">
      <c r="A535" s="17">
        <v>534</v>
      </c>
      <c r="B535" s="17">
        <v>624411</v>
      </c>
      <c r="C535" s="17" t="s">
        <v>1044</v>
      </c>
      <c r="D535" s="17" t="s">
        <v>52</v>
      </c>
      <c r="E535" s="17" t="s">
        <v>1934</v>
      </c>
      <c r="F535" s="17" t="s">
        <v>1046</v>
      </c>
      <c r="G535" s="17" t="s">
        <v>2375</v>
      </c>
      <c r="H535" s="17" t="s">
        <v>104</v>
      </c>
      <c r="I535" s="17">
        <v>20218</v>
      </c>
      <c r="J535" s="17" t="s">
        <v>54</v>
      </c>
      <c r="K535" s="17" t="s">
        <v>88</v>
      </c>
      <c r="L535" s="17" t="s">
        <v>217</v>
      </c>
      <c r="M535" s="17" t="s">
        <v>2376</v>
      </c>
      <c r="N535" s="17" t="s">
        <v>56</v>
      </c>
      <c r="O535" s="17" t="s">
        <v>2377</v>
      </c>
      <c r="P535" s="17" t="s">
        <v>20</v>
      </c>
      <c r="Q535" s="17" t="s">
        <v>2378</v>
      </c>
      <c r="R535" s="17" t="s">
        <v>20</v>
      </c>
      <c r="S535" s="17" t="s">
        <v>2379</v>
      </c>
      <c r="T535" s="17">
        <v>302</v>
      </c>
      <c r="U535" s="18">
        <v>0</v>
      </c>
      <c r="V535" s="17" t="s">
        <v>2380</v>
      </c>
      <c r="X535" s="17" t="s">
        <v>64</v>
      </c>
      <c r="Y535" s="17" t="s">
        <v>221</v>
      </c>
      <c r="Z535" s="17" t="s">
        <v>933</v>
      </c>
      <c r="AA535" s="28">
        <v>776503.49680199998</v>
      </c>
      <c r="AB535" s="28">
        <v>2420531.4999299999</v>
      </c>
    </row>
    <row r="536" spans="1:28">
      <c r="A536" s="17">
        <v>535</v>
      </c>
      <c r="B536" s="17">
        <v>624412</v>
      </c>
      <c r="C536" s="17" t="s">
        <v>1044</v>
      </c>
      <c r="D536" s="17" t="s">
        <v>1008</v>
      </c>
      <c r="E536" s="17" t="s">
        <v>2381</v>
      </c>
      <c r="F536" s="17" t="s">
        <v>1123</v>
      </c>
      <c r="H536" s="17" t="s">
        <v>104</v>
      </c>
      <c r="I536" s="17">
        <v>20200</v>
      </c>
      <c r="J536" s="17" t="s">
        <v>54</v>
      </c>
      <c r="K536" s="17" t="s">
        <v>55</v>
      </c>
      <c r="L536" s="17" t="s">
        <v>20</v>
      </c>
      <c r="M536" s="17" t="s">
        <v>2382</v>
      </c>
      <c r="N536" s="17" t="s">
        <v>20</v>
      </c>
      <c r="O536" s="17" t="s">
        <v>936</v>
      </c>
      <c r="P536" s="17" t="s">
        <v>20</v>
      </c>
      <c r="Q536" s="17" t="s">
        <v>937</v>
      </c>
      <c r="R536" s="17" t="s">
        <v>20</v>
      </c>
      <c r="S536" s="17" t="s">
        <v>2383</v>
      </c>
      <c r="T536" s="17">
        <v>332</v>
      </c>
      <c r="U536" s="18">
        <v>4491821524</v>
      </c>
      <c r="X536" s="17" t="s">
        <v>67</v>
      </c>
      <c r="Y536" s="17" t="s">
        <v>221</v>
      </c>
      <c r="Z536" s="17" t="s">
        <v>933</v>
      </c>
      <c r="AA536" s="28">
        <v>774886.39124400006</v>
      </c>
      <c r="AB536" s="28">
        <v>2418618.4294799999</v>
      </c>
    </row>
    <row r="537" spans="1:28">
      <c r="A537" s="17">
        <v>536</v>
      </c>
      <c r="B537" s="17">
        <v>624191</v>
      </c>
      <c r="C537" s="17" t="s">
        <v>1044</v>
      </c>
      <c r="D537" s="17" t="s">
        <v>52</v>
      </c>
      <c r="E537" s="17" t="s">
        <v>1381</v>
      </c>
      <c r="F537" s="17" t="s">
        <v>1064</v>
      </c>
      <c r="G537" s="17" t="s">
        <v>2384</v>
      </c>
      <c r="H537" s="17" t="s">
        <v>104</v>
      </c>
      <c r="I537" s="17">
        <v>20200</v>
      </c>
      <c r="J537" s="17" t="s">
        <v>54</v>
      </c>
      <c r="K537" s="17" t="s">
        <v>55</v>
      </c>
      <c r="L537" s="17" t="s">
        <v>20</v>
      </c>
      <c r="M537" s="17" t="s">
        <v>938</v>
      </c>
      <c r="N537" s="17" t="s">
        <v>20</v>
      </c>
      <c r="O537" s="17" t="s">
        <v>940</v>
      </c>
      <c r="P537" s="17" t="s">
        <v>20</v>
      </c>
      <c r="Q537" s="17" t="s">
        <v>939</v>
      </c>
      <c r="R537" s="17" t="s">
        <v>20</v>
      </c>
      <c r="S537" s="17" t="s">
        <v>939</v>
      </c>
      <c r="T537" s="17">
        <v>227</v>
      </c>
      <c r="U537" s="18">
        <v>4499153490</v>
      </c>
      <c r="X537" s="17" t="s">
        <v>64</v>
      </c>
      <c r="Y537" s="17" t="s">
        <v>221</v>
      </c>
      <c r="Z537" s="17" t="s">
        <v>933</v>
      </c>
      <c r="AA537" s="28">
        <v>774833.16692300001</v>
      </c>
      <c r="AB537" s="28">
        <v>2419099.2559400001</v>
      </c>
    </row>
    <row r="538" spans="1:28">
      <c r="A538" s="17">
        <v>537</v>
      </c>
      <c r="B538" s="17">
        <v>813230</v>
      </c>
      <c r="C538" s="17" t="s">
        <v>1044</v>
      </c>
      <c r="D538" s="17" t="s">
        <v>52</v>
      </c>
      <c r="E538" s="17" t="s">
        <v>2385</v>
      </c>
      <c r="F538" s="17" t="s">
        <v>1061</v>
      </c>
      <c r="G538" s="17" t="s">
        <v>2386</v>
      </c>
      <c r="H538" s="17" t="s">
        <v>244</v>
      </c>
      <c r="I538" s="17">
        <v>20200</v>
      </c>
      <c r="J538" s="17" t="s">
        <v>54</v>
      </c>
      <c r="K538" s="17" t="s">
        <v>55</v>
      </c>
      <c r="L538" s="17" t="s">
        <v>20</v>
      </c>
      <c r="M538" s="17" t="s">
        <v>2387</v>
      </c>
      <c r="N538" s="17" t="s">
        <v>20</v>
      </c>
      <c r="O538" s="17" t="s">
        <v>59</v>
      </c>
      <c r="P538" s="17" t="s">
        <v>20</v>
      </c>
      <c r="Q538" s="17" t="s">
        <v>59</v>
      </c>
      <c r="R538" s="17" t="s">
        <v>20</v>
      </c>
      <c r="S538" s="17" t="s">
        <v>59</v>
      </c>
      <c r="T538" s="17">
        <v>96</v>
      </c>
      <c r="U538" s="18">
        <v>0</v>
      </c>
      <c r="V538" s="17" t="s">
        <v>2388</v>
      </c>
      <c r="X538" s="17" t="s">
        <v>60</v>
      </c>
      <c r="Y538" s="17" t="s">
        <v>221</v>
      </c>
      <c r="Z538" s="17" t="s">
        <v>933</v>
      </c>
      <c r="AA538" s="28">
        <v>774467.62784800003</v>
      </c>
      <c r="AB538" s="28">
        <v>2418963.3831199999</v>
      </c>
    </row>
    <row r="539" spans="1:28">
      <c r="A539" s="17">
        <v>538</v>
      </c>
      <c r="B539" s="17">
        <v>813230</v>
      </c>
      <c r="C539" s="17" t="s">
        <v>1044</v>
      </c>
      <c r="D539" s="17" t="s">
        <v>52</v>
      </c>
      <c r="E539" s="17" t="s">
        <v>2389</v>
      </c>
      <c r="F539" s="17" t="s">
        <v>1061</v>
      </c>
      <c r="G539" s="17" t="s">
        <v>2390</v>
      </c>
      <c r="H539" s="17" t="s">
        <v>244</v>
      </c>
      <c r="I539" s="17">
        <v>20200</v>
      </c>
      <c r="J539" s="17" t="s">
        <v>54</v>
      </c>
      <c r="K539" s="17" t="s">
        <v>55</v>
      </c>
      <c r="L539" s="17" t="s">
        <v>20</v>
      </c>
      <c r="M539" s="17" t="s">
        <v>59</v>
      </c>
      <c r="N539" s="17" t="s">
        <v>20</v>
      </c>
      <c r="O539" s="17" t="s">
        <v>2391</v>
      </c>
      <c r="P539" s="17" t="s">
        <v>20</v>
      </c>
      <c r="Q539" s="17" t="s">
        <v>59</v>
      </c>
      <c r="R539" s="17" t="s">
        <v>20</v>
      </c>
      <c r="S539" s="17" t="s">
        <v>59</v>
      </c>
      <c r="T539" s="17">
        <v>99</v>
      </c>
      <c r="U539" s="18">
        <v>0</v>
      </c>
      <c r="X539" s="17" t="s">
        <v>138</v>
      </c>
      <c r="Y539" s="17" t="s">
        <v>221</v>
      </c>
      <c r="Z539" s="17" t="s">
        <v>933</v>
      </c>
      <c r="AA539" s="28">
        <v>774540.05928499997</v>
      </c>
      <c r="AB539" s="28">
        <v>2419117.0210199999</v>
      </c>
    </row>
    <row r="540" spans="1:28">
      <c r="A540" s="17">
        <v>539</v>
      </c>
      <c r="B540" s="17">
        <v>813230</v>
      </c>
      <c r="C540" s="17" t="s">
        <v>1044</v>
      </c>
      <c r="D540" s="17" t="s">
        <v>52</v>
      </c>
      <c r="E540" s="17" t="s">
        <v>2392</v>
      </c>
      <c r="F540" s="17" t="s">
        <v>1061</v>
      </c>
      <c r="G540" s="17" t="s">
        <v>2393</v>
      </c>
      <c r="H540" s="17" t="s">
        <v>244</v>
      </c>
      <c r="I540" s="17">
        <v>20200</v>
      </c>
      <c r="J540" s="17" t="s">
        <v>54</v>
      </c>
      <c r="K540" s="17" t="s">
        <v>55</v>
      </c>
      <c r="L540" s="17" t="s">
        <v>20</v>
      </c>
      <c r="M540" s="17" t="s">
        <v>2394</v>
      </c>
      <c r="N540" s="17" t="s">
        <v>20</v>
      </c>
      <c r="O540" s="17" t="s">
        <v>2395</v>
      </c>
      <c r="P540" s="17" t="s">
        <v>20</v>
      </c>
      <c r="Q540" s="17" t="s">
        <v>59</v>
      </c>
      <c r="R540" s="17" t="s">
        <v>20</v>
      </c>
      <c r="S540" s="17" t="s">
        <v>2396</v>
      </c>
      <c r="T540" s="17">
        <v>0</v>
      </c>
      <c r="U540" s="18">
        <v>4492002021</v>
      </c>
      <c r="V540" s="17" t="s">
        <v>2397</v>
      </c>
      <c r="X540" s="17" t="s">
        <v>64</v>
      </c>
      <c r="Y540" s="17" t="s">
        <v>221</v>
      </c>
      <c r="Z540" s="17" t="s">
        <v>933</v>
      </c>
      <c r="AA540" s="28">
        <v>774580.75500700006</v>
      </c>
      <c r="AB540" s="28">
        <v>2419000.9456799999</v>
      </c>
    </row>
    <row r="541" spans="1:28">
      <c r="A541" s="17">
        <v>540</v>
      </c>
      <c r="B541" s="17">
        <v>813230</v>
      </c>
      <c r="C541" s="17" t="s">
        <v>1044</v>
      </c>
      <c r="D541" s="17" t="s">
        <v>52</v>
      </c>
      <c r="E541" s="17" t="s">
        <v>2398</v>
      </c>
      <c r="F541" s="17" t="s">
        <v>1061</v>
      </c>
      <c r="G541" s="17" t="s">
        <v>2399</v>
      </c>
      <c r="H541" s="17" t="s">
        <v>244</v>
      </c>
      <c r="I541" s="17">
        <v>20200</v>
      </c>
      <c r="J541" s="17" t="s">
        <v>54</v>
      </c>
      <c r="K541" s="17" t="s">
        <v>55</v>
      </c>
      <c r="L541" s="17" t="s">
        <v>20</v>
      </c>
      <c r="M541" s="17" t="s">
        <v>2391</v>
      </c>
      <c r="N541" s="17" t="s">
        <v>20</v>
      </c>
      <c r="O541" s="17" t="s">
        <v>59</v>
      </c>
      <c r="P541" s="17" t="s">
        <v>20</v>
      </c>
      <c r="Q541" s="17" t="s">
        <v>59</v>
      </c>
      <c r="R541" s="17" t="s">
        <v>20</v>
      </c>
      <c r="S541" s="17" t="s">
        <v>2391</v>
      </c>
      <c r="T541" s="17">
        <v>0</v>
      </c>
      <c r="U541" s="18">
        <v>4499761397</v>
      </c>
      <c r="V541" s="17" t="s">
        <v>2400</v>
      </c>
      <c r="X541" s="17" t="s">
        <v>64</v>
      </c>
      <c r="Y541" s="17" t="s">
        <v>221</v>
      </c>
      <c r="Z541" s="17" t="s">
        <v>933</v>
      </c>
      <c r="AA541" s="28">
        <v>774543.71076599997</v>
      </c>
      <c r="AB541" s="28">
        <v>2419076.4069400001</v>
      </c>
    </row>
    <row r="542" spans="1:28">
      <c r="A542" s="17">
        <v>541</v>
      </c>
      <c r="B542" s="17">
        <v>813230</v>
      </c>
      <c r="C542" s="17" t="s">
        <v>1044</v>
      </c>
      <c r="D542" s="17" t="s">
        <v>52</v>
      </c>
      <c r="E542" s="17" t="s">
        <v>2401</v>
      </c>
      <c r="F542" s="17" t="s">
        <v>1061</v>
      </c>
      <c r="H542" s="17" t="s">
        <v>104</v>
      </c>
      <c r="I542" s="17">
        <v>20218</v>
      </c>
      <c r="J542" s="17" t="s">
        <v>54</v>
      </c>
      <c r="K542" s="17" t="s">
        <v>55</v>
      </c>
      <c r="L542" s="17" t="s">
        <v>20</v>
      </c>
      <c r="M542" s="17" t="s">
        <v>2402</v>
      </c>
      <c r="N542" s="17" t="s">
        <v>20</v>
      </c>
      <c r="O542" s="17" t="s">
        <v>2403</v>
      </c>
      <c r="P542" s="17" t="s">
        <v>161</v>
      </c>
      <c r="Q542" s="17" t="s">
        <v>934</v>
      </c>
      <c r="R542" s="17" t="s">
        <v>161</v>
      </c>
      <c r="S542" s="17" t="s">
        <v>934</v>
      </c>
      <c r="T542" s="17">
        <v>301</v>
      </c>
      <c r="U542" s="18">
        <v>4499760656</v>
      </c>
      <c r="X542" s="17" t="s">
        <v>138</v>
      </c>
      <c r="Y542" s="17" t="s">
        <v>221</v>
      </c>
      <c r="Z542" s="17" t="s">
        <v>933</v>
      </c>
      <c r="AA542" s="28">
        <v>774799.02477500006</v>
      </c>
      <c r="AB542" s="28">
        <v>2419660.5735399998</v>
      </c>
    </row>
    <row r="543" spans="1:28">
      <c r="A543" s="17">
        <v>542</v>
      </c>
      <c r="B543" s="17">
        <v>813230</v>
      </c>
      <c r="C543" s="17" t="s">
        <v>1044</v>
      </c>
      <c r="D543" s="17" t="s">
        <v>52</v>
      </c>
      <c r="E543" s="17" t="s">
        <v>2404</v>
      </c>
      <c r="F543" s="17" t="s">
        <v>1061</v>
      </c>
      <c r="G543" s="17" t="s">
        <v>2405</v>
      </c>
      <c r="H543" s="17" t="s">
        <v>104</v>
      </c>
      <c r="I543" s="17">
        <v>20200</v>
      </c>
      <c r="J543" s="17" t="s">
        <v>54</v>
      </c>
      <c r="K543" s="17" t="s">
        <v>63</v>
      </c>
      <c r="L543" s="17" t="s">
        <v>20</v>
      </c>
      <c r="M543" s="17" t="s">
        <v>2406</v>
      </c>
      <c r="N543" s="17" t="s">
        <v>20</v>
      </c>
      <c r="O543" s="17" t="s">
        <v>2406</v>
      </c>
      <c r="P543" s="17" t="s">
        <v>20</v>
      </c>
      <c r="Q543" s="17" t="s">
        <v>2406</v>
      </c>
      <c r="R543" s="17" t="s">
        <v>20</v>
      </c>
      <c r="S543" s="17" t="s">
        <v>2406</v>
      </c>
      <c r="T543" s="17">
        <v>0</v>
      </c>
      <c r="U543" s="18">
        <v>4491981394</v>
      </c>
      <c r="V543" s="17" t="s">
        <v>2407</v>
      </c>
      <c r="X543" s="17" t="s">
        <v>60</v>
      </c>
      <c r="Y543" s="17" t="s">
        <v>221</v>
      </c>
      <c r="Z543" s="17" t="s">
        <v>933</v>
      </c>
      <c r="AA543" s="28">
        <v>774524.36714800005</v>
      </c>
      <c r="AB543" s="28">
        <v>2418790.8498900002</v>
      </c>
    </row>
    <row r="544" spans="1:28">
      <c r="A544" s="17">
        <v>543</v>
      </c>
      <c r="B544" s="17">
        <v>813230</v>
      </c>
      <c r="C544" s="17" t="s">
        <v>1044</v>
      </c>
      <c r="D544" s="17" t="s">
        <v>52</v>
      </c>
      <c r="E544" s="17" t="s">
        <v>2408</v>
      </c>
      <c r="F544" s="17" t="s">
        <v>1061</v>
      </c>
      <c r="G544" s="17" t="s">
        <v>2409</v>
      </c>
      <c r="H544" s="17" t="s">
        <v>104</v>
      </c>
      <c r="I544" s="17">
        <v>20218</v>
      </c>
      <c r="J544" s="17" t="s">
        <v>54</v>
      </c>
      <c r="K544" s="17" t="s">
        <v>78</v>
      </c>
      <c r="L544" s="17" t="s">
        <v>20</v>
      </c>
      <c r="M544" s="17" t="s">
        <v>2410</v>
      </c>
      <c r="N544" s="17" t="s">
        <v>20</v>
      </c>
      <c r="O544" s="17" t="s">
        <v>2410</v>
      </c>
      <c r="P544" s="17" t="s">
        <v>20</v>
      </c>
      <c r="Q544" s="17" t="s">
        <v>2410</v>
      </c>
      <c r="R544" s="17" t="s">
        <v>20</v>
      </c>
      <c r="S544" s="17" t="s">
        <v>2410</v>
      </c>
      <c r="T544" s="17">
        <v>101</v>
      </c>
      <c r="U544" s="18">
        <v>4499760246</v>
      </c>
      <c r="V544" s="17" t="s">
        <v>2411</v>
      </c>
      <c r="X544" s="17" t="s">
        <v>64</v>
      </c>
      <c r="Y544" s="17" t="s">
        <v>221</v>
      </c>
      <c r="Z544" s="17" t="s">
        <v>933</v>
      </c>
      <c r="AA544" s="28">
        <v>774326.45321199996</v>
      </c>
      <c r="AB544" s="28">
        <v>2419583.9280400001</v>
      </c>
    </row>
    <row r="545" spans="1:28">
      <c r="A545" s="17">
        <v>544</v>
      </c>
      <c r="B545" s="17">
        <v>813230</v>
      </c>
      <c r="C545" s="17" t="s">
        <v>1044</v>
      </c>
      <c r="D545" s="17" t="s">
        <v>52</v>
      </c>
      <c r="E545" s="17" t="s">
        <v>2412</v>
      </c>
      <c r="F545" s="17" t="s">
        <v>1061</v>
      </c>
      <c r="G545" s="17" t="s">
        <v>2413</v>
      </c>
      <c r="H545" s="17" t="s">
        <v>104</v>
      </c>
      <c r="I545" s="17">
        <v>20200</v>
      </c>
      <c r="J545" s="17" t="s">
        <v>54</v>
      </c>
      <c r="K545" s="17" t="s">
        <v>55</v>
      </c>
      <c r="L545" s="17" t="s">
        <v>20</v>
      </c>
      <c r="M545" s="17" t="s">
        <v>2414</v>
      </c>
      <c r="N545" s="17" t="s">
        <v>58</v>
      </c>
      <c r="O545" s="17" t="s">
        <v>59</v>
      </c>
      <c r="P545" s="17" t="s">
        <v>58</v>
      </c>
      <c r="Q545" s="17" t="s">
        <v>2415</v>
      </c>
      <c r="R545" s="17" t="s">
        <v>58</v>
      </c>
      <c r="S545" s="17" t="s">
        <v>2415</v>
      </c>
      <c r="T545" s="17">
        <v>152</v>
      </c>
      <c r="U545" s="18">
        <v>4491627171</v>
      </c>
      <c r="V545" s="17" t="s">
        <v>2416</v>
      </c>
      <c r="X545" s="17" t="s">
        <v>64</v>
      </c>
      <c r="Y545" s="17" t="s">
        <v>221</v>
      </c>
      <c r="Z545" s="17" t="s">
        <v>933</v>
      </c>
      <c r="AA545" s="28">
        <v>774497.903437</v>
      </c>
      <c r="AB545" s="28">
        <v>2419186.4416899998</v>
      </c>
    </row>
    <row r="546" spans="1:28">
      <c r="A546" s="17">
        <v>545</v>
      </c>
      <c r="B546" s="17">
        <v>623311</v>
      </c>
      <c r="C546" s="17" t="s">
        <v>1044</v>
      </c>
      <c r="D546" s="17" t="s">
        <v>52</v>
      </c>
      <c r="E546" s="17" t="s">
        <v>2417</v>
      </c>
      <c r="F546" s="17" t="s">
        <v>1345</v>
      </c>
      <c r="G546" s="17" t="s">
        <v>2418</v>
      </c>
      <c r="H546" s="17" t="s">
        <v>69</v>
      </c>
      <c r="I546" s="17">
        <v>20130</v>
      </c>
      <c r="J546" s="17" t="s">
        <v>54</v>
      </c>
      <c r="K546" s="17" t="s">
        <v>63</v>
      </c>
      <c r="L546" s="17" t="s">
        <v>58</v>
      </c>
      <c r="M546" s="17" t="s">
        <v>958</v>
      </c>
      <c r="N546" s="17" t="s">
        <v>20</v>
      </c>
      <c r="O546" s="17" t="s">
        <v>962</v>
      </c>
      <c r="P546" s="17" t="s">
        <v>20</v>
      </c>
      <c r="Q546" s="17" t="s">
        <v>944</v>
      </c>
      <c r="R546" s="17" t="s">
        <v>20</v>
      </c>
      <c r="S546" s="17" t="s">
        <v>962</v>
      </c>
      <c r="T546" s="17">
        <v>111</v>
      </c>
      <c r="U546" s="18">
        <v>0</v>
      </c>
      <c r="X546" s="17" t="s">
        <v>60</v>
      </c>
      <c r="Y546" s="17" t="s">
        <v>197</v>
      </c>
      <c r="Z546" s="17" t="s">
        <v>946</v>
      </c>
      <c r="AA546" s="28">
        <v>778496.02403900004</v>
      </c>
      <c r="AB546" s="28">
        <v>2425382.6503599999</v>
      </c>
    </row>
    <row r="547" spans="1:28">
      <c r="A547" s="17">
        <v>546</v>
      </c>
      <c r="B547" s="17">
        <v>623311</v>
      </c>
      <c r="C547" s="17" t="s">
        <v>1044</v>
      </c>
      <c r="D547" s="17" t="s">
        <v>52</v>
      </c>
      <c r="E547" s="17" t="s">
        <v>2419</v>
      </c>
      <c r="F547" s="17" t="s">
        <v>1345</v>
      </c>
      <c r="G547" s="17" t="s">
        <v>2419</v>
      </c>
      <c r="H547" s="17" t="s">
        <v>104</v>
      </c>
      <c r="I547" s="17">
        <v>20120</v>
      </c>
      <c r="J547" s="17" t="s">
        <v>54</v>
      </c>
      <c r="K547" s="17" t="s">
        <v>55</v>
      </c>
      <c r="L547" s="17" t="s">
        <v>20</v>
      </c>
      <c r="M547" s="17" t="s">
        <v>942</v>
      </c>
      <c r="N547" s="17" t="s">
        <v>20</v>
      </c>
      <c r="O547" s="17" t="s">
        <v>975</v>
      </c>
      <c r="P547" s="17" t="s">
        <v>20</v>
      </c>
      <c r="Q547" s="17" t="s">
        <v>2420</v>
      </c>
      <c r="R547" s="17" t="s">
        <v>20</v>
      </c>
      <c r="S547" s="17" t="s">
        <v>2421</v>
      </c>
      <c r="T547" s="17">
        <v>119</v>
      </c>
      <c r="U547" s="18">
        <v>4498910656</v>
      </c>
      <c r="X547" s="17" t="s">
        <v>60</v>
      </c>
      <c r="Y547" s="17" t="s">
        <v>197</v>
      </c>
      <c r="Z547" s="17" t="s">
        <v>946</v>
      </c>
      <c r="AA547" s="28">
        <v>777895.44225199998</v>
      </c>
      <c r="AB547" s="28">
        <v>2426228.6863500001</v>
      </c>
    </row>
    <row r="548" spans="1:28">
      <c r="A548" s="17">
        <v>547</v>
      </c>
      <c r="B548" s="17">
        <v>623311</v>
      </c>
      <c r="C548" s="17" t="s">
        <v>1044</v>
      </c>
      <c r="D548" s="17" t="s">
        <v>52</v>
      </c>
      <c r="E548" s="17" t="s">
        <v>2422</v>
      </c>
      <c r="F548" s="17" t="s">
        <v>1345</v>
      </c>
      <c r="H548" s="17" t="s">
        <v>104</v>
      </c>
      <c r="I548" s="17">
        <v>20116</v>
      </c>
      <c r="J548" s="17" t="s">
        <v>54</v>
      </c>
      <c r="K548" s="17" t="s">
        <v>78</v>
      </c>
      <c r="L548" s="17" t="s">
        <v>20</v>
      </c>
      <c r="M548" s="17" t="s">
        <v>72</v>
      </c>
      <c r="N548" s="17" t="s">
        <v>20</v>
      </c>
      <c r="O548" s="17" t="s">
        <v>992</v>
      </c>
      <c r="P548" s="17" t="s">
        <v>20</v>
      </c>
      <c r="Q548" s="17" t="s">
        <v>2423</v>
      </c>
      <c r="R548" s="17" t="s">
        <v>20</v>
      </c>
      <c r="S548" s="17" t="s">
        <v>992</v>
      </c>
      <c r="T548" s="17">
        <v>210</v>
      </c>
      <c r="U548" s="18">
        <v>4499730195</v>
      </c>
      <c r="V548" s="17" t="s">
        <v>2424</v>
      </c>
      <c r="X548" s="17" t="s">
        <v>67</v>
      </c>
      <c r="Y548" s="17" t="s">
        <v>197</v>
      </c>
      <c r="Z548" s="17" t="s">
        <v>946</v>
      </c>
      <c r="AA548" s="28">
        <v>778859.14784999995</v>
      </c>
      <c r="AB548" s="28">
        <v>2428470.8503800002</v>
      </c>
    </row>
    <row r="549" spans="1:28">
      <c r="A549" s="17">
        <v>548</v>
      </c>
      <c r="B549" s="17">
        <v>624121</v>
      </c>
      <c r="C549" s="17" t="s">
        <v>1044</v>
      </c>
      <c r="D549" s="17" t="s">
        <v>52</v>
      </c>
      <c r="E549" s="17" t="s">
        <v>2373</v>
      </c>
      <c r="F549" s="17" t="s">
        <v>2137</v>
      </c>
      <c r="H549" s="17" t="s">
        <v>104</v>
      </c>
      <c r="I549" s="17">
        <v>20128</v>
      </c>
      <c r="J549" s="17" t="s">
        <v>54</v>
      </c>
      <c r="K549" s="17" t="s">
        <v>55</v>
      </c>
      <c r="L549" s="17" t="s">
        <v>20</v>
      </c>
      <c r="M549" s="17" t="s">
        <v>974</v>
      </c>
      <c r="N549" s="17" t="s">
        <v>20</v>
      </c>
      <c r="O549" s="17" t="s">
        <v>942</v>
      </c>
      <c r="P549" s="17" t="s">
        <v>20</v>
      </c>
      <c r="Q549" s="17" t="s">
        <v>945</v>
      </c>
      <c r="R549" s="17" t="s">
        <v>161</v>
      </c>
      <c r="S549" s="17" t="s">
        <v>826</v>
      </c>
      <c r="T549" s="17">
        <v>222</v>
      </c>
      <c r="U549" s="18">
        <v>0</v>
      </c>
      <c r="X549" s="17" t="s">
        <v>60</v>
      </c>
      <c r="Y549" s="17" t="s">
        <v>197</v>
      </c>
      <c r="Z549" s="17" t="s">
        <v>946</v>
      </c>
      <c r="AA549" s="28">
        <v>777987.77933699999</v>
      </c>
      <c r="AB549" s="28">
        <v>2426823.89524</v>
      </c>
    </row>
    <row r="550" spans="1:28">
      <c r="A550" s="17">
        <v>549</v>
      </c>
      <c r="B550" s="17">
        <v>624312</v>
      </c>
      <c r="C550" s="17" t="s">
        <v>1044</v>
      </c>
      <c r="D550" s="17" t="s">
        <v>52</v>
      </c>
      <c r="E550" s="17" t="s">
        <v>2425</v>
      </c>
      <c r="F550" s="17" t="s">
        <v>1132</v>
      </c>
      <c r="G550" s="17" t="s">
        <v>2425</v>
      </c>
      <c r="H550" s="17" t="s">
        <v>104</v>
      </c>
      <c r="I550" s="17">
        <v>20120</v>
      </c>
      <c r="J550" s="17" t="s">
        <v>54</v>
      </c>
      <c r="K550" s="17" t="s">
        <v>55</v>
      </c>
      <c r="L550" s="17" t="s">
        <v>20</v>
      </c>
      <c r="M550" s="17" t="s">
        <v>985</v>
      </c>
      <c r="N550" s="17" t="s">
        <v>20</v>
      </c>
      <c r="O550" s="17" t="s">
        <v>972</v>
      </c>
      <c r="P550" s="17" t="s">
        <v>20</v>
      </c>
      <c r="Q550" s="17" t="s">
        <v>986</v>
      </c>
      <c r="R550" s="17" t="s">
        <v>20</v>
      </c>
      <c r="S550" s="17" t="s">
        <v>986</v>
      </c>
      <c r="T550" s="17">
        <v>130</v>
      </c>
      <c r="U550" s="18">
        <v>0</v>
      </c>
      <c r="V550" s="17" t="s">
        <v>2426</v>
      </c>
      <c r="W550" s="17" t="s">
        <v>2427</v>
      </c>
      <c r="X550" s="17" t="s">
        <v>60</v>
      </c>
      <c r="Y550" s="17" t="s">
        <v>197</v>
      </c>
      <c r="Z550" s="17" t="s">
        <v>946</v>
      </c>
      <c r="AA550" s="28">
        <v>778674.53629199998</v>
      </c>
      <c r="AB550" s="28">
        <v>2426820.2638599998</v>
      </c>
    </row>
    <row r="551" spans="1:28">
      <c r="A551" s="17">
        <v>550</v>
      </c>
      <c r="B551" s="17">
        <v>624411</v>
      </c>
      <c r="C551" s="17" t="s">
        <v>1044</v>
      </c>
      <c r="D551" s="17" t="s">
        <v>52</v>
      </c>
      <c r="E551" s="17" t="s">
        <v>1262</v>
      </c>
      <c r="F551" s="17" t="s">
        <v>1046</v>
      </c>
      <c r="G551" s="17" t="s">
        <v>1263</v>
      </c>
      <c r="H551" s="17" t="s">
        <v>69</v>
      </c>
      <c r="I551" s="17">
        <v>20130</v>
      </c>
      <c r="J551" s="17" t="s">
        <v>54</v>
      </c>
      <c r="K551" s="17" t="s">
        <v>55</v>
      </c>
      <c r="L551" s="17" t="s">
        <v>20</v>
      </c>
      <c r="M551" s="17" t="s">
        <v>954</v>
      </c>
      <c r="N551" s="17" t="s">
        <v>20</v>
      </c>
      <c r="O551" s="17" t="s">
        <v>2428</v>
      </c>
      <c r="P551" s="17" t="s">
        <v>58</v>
      </c>
      <c r="Q551" s="17" t="s">
        <v>2429</v>
      </c>
      <c r="R551" s="17" t="s">
        <v>20</v>
      </c>
      <c r="S551" s="17" t="s">
        <v>2430</v>
      </c>
      <c r="T551" s="17">
        <v>601</v>
      </c>
      <c r="U551" s="18">
        <v>0</v>
      </c>
      <c r="V551" s="17" t="s">
        <v>1588</v>
      </c>
      <c r="X551" s="17" t="s">
        <v>138</v>
      </c>
      <c r="Y551" s="17" t="s">
        <v>197</v>
      </c>
      <c r="Z551" s="17" t="s">
        <v>946</v>
      </c>
      <c r="AA551" s="28">
        <v>778212.46721200005</v>
      </c>
      <c r="AB551" s="28">
        <v>2425033.7602900001</v>
      </c>
    </row>
    <row r="552" spans="1:28">
      <c r="A552" s="17">
        <v>551</v>
      </c>
      <c r="B552" s="17">
        <v>624411</v>
      </c>
      <c r="C552" s="17" t="s">
        <v>1044</v>
      </c>
      <c r="D552" s="17" t="s">
        <v>52</v>
      </c>
      <c r="E552" s="17" t="s">
        <v>2431</v>
      </c>
      <c r="F552" s="17" t="s">
        <v>1046</v>
      </c>
      <c r="H552" s="17" t="s">
        <v>69</v>
      </c>
      <c r="I552" s="17">
        <v>20130</v>
      </c>
      <c r="J552" s="17" t="s">
        <v>54</v>
      </c>
      <c r="K552" s="17" t="s">
        <v>63</v>
      </c>
      <c r="L552" s="17" t="s">
        <v>20</v>
      </c>
      <c r="M552" s="17" t="s">
        <v>944</v>
      </c>
      <c r="N552" s="17" t="s">
        <v>58</v>
      </c>
      <c r="O552" s="17" t="s">
        <v>2432</v>
      </c>
      <c r="P552" s="17" t="s">
        <v>58</v>
      </c>
      <c r="Q552" s="17" t="s">
        <v>2433</v>
      </c>
      <c r="R552" s="17" t="s">
        <v>142</v>
      </c>
      <c r="S552" s="17" t="s">
        <v>351</v>
      </c>
      <c r="T552" s="17">
        <v>0</v>
      </c>
      <c r="U552" s="18">
        <v>4498941394</v>
      </c>
      <c r="V552" s="17" t="s">
        <v>2434</v>
      </c>
      <c r="X552" s="17" t="s">
        <v>60</v>
      </c>
      <c r="Y552" s="17" t="s">
        <v>197</v>
      </c>
      <c r="Z552" s="17" t="s">
        <v>946</v>
      </c>
      <c r="AA552" s="28">
        <v>779005.07464600005</v>
      </c>
      <c r="AB552" s="28">
        <v>2425305.9230499999</v>
      </c>
    </row>
    <row r="553" spans="1:28">
      <c r="A553" s="17">
        <v>552</v>
      </c>
      <c r="B553" s="17">
        <v>624411</v>
      </c>
      <c r="C553" s="17" t="s">
        <v>1044</v>
      </c>
      <c r="D553" s="17" t="s">
        <v>52</v>
      </c>
      <c r="E553" s="17" t="s">
        <v>2435</v>
      </c>
      <c r="F553" s="17" t="s">
        <v>1046</v>
      </c>
      <c r="H553" s="17" t="s">
        <v>104</v>
      </c>
      <c r="I553" s="17">
        <v>20210</v>
      </c>
      <c r="J553" s="17" t="s">
        <v>54</v>
      </c>
      <c r="K553" s="17" t="s">
        <v>63</v>
      </c>
      <c r="L553" s="17" t="s">
        <v>20</v>
      </c>
      <c r="M553" s="17" t="s">
        <v>948</v>
      </c>
      <c r="N553" s="17" t="s">
        <v>20</v>
      </c>
      <c r="O553" s="17" t="s">
        <v>950</v>
      </c>
      <c r="P553" s="17" t="s">
        <v>20</v>
      </c>
      <c r="Q553" s="17" t="s">
        <v>947</v>
      </c>
      <c r="R553" s="17" t="s">
        <v>20</v>
      </c>
      <c r="S553" s="17" t="s">
        <v>949</v>
      </c>
      <c r="T553" s="17">
        <v>709</v>
      </c>
      <c r="U553" s="18">
        <v>0</v>
      </c>
      <c r="X553" s="17" t="s">
        <v>67</v>
      </c>
      <c r="Y553" s="17" t="s">
        <v>197</v>
      </c>
      <c r="Z553" s="17" t="s">
        <v>946</v>
      </c>
      <c r="AA553" s="28">
        <v>778614.51736900001</v>
      </c>
      <c r="AB553" s="28">
        <v>2426726.6986799999</v>
      </c>
    </row>
    <row r="554" spans="1:28">
      <c r="A554" s="17">
        <v>553</v>
      </c>
      <c r="B554" s="17">
        <v>624411</v>
      </c>
      <c r="C554" s="17" t="s">
        <v>1044</v>
      </c>
      <c r="D554" s="17" t="s">
        <v>52</v>
      </c>
      <c r="E554" s="17" t="s">
        <v>2436</v>
      </c>
      <c r="F554" s="17" t="s">
        <v>1046</v>
      </c>
      <c r="G554" s="17" t="s">
        <v>2437</v>
      </c>
      <c r="H554" s="17" t="s">
        <v>104</v>
      </c>
      <c r="I554" s="17">
        <v>20120</v>
      </c>
      <c r="J554" s="17" t="s">
        <v>54</v>
      </c>
      <c r="K554" s="17" t="s">
        <v>78</v>
      </c>
      <c r="L554" s="17" t="s">
        <v>161</v>
      </c>
      <c r="M554" s="17" t="s">
        <v>826</v>
      </c>
      <c r="N554" s="17" t="s">
        <v>20</v>
      </c>
      <c r="O554" s="17" t="s">
        <v>953</v>
      </c>
      <c r="P554" s="17" t="s">
        <v>20</v>
      </c>
      <c r="Q554" s="17" t="s">
        <v>942</v>
      </c>
      <c r="R554" s="17" t="s">
        <v>20</v>
      </c>
      <c r="S554" s="17" t="s">
        <v>974</v>
      </c>
      <c r="T554" s="17">
        <v>119</v>
      </c>
      <c r="U554" s="18">
        <v>0</v>
      </c>
      <c r="V554" s="17" t="s">
        <v>2438</v>
      </c>
      <c r="W554" s="17" t="s">
        <v>2439</v>
      </c>
      <c r="X554" s="17" t="s">
        <v>67</v>
      </c>
      <c r="Y554" s="17" t="s">
        <v>197</v>
      </c>
      <c r="Z554" s="17" t="s">
        <v>946</v>
      </c>
      <c r="AA554" s="28">
        <v>777745.09067399998</v>
      </c>
      <c r="AB554" s="28">
        <v>2426872.0899899998</v>
      </c>
    </row>
    <row r="555" spans="1:28">
      <c r="A555" s="17">
        <v>554</v>
      </c>
      <c r="B555" s="17">
        <v>624411</v>
      </c>
      <c r="C555" s="17" t="s">
        <v>1044</v>
      </c>
      <c r="D555" s="17" t="s">
        <v>52</v>
      </c>
      <c r="E555" s="17" t="s">
        <v>2440</v>
      </c>
      <c r="F555" s="17" t="s">
        <v>1046</v>
      </c>
      <c r="H555" s="17" t="s">
        <v>104</v>
      </c>
      <c r="I555" s="17">
        <v>20120</v>
      </c>
      <c r="J555" s="17" t="s">
        <v>54</v>
      </c>
      <c r="K555" s="17" t="s">
        <v>55</v>
      </c>
      <c r="L555" s="17" t="s">
        <v>20</v>
      </c>
      <c r="M555" s="17" t="s">
        <v>2441</v>
      </c>
      <c r="N555" s="17" t="s">
        <v>20</v>
      </c>
      <c r="O555" s="17" t="s">
        <v>953</v>
      </c>
      <c r="P555" s="17" t="s">
        <v>20</v>
      </c>
      <c r="Q555" s="17" t="s">
        <v>942</v>
      </c>
      <c r="R555" s="17" t="s">
        <v>20</v>
      </c>
      <c r="S555" s="17" t="s">
        <v>948</v>
      </c>
      <c r="T555" s="17">
        <v>199</v>
      </c>
      <c r="U555" s="18">
        <v>4492050543</v>
      </c>
      <c r="V555" s="17" t="s">
        <v>2442</v>
      </c>
      <c r="X555" s="17" t="s">
        <v>64</v>
      </c>
      <c r="Y555" s="17" t="s">
        <v>197</v>
      </c>
      <c r="Z555" s="17" t="s">
        <v>946</v>
      </c>
      <c r="AA555" s="28">
        <v>777718.70718999999</v>
      </c>
      <c r="AB555" s="28">
        <v>2426712.94661</v>
      </c>
    </row>
    <row r="556" spans="1:28">
      <c r="A556" s="17">
        <v>555</v>
      </c>
      <c r="B556" s="17">
        <v>624411</v>
      </c>
      <c r="C556" s="17" t="s">
        <v>1044</v>
      </c>
      <c r="D556" s="17" t="s">
        <v>52</v>
      </c>
      <c r="E556" s="17" t="s">
        <v>2443</v>
      </c>
      <c r="F556" s="17" t="s">
        <v>1046</v>
      </c>
      <c r="H556" s="17" t="s">
        <v>104</v>
      </c>
      <c r="I556" s="17">
        <v>20116</v>
      </c>
      <c r="J556" s="17" t="s">
        <v>54</v>
      </c>
      <c r="K556" s="17" t="s">
        <v>63</v>
      </c>
      <c r="L556" s="17" t="s">
        <v>56</v>
      </c>
      <c r="M556" s="17" t="s">
        <v>106</v>
      </c>
      <c r="N556" s="17" t="s">
        <v>20</v>
      </c>
      <c r="O556" s="17" t="s">
        <v>994</v>
      </c>
      <c r="P556" s="17" t="s">
        <v>56</v>
      </c>
      <c r="Q556" s="17" t="s">
        <v>995</v>
      </c>
      <c r="R556" s="17" t="s">
        <v>20</v>
      </c>
      <c r="S556" s="17" t="s">
        <v>91</v>
      </c>
      <c r="T556" s="17">
        <v>2214</v>
      </c>
      <c r="U556" s="18">
        <v>4491941916</v>
      </c>
      <c r="X556" s="17" t="s">
        <v>67</v>
      </c>
      <c r="Y556" s="17" t="s">
        <v>197</v>
      </c>
      <c r="Z556" s="17" t="s">
        <v>946</v>
      </c>
      <c r="AA556" s="28">
        <v>779116.393713</v>
      </c>
      <c r="AB556" s="28">
        <v>2427970.4901200002</v>
      </c>
    </row>
    <row r="557" spans="1:28">
      <c r="A557" s="17">
        <v>556</v>
      </c>
      <c r="B557" s="17">
        <v>624411</v>
      </c>
      <c r="C557" s="17" t="s">
        <v>1044</v>
      </c>
      <c r="D557" s="17" t="s">
        <v>52</v>
      </c>
      <c r="E557" s="17" t="s">
        <v>2444</v>
      </c>
      <c r="F557" s="17" t="s">
        <v>1046</v>
      </c>
      <c r="H557" s="17" t="s">
        <v>104</v>
      </c>
      <c r="I557" s="17">
        <v>20115</v>
      </c>
      <c r="J557" s="17" t="s">
        <v>54</v>
      </c>
      <c r="K557" s="17" t="s">
        <v>55</v>
      </c>
      <c r="L557" s="17" t="s">
        <v>20</v>
      </c>
      <c r="M557" s="17" t="s">
        <v>955</v>
      </c>
      <c r="N557" s="17" t="s">
        <v>58</v>
      </c>
      <c r="O557" s="17" t="s">
        <v>2445</v>
      </c>
      <c r="P557" s="17" t="s">
        <v>58</v>
      </c>
      <c r="Q557" s="17" t="s">
        <v>2446</v>
      </c>
      <c r="R557" s="17" t="s">
        <v>20</v>
      </c>
      <c r="S557" s="17" t="s">
        <v>956</v>
      </c>
      <c r="T557" s="17">
        <v>0</v>
      </c>
      <c r="U557" s="18">
        <v>4499128530</v>
      </c>
      <c r="X557" s="17" t="s">
        <v>64</v>
      </c>
      <c r="Y557" s="17" t="s">
        <v>197</v>
      </c>
      <c r="Z557" s="17" t="s">
        <v>946</v>
      </c>
      <c r="AA557" s="28">
        <v>778830.418558</v>
      </c>
      <c r="AB557" s="28">
        <v>2427388.2180400002</v>
      </c>
    </row>
    <row r="558" spans="1:28">
      <c r="A558" s="17">
        <v>557</v>
      </c>
      <c r="B558" s="17">
        <v>624411</v>
      </c>
      <c r="C558" s="17" t="s">
        <v>1044</v>
      </c>
      <c r="D558" s="17" t="s">
        <v>52</v>
      </c>
      <c r="E558" s="17" t="s">
        <v>2447</v>
      </c>
      <c r="F558" s="17" t="s">
        <v>1046</v>
      </c>
      <c r="H558" s="17" t="s">
        <v>104</v>
      </c>
      <c r="I558" s="17">
        <v>20110</v>
      </c>
      <c r="J558" s="17" t="s">
        <v>54</v>
      </c>
      <c r="K558" s="17" t="s">
        <v>55</v>
      </c>
      <c r="L558" s="17" t="s">
        <v>20</v>
      </c>
      <c r="M558" s="17" t="s">
        <v>2448</v>
      </c>
      <c r="N558" s="17" t="s">
        <v>20</v>
      </c>
      <c r="O558" s="17" t="s">
        <v>942</v>
      </c>
      <c r="P558" s="17" t="s">
        <v>20</v>
      </c>
      <c r="Q558" s="17" t="s">
        <v>2449</v>
      </c>
      <c r="R558" s="17" t="s">
        <v>20</v>
      </c>
      <c r="S558" s="17" t="s">
        <v>955</v>
      </c>
      <c r="T558" s="17">
        <v>974</v>
      </c>
      <c r="U558" s="18">
        <v>0</v>
      </c>
      <c r="V558" s="17" t="s">
        <v>2450</v>
      </c>
      <c r="X558" s="17" t="s">
        <v>64</v>
      </c>
      <c r="Y558" s="17" t="s">
        <v>197</v>
      </c>
      <c r="Z558" s="17" t="s">
        <v>946</v>
      </c>
      <c r="AA558" s="28">
        <v>777709.40677500004</v>
      </c>
      <c r="AB558" s="28">
        <v>2427356.95322</v>
      </c>
    </row>
    <row r="559" spans="1:28">
      <c r="A559" s="17">
        <v>558</v>
      </c>
      <c r="B559" s="17">
        <v>624112</v>
      </c>
      <c r="C559" s="17" t="s">
        <v>1044</v>
      </c>
      <c r="D559" s="17" t="s">
        <v>1008</v>
      </c>
      <c r="E559" s="17" t="s">
        <v>2451</v>
      </c>
      <c r="F559" s="17" t="s">
        <v>1149</v>
      </c>
      <c r="G559" s="17" t="s">
        <v>2452</v>
      </c>
      <c r="H559" s="17" t="s">
        <v>69</v>
      </c>
      <c r="I559" s="17">
        <v>20130</v>
      </c>
      <c r="J559" s="17" t="s">
        <v>54</v>
      </c>
      <c r="K559" s="17" t="s">
        <v>55</v>
      </c>
      <c r="L559" s="17" t="s">
        <v>20</v>
      </c>
      <c r="M559" s="17" t="s">
        <v>957</v>
      </c>
      <c r="N559" s="17" t="s">
        <v>20</v>
      </c>
      <c r="O559" s="17" t="s">
        <v>958</v>
      </c>
      <c r="P559" s="17" t="s">
        <v>20</v>
      </c>
      <c r="Q559" s="17" t="s">
        <v>945</v>
      </c>
      <c r="R559" s="17" t="s">
        <v>20</v>
      </c>
      <c r="S559" s="17" t="s">
        <v>962</v>
      </c>
      <c r="T559" s="17">
        <v>0</v>
      </c>
      <c r="U559" s="18">
        <v>0</v>
      </c>
      <c r="V559" s="17" t="s">
        <v>2453</v>
      </c>
      <c r="X559" s="17" t="s">
        <v>67</v>
      </c>
      <c r="Y559" s="17" t="s">
        <v>197</v>
      </c>
      <c r="Z559" s="17" t="s">
        <v>946</v>
      </c>
      <c r="AA559" s="28">
        <v>778317.49805199995</v>
      </c>
      <c r="AB559" s="28">
        <v>2425669.9632100002</v>
      </c>
    </row>
    <row r="560" spans="1:28">
      <c r="A560" s="17">
        <v>559</v>
      </c>
      <c r="B560" s="17">
        <v>624112</v>
      </c>
      <c r="C560" s="17" t="s">
        <v>1044</v>
      </c>
      <c r="D560" s="17" t="s">
        <v>1008</v>
      </c>
      <c r="E560" s="17" t="s">
        <v>2454</v>
      </c>
      <c r="F560" s="17" t="s">
        <v>1149</v>
      </c>
      <c r="G560" s="17" t="s">
        <v>1036</v>
      </c>
      <c r="H560" s="17" t="s">
        <v>86</v>
      </c>
      <c r="I560" s="17">
        <v>20328</v>
      </c>
      <c r="J560" s="17" t="s">
        <v>54</v>
      </c>
      <c r="K560" s="17" t="s">
        <v>78</v>
      </c>
      <c r="L560" s="17" t="s">
        <v>56</v>
      </c>
      <c r="M560" s="17" t="s">
        <v>921</v>
      </c>
      <c r="N560" s="17" t="s">
        <v>20</v>
      </c>
      <c r="O560" s="17" t="s">
        <v>976</v>
      </c>
      <c r="P560" s="17" t="s">
        <v>20</v>
      </c>
      <c r="Q560" s="17" t="s">
        <v>977</v>
      </c>
      <c r="R560" s="17" t="s">
        <v>58</v>
      </c>
      <c r="S560" s="17" t="s">
        <v>993</v>
      </c>
      <c r="T560" s="17">
        <v>302</v>
      </c>
      <c r="U560" s="18">
        <v>4492649748</v>
      </c>
      <c r="W560" s="17" t="s">
        <v>2455</v>
      </c>
      <c r="X560" s="17" t="s">
        <v>64</v>
      </c>
      <c r="Y560" s="17" t="s">
        <v>197</v>
      </c>
      <c r="Z560" s="17" t="s">
        <v>946</v>
      </c>
      <c r="AA560" s="28">
        <v>775054.21452699997</v>
      </c>
      <c r="AB560" s="28">
        <v>2426783.8184000002</v>
      </c>
    </row>
    <row r="561" spans="1:28">
      <c r="A561" s="17">
        <v>560</v>
      </c>
      <c r="B561" s="17">
        <v>624112</v>
      </c>
      <c r="C561" s="17" t="s">
        <v>1044</v>
      </c>
      <c r="D561" s="17" t="s">
        <v>1008</v>
      </c>
      <c r="E561" s="17" t="s">
        <v>2456</v>
      </c>
      <c r="F561" s="17" t="s">
        <v>1149</v>
      </c>
      <c r="G561" s="17" t="s">
        <v>2457</v>
      </c>
      <c r="H561" s="17" t="s">
        <v>104</v>
      </c>
      <c r="I561" s="17">
        <v>20130</v>
      </c>
      <c r="J561" s="17" t="s">
        <v>54</v>
      </c>
      <c r="K561" s="17" t="s">
        <v>78</v>
      </c>
      <c r="L561" s="17" t="s">
        <v>56</v>
      </c>
      <c r="M561" s="17" t="s">
        <v>327</v>
      </c>
      <c r="N561" s="17" t="s">
        <v>20</v>
      </c>
      <c r="O561" s="17" t="s">
        <v>922</v>
      </c>
      <c r="P561" s="17" t="s">
        <v>56</v>
      </c>
      <c r="Q561" s="17" t="s">
        <v>1041</v>
      </c>
      <c r="R561" s="17" t="s">
        <v>20</v>
      </c>
      <c r="S561" s="17" t="s">
        <v>951</v>
      </c>
      <c r="T561" s="17">
        <v>612</v>
      </c>
      <c r="U561" s="18">
        <v>0</v>
      </c>
      <c r="V561" s="17" t="s">
        <v>1042</v>
      </c>
      <c r="W561" s="17" t="s">
        <v>1023</v>
      </c>
      <c r="X561" s="17" t="s">
        <v>64</v>
      </c>
      <c r="Y561" s="17" t="s">
        <v>197</v>
      </c>
      <c r="Z561" s="17" t="s">
        <v>946</v>
      </c>
      <c r="AA561" s="28">
        <v>777842.81991299998</v>
      </c>
      <c r="AB561" s="28">
        <v>2425176.5917500001</v>
      </c>
    </row>
    <row r="562" spans="1:28">
      <c r="A562" s="17">
        <v>561</v>
      </c>
      <c r="B562" s="17">
        <v>624112</v>
      </c>
      <c r="C562" s="17" t="s">
        <v>1044</v>
      </c>
      <c r="D562" s="17" t="s">
        <v>1008</v>
      </c>
      <c r="E562" s="17" t="s">
        <v>2458</v>
      </c>
      <c r="F562" s="17" t="s">
        <v>1149</v>
      </c>
      <c r="G562" s="17" t="s">
        <v>1034</v>
      </c>
      <c r="H562" s="17" t="s">
        <v>471</v>
      </c>
      <c r="I562" s="17">
        <v>20130</v>
      </c>
      <c r="J562" s="17" t="s">
        <v>54</v>
      </c>
      <c r="K562" s="17" t="s">
        <v>63</v>
      </c>
      <c r="L562" s="17" t="s">
        <v>56</v>
      </c>
      <c r="M562" s="17" t="s">
        <v>921</v>
      </c>
      <c r="N562" s="17" t="s">
        <v>56</v>
      </c>
      <c r="O562" s="17" t="s">
        <v>2459</v>
      </c>
      <c r="P562" s="17" t="s">
        <v>56</v>
      </c>
      <c r="Q562" s="17" t="s">
        <v>922</v>
      </c>
      <c r="R562" s="17" t="s">
        <v>20</v>
      </c>
      <c r="S562" s="17" t="s">
        <v>2460</v>
      </c>
      <c r="T562" s="17">
        <v>0</v>
      </c>
      <c r="U562" s="18">
        <v>0</v>
      </c>
      <c r="V562" s="17" t="s">
        <v>2461</v>
      </c>
      <c r="X562" s="17" t="s">
        <v>64</v>
      </c>
      <c r="Y562" s="17" t="s">
        <v>197</v>
      </c>
      <c r="Z562" s="17" t="s">
        <v>946</v>
      </c>
      <c r="AA562" s="28">
        <v>776048.11902999994</v>
      </c>
      <c r="AB562" s="28">
        <v>2424993.5305300001</v>
      </c>
    </row>
    <row r="563" spans="1:28">
      <c r="A563" s="17">
        <v>562</v>
      </c>
      <c r="B563" s="17">
        <v>624412</v>
      </c>
      <c r="C563" s="17" t="s">
        <v>1044</v>
      </c>
      <c r="D563" s="17" t="s">
        <v>1008</v>
      </c>
      <c r="E563" s="17" t="s">
        <v>2462</v>
      </c>
      <c r="F563" s="17" t="s">
        <v>1123</v>
      </c>
      <c r="H563" s="17" t="s">
        <v>104</v>
      </c>
      <c r="I563" s="17">
        <v>20120</v>
      </c>
      <c r="J563" s="17" t="s">
        <v>54</v>
      </c>
      <c r="K563" s="17" t="s">
        <v>55</v>
      </c>
      <c r="L563" s="17" t="s">
        <v>20</v>
      </c>
      <c r="M563" s="17" t="s">
        <v>2463</v>
      </c>
      <c r="N563" s="17" t="s">
        <v>20</v>
      </c>
      <c r="O563" s="17" t="s">
        <v>958</v>
      </c>
      <c r="P563" s="17" t="s">
        <v>20</v>
      </c>
      <c r="Q563" s="17" t="s">
        <v>945</v>
      </c>
      <c r="R563" s="17" t="s">
        <v>20</v>
      </c>
      <c r="S563" s="17" t="s">
        <v>948</v>
      </c>
      <c r="T563" s="17">
        <v>402</v>
      </c>
      <c r="U563" s="18">
        <v>4495326663</v>
      </c>
      <c r="X563" s="17" t="s">
        <v>67</v>
      </c>
      <c r="Y563" s="17" t="s">
        <v>197</v>
      </c>
      <c r="Z563" s="17" t="s">
        <v>946</v>
      </c>
      <c r="AA563" s="28">
        <v>778076.60147800006</v>
      </c>
      <c r="AB563" s="28">
        <v>2426641.1708499999</v>
      </c>
    </row>
    <row r="564" spans="1:28">
      <c r="A564" s="17">
        <v>563</v>
      </c>
      <c r="B564" s="17">
        <v>624412</v>
      </c>
      <c r="C564" s="17" t="s">
        <v>1044</v>
      </c>
      <c r="D564" s="17" t="s">
        <v>1008</v>
      </c>
      <c r="E564" s="17" t="s">
        <v>2464</v>
      </c>
      <c r="F564" s="17" t="s">
        <v>1123</v>
      </c>
      <c r="G564" s="17" t="s">
        <v>2464</v>
      </c>
      <c r="H564" s="17" t="s">
        <v>104</v>
      </c>
      <c r="I564" s="17">
        <v>20130</v>
      </c>
      <c r="J564" s="17" t="s">
        <v>54</v>
      </c>
      <c r="K564" s="17" t="s">
        <v>132</v>
      </c>
      <c r="L564" s="17" t="s">
        <v>20</v>
      </c>
      <c r="M564" s="17" t="s">
        <v>982</v>
      </c>
      <c r="N564" s="17" t="s">
        <v>20</v>
      </c>
      <c r="O564" s="17" t="s">
        <v>981</v>
      </c>
      <c r="P564" s="17" t="s">
        <v>20</v>
      </c>
      <c r="Q564" s="17" t="s">
        <v>922</v>
      </c>
      <c r="R564" s="17" t="s">
        <v>20</v>
      </c>
      <c r="S564" s="17" t="s">
        <v>2465</v>
      </c>
      <c r="T564" s="17">
        <v>0</v>
      </c>
      <c r="U564" s="18">
        <v>0</v>
      </c>
      <c r="X564" s="17" t="s">
        <v>64</v>
      </c>
      <c r="Y564" s="17" t="s">
        <v>197</v>
      </c>
      <c r="Z564" s="17" t="s">
        <v>946</v>
      </c>
      <c r="AA564" s="28">
        <v>777401.05726599996</v>
      </c>
      <c r="AB564" s="28">
        <v>2425100.7144599999</v>
      </c>
    </row>
    <row r="565" spans="1:28">
      <c r="A565" s="17">
        <v>564</v>
      </c>
      <c r="B565" s="17">
        <v>624191</v>
      </c>
      <c r="C565" s="17" t="s">
        <v>1044</v>
      </c>
      <c r="D565" s="17" t="s">
        <v>52</v>
      </c>
      <c r="E565" s="17" t="s">
        <v>2466</v>
      </c>
      <c r="F565" s="17" t="s">
        <v>1064</v>
      </c>
      <c r="G565" s="17" t="s">
        <v>2467</v>
      </c>
      <c r="H565" s="17" t="s">
        <v>69</v>
      </c>
      <c r="I565" s="17">
        <v>20130</v>
      </c>
      <c r="J565" s="17" t="s">
        <v>54</v>
      </c>
      <c r="K565" s="17" t="s">
        <v>55</v>
      </c>
      <c r="L565" s="17" t="s">
        <v>20</v>
      </c>
      <c r="M565" s="17" t="s">
        <v>302</v>
      </c>
      <c r="N565" s="17" t="s">
        <v>20</v>
      </c>
      <c r="O565" s="17" t="s">
        <v>945</v>
      </c>
      <c r="P565" s="17" t="s">
        <v>20</v>
      </c>
      <c r="Q565" s="17" t="s">
        <v>518</v>
      </c>
      <c r="R565" s="17" t="s">
        <v>58</v>
      </c>
      <c r="S565" s="17" t="s">
        <v>2468</v>
      </c>
      <c r="T565" s="17">
        <v>415</v>
      </c>
      <c r="U565" s="18">
        <v>0</v>
      </c>
      <c r="X565" s="17" t="s">
        <v>67</v>
      </c>
      <c r="Y565" s="17" t="s">
        <v>197</v>
      </c>
      <c r="Z565" s="17" t="s">
        <v>946</v>
      </c>
      <c r="AA565" s="28">
        <v>778361.13736099994</v>
      </c>
      <c r="AB565" s="28">
        <v>2424832.92129</v>
      </c>
    </row>
    <row r="566" spans="1:28">
      <c r="A566" s="17">
        <v>565</v>
      </c>
      <c r="B566" s="17">
        <v>624191</v>
      </c>
      <c r="C566" s="17" t="s">
        <v>1044</v>
      </c>
      <c r="D566" s="17" t="s">
        <v>52</v>
      </c>
      <c r="E566" s="17" t="s">
        <v>2469</v>
      </c>
      <c r="F566" s="17" t="s">
        <v>1064</v>
      </c>
      <c r="G566" s="17" t="s">
        <v>1089</v>
      </c>
      <c r="H566" s="17" t="s">
        <v>69</v>
      </c>
      <c r="I566" s="17">
        <v>20130</v>
      </c>
      <c r="J566" s="17" t="s">
        <v>54</v>
      </c>
      <c r="K566" s="17" t="s">
        <v>55</v>
      </c>
      <c r="L566" s="17" t="s">
        <v>20</v>
      </c>
      <c r="M566" s="17" t="s">
        <v>942</v>
      </c>
      <c r="N566" s="17" t="s">
        <v>20</v>
      </c>
      <c r="O566" s="17" t="s">
        <v>943</v>
      </c>
      <c r="P566" s="17" t="s">
        <v>20</v>
      </c>
      <c r="Q566" s="17" t="s">
        <v>944</v>
      </c>
      <c r="R566" s="17" t="s">
        <v>58</v>
      </c>
      <c r="S566" s="17" t="s">
        <v>2470</v>
      </c>
      <c r="T566" s="17">
        <v>207</v>
      </c>
      <c r="U566" s="18">
        <v>0</v>
      </c>
      <c r="X566" s="17" t="s">
        <v>64</v>
      </c>
      <c r="Y566" s="17" t="s">
        <v>197</v>
      </c>
      <c r="Z566" s="17" t="s">
        <v>946</v>
      </c>
      <c r="AA566" s="28">
        <v>778053.47842599999</v>
      </c>
      <c r="AB566" s="28">
        <v>2425043.9299499998</v>
      </c>
    </row>
    <row r="567" spans="1:28">
      <c r="A567" s="17">
        <v>566</v>
      </c>
      <c r="B567" s="17">
        <v>624191</v>
      </c>
      <c r="C567" s="17" t="s">
        <v>1044</v>
      </c>
      <c r="D567" s="17" t="s">
        <v>52</v>
      </c>
      <c r="E567" s="17" t="s">
        <v>2471</v>
      </c>
      <c r="F567" s="17" t="s">
        <v>1064</v>
      </c>
      <c r="G567" s="17" t="s">
        <v>2472</v>
      </c>
      <c r="H567" s="17" t="s">
        <v>104</v>
      </c>
      <c r="I567" s="17">
        <v>20127</v>
      </c>
      <c r="J567" s="17" t="s">
        <v>54</v>
      </c>
      <c r="K567" s="17" t="s">
        <v>55</v>
      </c>
      <c r="L567" s="17" t="s">
        <v>56</v>
      </c>
      <c r="M567" s="17" t="s">
        <v>297</v>
      </c>
      <c r="N567" s="17" t="s">
        <v>20</v>
      </c>
      <c r="O567" s="17" t="s">
        <v>953</v>
      </c>
      <c r="P567" s="17" t="s">
        <v>20</v>
      </c>
      <c r="Q567" s="17" t="s">
        <v>942</v>
      </c>
      <c r="R567" s="17" t="s">
        <v>20</v>
      </c>
      <c r="S567" s="17" t="s">
        <v>967</v>
      </c>
      <c r="T567" s="17">
        <v>718</v>
      </c>
      <c r="U567" s="18">
        <v>0</v>
      </c>
      <c r="X567" s="17" t="s">
        <v>67</v>
      </c>
      <c r="Y567" s="17" t="s">
        <v>197</v>
      </c>
      <c r="Z567" s="17" t="s">
        <v>946</v>
      </c>
      <c r="AA567" s="28">
        <v>777768.85983099998</v>
      </c>
      <c r="AB567" s="28">
        <v>2426019.8252699999</v>
      </c>
    </row>
    <row r="568" spans="1:28">
      <c r="A568" s="17">
        <v>567</v>
      </c>
      <c r="B568" s="17">
        <v>624191</v>
      </c>
      <c r="C568" s="17" t="s">
        <v>1044</v>
      </c>
      <c r="D568" s="17" t="s">
        <v>52</v>
      </c>
      <c r="E568" s="17" t="s">
        <v>2473</v>
      </c>
      <c r="F568" s="17" t="s">
        <v>1064</v>
      </c>
      <c r="H568" s="17" t="s">
        <v>104</v>
      </c>
      <c r="I568" s="17">
        <v>20127</v>
      </c>
      <c r="J568" s="17" t="s">
        <v>54</v>
      </c>
      <c r="K568" s="17" t="s">
        <v>55</v>
      </c>
      <c r="L568" s="17" t="s">
        <v>56</v>
      </c>
      <c r="M568" s="17" t="s">
        <v>297</v>
      </c>
      <c r="N568" s="17" t="s">
        <v>20</v>
      </c>
      <c r="O568" s="17" t="s">
        <v>953</v>
      </c>
      <c r="P568" s="17" t="s">
        <v>20</v>
      </c>
      <c r="Q568" s="17" t="s">
        <v>942</v>
      </c>
      <c r="R568" s="17" t="s">
        <v>20</v>
      </c>
      <c r="S568" s="17" t="s">
        <v>967</v>
      </c>
      <c r="T568" s="17">
        <v>718</v>
      </c>
      <c r="U568" s="18">
        <v>0</v>
      </c>
      <c r="X568" s="17" t="s">
        <v>67</v>
      </c>
      <c r="Y568" s="17" t="s">
        <v>197</v>
      </c>
      <c r="Z568" s="17" t="s">
        <v>946</v>
      </c>
      <c r="AA568" s="28">
        <v>777768.85983099998</v>
      </c>
      <c r="AB568" s="28">
        <v>2426019.8252699999</v>
      </c>
    </row>
    <row r="569" spans="1:28">
      <c r="A569" s="17">
        <v>568</v>
      </c>
      <c r="B569" s="17">
        <v>624191</v>
      </c>
      <c r="C569" s="17" t="s">
        <v>1044</v>
      </c>
      <c r="D569" s="17" t="s">
        <v>52</v>
      </c>
      <c r="E569" s="17" t="s">
        <v>2474</v>
      </c>
      <c r="F569" s="17" t="s">
        <v>1064</v>
      </c>
      <c r="G569" s="17" t="s">
        <v>2475</v>
      </c>
      <c r="H569" s="17" t="s">
        <v>104</v>
      </c>
      <c r="I569" s="17">
        <v>20127</v>
      </c>
      <c r="J569" s="17" t="s">
        <v>54</v>
      </c>
      <c r="K569" s="17" t="s">
        <v>55</v>
      </c>
      <c r="L569" s="17" t="s">
        <v>20</v>
      </c>
      <c r="M569" s="17" t="s">
        <v>952</v>
      </c>
      <c r="N569" s="17" t="s">
        <v>20</v>
      </c>
      <c r="O569" s="17" t="s">
        <v>953</v>
      </c>
      <c r="P569" s="17" t="s">
        <v>20</v>
      </c>
      <c r="Q569" s="17" t="s">
        <v>942</v>
      </c>
      <c r="R569" s="17" t="s">
        <v>20</v>
      </c>
      <c r="S569" s="17" t="s">
        <v>967</v>
      </c>
      <c r="T569" s="17">
        <v>203</v>
      </c>
      <c r="U569" s="18">
        <v>0</v>
      </c>
      <c r="X569" s="17" t="s">
        <v>60</v>
      </c>
      <c r="Y569" s="17" t="s">
        <v>197</v>
      </c>
      <c r="Z569" s="17" t="s">
        <v>946</v>
      </c>
      <c r="AA569" s="28">
        <v>777666.216656</v>
      </c>
      <c r="AB569" s="28">
        <v>2426112.2514300002</v>
      </c>
    </row>
    <row r="570" spans="1:28">
      <c r="A570" s="17">
        <v>569</v>
      </c>
      <c r="B570" s="17">
        <v>624191</v>
      </c>
      <c r="C570" s="17" t="s">
        <v>1044</v>
      </c>
      <c r="D570" s="17" t="s">
        <v>52</v>
      </c>
      <c r="E570" s="17" t="s">
        <v>2476</v>
      </c>
      <c r="F570" s="17" t="s">
        <v>1064</v>
      </c>
      <c r="G570" s="17" t="s">
        <v>1089</v>
      </c>
      <c r="H570" s="17" t="s">
        <v>104</v>
      </c>
      <c r="I570" s="17">
        <v>20127</v>
      </c>
      <c r="J570" s="17" t="s">
        <v>54</v>
      </c>
      <c r="K570" s="17" t="s">
        <v>55</v>
      </c>
      <c r="L570" s="17" t="s">
        <v>56</v>
      </c>
      <c r="M570" s="17" t="s">
        <v>327</v>
      </c>
      <c r="N570" s="17" t="s">
        <v>20</v>
      </c>
      <c r="O570" s="17" t="s">
        <v>952</v>
      </c>
      <c r="P570" s="17" t="s">
        <v>56</v>
      </c>
      <c r="Q570" s="17" t="s">
        <v>297</v>
      </c>
      <c r="R570" s="17" t="s">
        <v>20</v>
      </c>
      <c r="S570" s="17" t="s">
        <v>953</v>
      </c>
      <c r="T570" s="17">
        <v>1001</v>
      </c>
      <c r="U570" s="18">
        <v>4494155567</v>
      </c>
      <c r="X570" s="17" t="s">
        <v>60</v>
      </c>
      <c r="Y570" s="17" t="s">
        <v>197</v>
      </c>
      <c r="Z570" s="17" t="s">
        <v>946</v>
      </c>
      <c r="AA570" s="28">
        <v>777505.59953600005</v>
      </c>
      <c r="AB570" s="28">
        <v>2426092.5651199999</v>
      </c>
    </row>
    <row r="571" spans="1:28">
      <c r="A571" s="17">
        <v>570</v>
      </c>
      <c r="B571" s="17">
        <v>624191</v>
      </c>
      <c r="C571" s="17" t="s">
        <v>1044</v>
      </c>
      <c r="D571" s="17" t="s">
        <v>52</v>
      </c>
      <c r="E571" s="17" t="s">
        <v>2477</v>
      </c>
      <c r="F571" s="17" t="s">
        <v>1064</v>
      </c>
      <c r="H571" s="17" t="s">
        <v>104</v>
      </c>
      <c r="I571" s="17">
        <v>20328</v>
      </c>
      <c r="J571" s="17" t="s">
        <v>54</v>
      </c>
      <c r="K571" s="17" t="s">
        <v>55</v>
      </c>
      <c r="L571" s="17" t="s">
        <v>20</v>
      </c>
      <c r="M571" s="17" t="s">
        <v>977</v>
      </c>
      <c r="N571" s="17" t="s">
        <v>20</v>
      </c>
      <c r="O571" s="17" t="s">
        <v>966</v>
      </c>
      <c r="P571" s="17" t="s">
        <v>58</v>
      </c>
      <c r="Q571" s="17" t="s">
        <v>993</v>
      </c>
      <c r="R571" s="17" t="s">
        <v>20</v>
      </c>
      <c r="S571" s="17" t="s">
        <v>197</v>
      </c>
      <c r="T571" s="17">
        <v>220</v>
      </c>
      <c r="U571" s="18">
        <v>0</v>
      </c>
      <c r="X571" s="17" t="s">
        <v>60</v>
      </c>
      <c r="Y571" s="17" t="s">
        <v>197</v>
      </c>
      <c r="Z571" s="17" t="s">
        <v>946</v>
      </c>
      <c r="AA571" s="28">
        <v>775256.10577599995</v>
      </c>
      <c r="AB571" s="28">
        <v>2426885.1985499999</v>
      </c>
    </row>
    <row r="572" spans="1:28">
      <c r="A572" s="17">
        <v>571</v>
      </c>
      <c r="B572" s="17">
        <v>624191</v>
      </c>
      <c r="C572" s="17" t="s">
        <v>1044</v>
      </c>
      <c r="D572" s="17" t="s">
        <v>52</v>
      </c>
      <c r="E572" s="17" t="s">
        <v>2478</v>
      </c>
      <c r="F572" s="17" t="s">
        <v>1064</v>
      </c>
      <c r="G572" s="17" t="s">
        <v>2479</v>
      </c>
      <c r="H572" s="17" t="s">
        <v>104</v>
      </c>
      <c r="I572" s="17">
        <v>20110</v>
      </c>
      <c r="J572" s="17" t="s">
        <v>54</v>
      </c>
      <c r="K572" s="17" t="s">
        <v>55</v>
      </c>
      <c r="L572" s="17" t="s">
        <v>20</v>
      </c>
      <c r="M572" s="17" t="s">
        <v>904</v>
      </c>
      <c r="N572" s="17" t="s">
        <v>56</v>
      </c>
      <c r="O572" s="17" t="s">
        <v>106</v>
      </c>
      <c r="P572" s="17" t="s">
        <v>20</v>
      </c>
      <c r="Q572" s="17" t="s">
        <v>959</v>
      </c>
      <c r="R572" s="17" t="s">
        <v>20</v>
      </c>
      <c r="S572" s="17" t="s">
        <v>960</v>
      </c>
      <c r="T572" s="17">
        <v>101</v>
      </c>
      <c r="U572" s="18">
        <v>0</v>
      </c>
      <c r="X572" s="17" t="s">
        <v>60</v>
      </c>
      <c r="Y572" s="17" t="s">
        <v>197</v>
      </c>
      <c r="Z572" s="17" t="s">
        <v>946</v>
      </c>
      <c r="AA572" s="28">
        <v>779166.71079399996</v>
      </c>
      <c r="AB572" s="28">
        <v>2428017.8638399998</v>
      </c>
    </row>
    <row r="573" spans="1:28">
      <c r="A573" s="17">
        <v>572</v>
      </c>
      <c r="B573" s="17">
        <v>812310</v>
      </c>
      <c r="C573" s="17" t="s">
        <v>1044</v>
      </c>
      <c r="D573" s="17" t="s">
        <v>52</v>
      </c>
      <c r="E573" s="17" t="s">
        <v>2480</v>
      </c>
      <c r="F573" s="17" t="s">
        <v>1057</v>
      </c>
      <c r="H573" s="17" t="s">
        <v>104</v>
      </c>
      <c r="I573" s="17">
        <v>20115</v>
      </c>
      <c r="J573" s="17" t="s">
        <v>54</v>
      </c>
      <c r="K573" s="17" t="s">
        <v>55</v>
      </c>
      <c r="L573" s="17" t="s">
        <v>58</v>
      </c>
      <c r="M573" s="17" t="s">
        <v>696</v>
      </c>
      <c r="N573" s="17" t="s">
        <v>161</v>
      </c>
      <c r="O573" s="17" t="s">
        <v>826</v>
      </c>
      <c r="P573" s="17" t="s">
        <v>20</v>
      </c>
      <c r="Q573" s="17" t="s">
        <v>956</v>
      </c>
      <c r="R573" s="17" t="s">
        <v>161</v>
      </c>
      <c r="S573" s="17" t="s">
        <v>826</v>
      </c>
      <c r="T573" s="17">
        <v>202</v>
      </c>
      <c r="U573" s="18">
        <v>4492516557</v>
      </c>
      <c r="W573" s="17" t="s">
        <v>2481</v>
      </c>
      <c r="X573" s="17" t="s">
        <v>60</v>
      </c>
      <c r="Y573" s="17" t="s">
        <v>197</v>
      </c>
      <c r="Z573" s="17" t="s">
        <v>946</v>
      </c>
      <c r="AA573" s="28">
        <v>778463.89009200002</v>
      </c>
      <c r="AB573" s="28">
        <v>2427030.23758</v>
      </c>
    </row>
    <row r="574" spans="1:28">
      <c r="A574" s="17">
        <v>573</v>
      </c>
      <c r="B574" s="17">
        <v>812322</v>
      </c>
      <c r="C574" s="17" t="s">
        <v>1044</v>
      </c>
      <c r="D574" s="17" t="s">
        <v>52</v>
      </c>
      <c r="E574" s="17" t="s">
        <v>2482</v>
      </c>
      <c r="F574" s="17" t="s">
        <v>2483</v>
      </c>
      <c r="G574" s="17" t="s">
        <v>1024</v>
      </c>
      <c r="H574" s="17" t="s">
        <v>104</v>
      </c>
      <c r="I574" s="17">
        <v>20116</v>
      </c>
      <c r="J574" s="17" t="s">
        <v>54</v>
      </c>
      <c r="K574" s="17" t="s">
        <v>55</v>
      </c>
      <c r="L574" s="17" t="s">
        <v>20</v>
      </c>
      <c r="M574" s="17" t="s">
        <v>72</v>
      </c>
      <c r="N574" s="17" t="s">
        <v>58</v>
      </c>
      <c r="O574" s="17" t="s">
        <v>2484</v>
      </c>
      <c r="P574" s="17" t="s">
        <v>20</v>
      </c>
      <c r="Q574" s="17" t="s">
        <v>91</v>
      </c>
      <c r="R574" s="17" t="s">
        <v>20</v>
      </c>
      <c r="S574" s="17" t="s">
        <v>83</v>
      </c>
      <c r="T574" s="17">
        <v>0</v>
      </c>
      <c r="U574" s="18">
        <v>0</v>
      </c>
      <c r="V574" s="17" t="s">
        <v>2485</v>
      </c>
      <c r="X574" s="17" t="s">
        <v>64</v>
      </c>
      <c r="Y574" s="17" t="s">
        <v>197</v>
      </c>
      <c r="Z574" s="17" t="s">
        <v>946</v>
      </c>
      <c r="AA574" s="28">
        <v>778422.01676999999</v>
      </c>
      <c r="AB574" s="28">
        <v>2428574.48679</v>
      </c>
    </row>
    <row r="575" spans="1:28">
      <c r="A575" s="17">
        <v>574</v>
      </c>
      <c r="B575" s="17">
        <v>813110</v>
      </c>
      <c r="C575" s="17" t="s">
        <v>1044</v>
      </c>
      <c r="D575" s="17" t="s">
        <v>52</v>
      </c>
      <c r="E575" s="17" t="s">
        <v>2486</v>
      </c>
      <c r="F575" s="17" t="s">
        <v>1069</v>
      </c>
      <c r="G575" s="17" t="s">
        <v>2487</v>
      </c>
      <c r="H575" s="17" t="s">
        <v>69</v>
      </c>
      <c r="I575" s="17">
        <v>20130</v>
      </c>
      <c r="J575" s="17" t="s">
        <v>54</v>
      </c>
      <c r="K575" s="17" t="s">
        <v>63</v>
      </c>
      <c r="L575" s="17" t="s">
        <v>56</v>
      </c>
      <c r="M575" s="17" t="s">
        <v>327</v>
      </c>
      <c r="N575" s="17" t="s">
        <v>20</v>
      </c>
      <c r="O575" s="17" t="s">
        <v>804</v>
      </c>
      <c r="P575" s="17" t="s">
        <v>20</v>
      </c>
      <c r="Q575" s="17" t="s">
        <v>964</v>
      </c>
      <c r="R575" s="17" t="s">
        <v>20</v>
      </c>
      <c r="S575" s="17" t="s">
        <v>963</v>
      </c>
      <c r="T575" s="17">
        <v>604</v>
      </c>
      <c r="U575" s="18">
        <v>4492053328</v>
      </c>
      <c r="V575" s="17" t="s">
        <v>2488</v>
      </c>
      <c r="X575" s="17" t="s">
        <v>60</v>
      </c>
      <c r="Y575" s="17" t="s">
        <v>197</v>
      </c>
      <c r="Z575" s="17" t="s">
        <v>946</v>
      </c>
      <c r="AA575" s="28">
        <v>777971.62415299995</v>
      </c>
      <c r="AB575" s="28">
        <v>2424898.0325799999</v>
      </c>
    </row>
    <row r="576" spans="1:28">
      <c r="A576" s="17">
        <v>575</v>
      </c>
      <c r="B576" s="17">
        <v>813110</v>
      </c>
      <c r="C576" s="17" t="s">
        <v>1044</v>
      </c>
      <c r="D576" s="17" t="s">
        <v>52</v>
      </c>
      <c r="E576" s="17" t="s">
        <v>2489</v>
      </c>
      <c r="F576" s="17" t="s">
        <v>1069</v>
      </c>
      <c r="G576" s="17" t="s">
        <v>2489</v>
      </c>
      <c r="H576" s="17" t="s">
        <v>69</v>
      </c>
      <c r="I576" s="17">
        <v>20130</v>
      </c>
      <c r="J576" s="17" t="s">
        <v>54</v>
      </c>
      <c r="K576" s="17" t="s">
        <v>55</v>
      </c>
      <c r="L576" s="17" t="s">
        <v>56</v>
      </c>
      <c r="M576" s="17" t="s">
        <v>327</v>
      </c>
      <c r="N576" s="17" t="s">
        <v>20</v>
      </c>
      <c r="O576" s="17" t="s">
        <v>804</v>
      </c>
      <c r="P576" s="17" t="s">
        <v>20</v>
      </c>
      <c r="Q576" s="17" t="s">
        <v>964</v>
      </c>
      <c r="R576" s="17" t="s">
        <v>20</v>
      </c>
      <c r="S576" s="17" t="s">
        <v>963</v>
      </c>
      <c r="T576" s="17">
        <v>604</v>
      </c>
      <c r="U576" s="18">
        <v>0</v>
      </c>
      <c r="V576" s="17" t="s">
        <v>2490</v>
      </c>
      <c r="X576" s="17" t="s">
        <v>64</v>
      </c>
      <c r="Y576" s="17" t="s">
        <v>197</v>
      </c>
      <c r="Z576" s="17" t="s">
        <v>946</v>
      </c>
      <c r="AA576" s="28">
        <v>777971.62415299995</v>
      </c>
      <c r="AB576" s="28">
        <v>2424898.0325799999</v>
      </c>
    </row>
    <row r="577" spans="1:28">
      <c r="A577" s="17">
        <v>576</v>
      </c>
      <c r="B577" s="17">
        <v>813110</v>
      </c>
      <c r="C577" s="17" t="s">
        <v>1044</v>
      </c>
      <c r="D577" s="17" t="s">
        <v>52</v>
      </c>
      <c r="E577" s="17" t="s">
        <v>2491</v>
      </c>
      <c r="F577" s="17" t="s">
        <v>1069</v>
      </c>
      <c r="G577" s="17" t="s">
        <v>2492</v>
      </c>
      <c r="H577" s="17" t="s">
        <v>69</v>
      </c>
      <c r="I577" s="17">
        <v>20130</v>
      </c>
      <c r="J577" s="17" t="s">
        <v>54</v>
      </c>
      <c r="K577" s="17" t="s">
        <v>55</v>
      </c>
      <c r="L577" s="17" t="s">
        <v>56</v>
      </c>
      <c r="M577" s="17" t="s">
        <v>327</v>
      </c>
      <c r="N577" s="17" t="s">
        <v>20</v>
      </c>
      <c r="O577" s="17" t="s">
        <v>804</v>
      </c>
      <c r="P577" s="17" t="s">
        <v>20</v>
      </c>
      <c r="Q577" s="17" t="s">
        <v>964</v>
      </c>
      <c r="R577" s="17" t="s">
        <v>20</v>
      </c>
      <c r="S577" s="17" t="s">
        <v>963</v>
      </c>
      <c r="T577" s="17">
        <v>604</v>
      </c>
      <c r="U577" s="18">
        <v>4499111986</v>
      </c>
      <c r="V577" s="17" t="s">
        <v>2493</v>
      </c>
      <c r="X577" s="17" t="s">
        <v>60</v>
      </c>
      <c r="Y577" s="17" t="s">
        <v>197</v>
      </c>
      <c r="Z577" s="17" t="s">
        <v>946</v>
      </c>
      <c r="AA577" s="28">
        <v>777971.62415299995</v>
      </c>
      <c r="AB577" s="28">
        <v>2424898.0325799999</v>
      </c>
    </row>
    <row r="578" spans="1:28">
      <c r="A578" s="17">
        <v>577</v>
      </c>
      <c r="B578" s="17">
        <v>813110</v>
      </c>
      <c r="C578" s="17" t="s">
        <v>1044</v>
      </c>
      <c r="D578" s="17" t="s">
        <v>52</v>
      </c>
      <c r="E578" s="17" t="s">
        <v>2494</v>
      </c>
      <c r="F578" s="17" t="s">
        <v>1069</v>
      </c>
      <c r="G578" s="17" t="s">
        <v>2495</v>
      </c>
      <c r="H578" s="17" t="s">
        <v>69</v>
      </c>
      <c r="I578" s="17">
        <v>20130</v>
      </c>
      <c r="J578" s="17" t="s">
        <v>54</v>
      </c>
      <c r="K578" s="17" t="s">
        <v>55</v>
      </c>
      <c r="L578" s="17" t="s">
        <v>56</v>
      </c>
      <c r="M578" s="17" t="s">
        <v>327</v>
      </c>
      <c r="N578" s="17" t="s">
        <v>20</v>
      </c>
      <c r="O578" s="17" t="s">
        <v>804</v>
      </c>
      <c r="P578" s="17" t="s">
        <v>20</v>
      </c>
      <c r="Q578" s="17" t="s">
        <v>964</v>
      </c>
      <c r="R578" s="17" t="s">
        <v>20</v>
      </c>
      <c r="S578" s="17" t="s">
        <v>963</v>
      </c>
      <c r="T578" s="17">
        <v>604</v>
      </c>
      <c r="U578" s="18">
        <v>4491198394</v>
      </c>
      <c r="V578" s="17" t="s">
        <v>2496</v>
      </c>
      <c r="X578" s="17" t="s">
        <v>60</v>
      </c>
      <c r="Y578" s="17" t="s">
        <v>197</v>
      </c>
      <c r="Z578" s="17" t="s">
        <v>946</v>
      </c>
      <c r="AA578" s="28">
        <v>777971.62415299995</v>
      </c>
      <c r="AB578" s="28">
        <v>2424898.0325799999</v>
      </c>
    </row>
    <row r="579" spans="1:28">
      <c r="A579" s="17">
        <v>578</v>
      </c>
      <c r="B579" s="17">
        <v>813110</v>
      </c>
      <c r="C579" s="17" t="s">
        <v>1044</v>
      </c>
      <c r="D579" s="17" t="s">
        <v>52</v>
      </c>
      <c r="E579" s="17" t="s">
        <v>2497</v>
      </c>
      <c r="F579" s="17" t="s">
        <v>1069</v>
      </c>
      <c r="G579" s="17" t="s">
        <v>2498</v>
      </c>
      <c r="H579" s="17" t="s">
        <v>244</v>
      </c>
      <c r="I579" s="17">
        <v>20100</v>
      </c>
      <c r="J579" s="17" t="s">
        <v>54</v>
      </c>
      <c r="K579" s="17" t="s">
        <v>55</v>
      </c>
      <c r="L579" s="17" t="s">
        <v>56</v>
      </c>
      <c r="M579" s="17" t="s">
        <v>2499</v>
      </c>
      <c r="N579" s="17" t="s">
        <v>56</v>
      </c>
      <c r="O579" s="17" t="s">
        <v>921</v>
      </c>
      <c r="P579" s="17" t="s">
        <v>56</v>
      </c>
      <c r="Q579" s="17" t="s">
        <v>2500</v>
      </c>
      <c r="R579" s="17" t="s">
        <v>56</v>
      </c>
      <c r="S579" s="17" t="s">
        <v>2499</v>
      </c>
      <c r="T579" s="17">
        <v>113</v>
      </c>
      <c r="U579" s="18">
        <v>4491461971</v>
      </c>
      <c r="X579" s="17" t="s">
        <v>64</v>
      </c>
      <c r="Y579" s="17" t="s">
        <v>197</v>
      </c>
      <c r="Z579" s="17" t="s">
        <v>946</v>
      </c>
      <c r="AA579" s="28">
        <v>775863.719407</v>
      </c>
      <c r="AB579" s="28">
        <v>2425836.99597</v>
      </c>
    </row>
    <row r="580" spans="1:28">
      <c r="A580" s="17">
        <v>579</v>
      </c>
      <c r="B580" s="17">
        <v>813110</v>
      </c>
      <c r="C580" s="17" t="s">
        <v>1044</v>
      </c>
      <c r="D580" s="17" t="s">
        <v>52</v>
      </c>
      <c r="E580" s="17" t="s">
        <v>2501</v>
      </c>
      <c r="F580" s="17" t="s">
        <v>1069</v>
      </c>
      <c r="G580" s="17" t="s">
        <v>2502</v>
      </c>
      <c r="H580" s="17" t="s">
        <v>104</v>
      </c>
      <c r="I580" s="17">
        <v>20127</v>
      </c>
      <c r="J580" s="17" t="s">
        <v>54</v>
      </c>
      <c r="K580" s="17" t="s">
        <v>55</v>
      </c>
      <c r="L580" s="17" t="s">
        <v>56</v>
      </c>
      <c r="M580" s="17" t="s">
        <v>327</v>
      </c>
      <c r="N580" s="17" t="s">
        <v>20</v>
      </c>
      <c r="O580" s="17" t="s">
        <v>952</v>
      </c>
      <c r="P580" s="17" t="s">
        <v>56</v>
      </c>
      <c r="Q580" s="17" t="s">
        <v>297</v>
      </c>
      <c r="R580" s="17" t="s">
        <v>20</v>
      </c>
      <c r="S580" s="17" t="s">
        <v>953</v>
      </c>
      <c r="T580" s="17">
        <v>1001</v>
      </c>
      <c r="U580" s="18">
        <v>4492058858</v>
      </c>
      <c r="X580" s="17" t="s">
        <v>60</v>
      </c>
      <c r="Y580" s="17" t="s">
        <v>197</v>
      </c>
      <c r="Z580" s="17" t="s">
        <v>946</v>
      </c>
      <c r="AA580" s="28">
        <v>777505.59953600005</v>
      </c>
      <c r="AB580" s="28">
        <v>2426092.5651199999</v>
      </c>
    </row>
    <row r="581" spans="1:28">
      <c r="A581" s="17">
        <v>580</v>
      </c>
      <c r="B581" s="17">
        <v>813110</v>
      </c>
      <c r="C581" s="17" t="s">
        <v>1044</v>
      </c>
      <c r="D581" s="17" t="s">
        <v>52</v>
      </c>
      <c r="E581" s="17" t="s">
        <v>2503</v>
      </c>
      <c r="F581" s="17" t="s">
        <v>1069</v>
      </c>
      <c r="G581" s="17" t="s">
        <v>2504</v>
      </c>
      <c r="H581" s="17" t="s">
        <v>104</v>
      </c>
      <c r="I581" s="17">
        <v>20130</v>
      </c>
      <c r="J581" s="17" t="s">
        <v>54</v>
      </c>
      <c r="K581" s="17" t="s">
        <v>55</v>
      </c>
      <c r="L581" s="17" t="s">
        <v>56</v>
      </c>
      <c r="M581" s="17" t="s">
        <v>297</v>
      </c>
      <c r="N581" s="17" t="s">
        <v>20</v>
      </c>
      <c r="O581" s="17" t="s">
        <v>958</v>
      </c>
      <c r="P581" s="17" t="s">
        <v>20</v>
      </c>
      <c r="Q581" s="17" t="s">
        <v>945</v>
      </c>
      <c r="R581" s="17" t="s">
        <v>20</v>
      </c>
      <c r="S581" s="17" t="s">
        <v>980</v>
      </c>
      <c r="T581" s="17">
        <v>503</v>
      </c>
      <c r="U581" s="18">
        <v>0</v>
      </c>
      <c r="V581" s="17" t="s">
        <v>2505</v>
      </c>
      <c r="X581" s="17" t="s">
        <v>60</v>
      </c>
      <c r="Y581" s="17" t="s">
        <v>197</v>
      </c>
      <c r="Z581" s="17" t="s">
        <v>946</v>
      </c>
      <c r="AA581" s="28">
        <v>778272.44272000005</v>
      </c>
      <c r="AB581" s="28">
        <v>2425956.23869</v>
      </c>
    </row>
    <row r="582" spans="1:28">
      <c r="A582" s="17">
        <v>581</v>
      </c>
      <c r="B582" s="17">
        <v>813110</v>
      </c>
      <c r="C582" s="17" t="s">
        <v>1044</v>
      </c>
      <c r="D582" s="17" t="s">
        <v>52</v>
      </c>
      <c r="E582" s="17" t="s">
        <v>2506</v>
      </c>
      <c r="F582" s="17" t="s">
        <v>1069</v>
      </c>
      <c r="G582" s="17" t="s">
        <v>2507</v>
      </c>
      <c r="H582" s="17" t="s">
        <v>104</v>
      </c>
      <c r="I582" s="17">
        <v>20130</v>
      </c>
      <c r="J582" s="17" t="s">
        <v>54</v>
      </c>
      <c r="K582" s="17" t="s">
        <v>63</v>
      </c>
      <c r="L582" s="17" t="s">
        <v>56</v>
      </c>
      <c r="M582" s="17" t="s">
        <v>297</v>
      </c>
      <c r="N582" s="17" t="s">
        <v>20</v>
      </c>
      <c r="O582" s="17" t="s">
        <v>968</v>
      </c>
      <c r="P582" s="17" t="s">
        <v>20</v>
      </c>
      <c r="Q582" s="17" t="s">
        <v>942</v>
      </c>
      <c r="R582" s="17" t="s">
        <v>20</v>
      </c>
      <c r="S582" s="17" t="s">
        <v>988</v>
      </c>
      <c r="T582" s="17">
        <v>105</v>
      </c>
      <c r="U582" s="18">
        <v>0</v>
      </c>
      <c r="X582" s="17" t="s">
        <v>60</v>
      </c>
      <c r="Y582" s="17" t="s">
        <v>197</v>
      </c>
      <c r="Z582" s="17" t="s">
        <v>946</v>
      </c>
      <c r="AA582" s="28">
        <v>777842.64484600001</v>
      </c>
      <c r="AB582" s="28">
        <v>2425971.4770399998</v>
      </c>
    </row>
    <row r="583" spans="1:28">
      <c r="A583" s="17">
        <v>582</v>
      </c>
      <c r="B583" s="17">
        <v>813110</v>
      </c>
      <c r="C583" s="17" t="s">
        <v>1044</v>
      </c>
      <c r="D583" s="17" t="s">
        <v>52</v>
      </c>
      <c r="E583" s="17" t="s">
        <v>2508</v>
      </c>
      <c r="F583" s="17" t="s">
        <v>1069</v>
      </c>
      <c r="G583" s="17" t="s">
        <v>2509</v>
      </c>
      <c r="H583" s="17" t="s">
        <v>104</v>
      </c>
      <c r="I583" s="17">
        <v>20100</v>
      </c>
      <c r="J583" s="17" t="s">
        <v>54</v>
      </c>
      <c r="K583" s="17" t="s">
        <v>55</v>
      </c>
      <c r="L583" s="17" t="s">
        <v>56</v>
      </c>
      <c r="M583" s="17" t="s">
        <v>2510</v>
      </c>
      <c r="N583" s="17" t="s">
        <v>56</v>
      </c>
      <c r="O583" s="17" t="s">
        <v>2510</v>
      </c>
      <c r="P583" s="17" t="s">
        <v>56</v>
      </c>
      <c r="Q583" s="17" t="s">
        <v>2510</v>
      </c>
      <c r="R583" s="17" t="s">
        <v>56</v>
      </c>
      <c r="S583" s="17" t="s">
        <v>2510</v>
      </c>
      <c r="T583" s="17">
        <v>0</v>
      </c>
      <c r="U583" s="18">
        <v>4491950181</v>
      </c>
      <c r="V583" s="17" t="s">
        <v>2511</v>
      </c>
      <c r="X583" s="17" t="s">
        <v>60</v>
      </c>
      <c r="Y583" s="17" t="s">
        <v>197</v>
      </c>
      <c r="Z583" s="17" t="s">
        <v>946</v>
      </c>
      <c r="AA583" s="28">
        <v>776297.67120500002</v>
      </c>
      <c r="AB583" s="28">
        <v>2427616.8952799998</v>
      </c>
    </row>
    <row r="584" spans="1:28">
      <c r="A584" s="17">
        <v>583</v>
      </c>
      <c r="B584" s="17">
        <v>813120</v>
      </c>
      <c r="C584" s="17" t="s">
        <v>1044</v>
      </c>
      <c r="D584" s="17" t="s">
        <v>52</v>
      </c>
      <c r="E584" s="17" t="s">
        <v>2512</v>
      </c>
      <c r="F584" s="17" t="s">
        <v>1173</v>
      </c>
      <c r="G584" s="17" t="s">
        <v>2513</v>
      </c>
      <c r="H584" s="17" t="s">
        <v>69</v>
      </c>
      <c r="I584" s="17">
        <v>20135</v>
      </c>
      <c r="J584" s="17" t="s">
        <v>196</v>
      </c>
      <c r="K584" s="17" t="s">
        <v>88</v>
      </c>
      <c r="L584" s="17" t="s">
        <v>20</v>
      </c>
      <c r="M584" s="17" t="s">
        <v>2514</v>
      </c>
      <c r="N584" s="17" t="s">
        <v>20</v>
      </c>
      <c r="O584" s="17" t="s">
        <v>978</v>
      </c>
      <c r="P584" s="17" t="s">
        <v>20</v>
      </c>
      <c r="Q584" s="17" t="s">
        <v>122</v>
      </c>
      <c r="R584" s="17" t="s">
        <v>20</v>
      </c>
      <c r="S584" s="17" t="s">
        <v>916</v>
      </c>
      <c r="T584" s="17">
        <v>0</v>
      </c>
      <c r="U584" s="18">
        <v>0</v>
      </c>
      <c r="X584" s="17" t="s">
        <v>67</v>
      </c>
      <c r="Y584" s="17" t="s">
        <v>197</v>
      </c>
      <c r="Z584" s="17" t="s">
        <v>946</v>
      </c>
      <c r="AA584" s="28">
        <v>779274.45924800006</v>
      </c>
      <c r="AB584" s="28">
        <v>2425407.4570800001</v>
      </c>
    </row>
    <row r="585" spans="1:28">
      <c r="A585" s="17">
        <v>584</v>
      </c>
      <c r="B585" s="17">
        <v>813120</v>
      </c>
      <c r="C585" s="17" t="s">
        <v>1044</v>
      </c>
      <c r="D585" s="17" t="s">
        <v>52</v>
      </c>
      <c r="E585" s="17" t="s">
        <v>2515</v>
      </c>
      <c r="F585" s="17" t="s">
        <v>1173</v>
      </c>
      <c r="G585" s="17" t="s">
        <v>2516</v>
      </c>
      <c r="H585" s="17" t="s">
        <v>104</v>
      </c>
      <c r="I585" s="17">
        <v>20120</v>
      </c>
      <c r="J585" s="17" t="s">
        <v>54</v>
      </c>
      <c r="K585" s="17" t="s">
        <v>55</v>
      </c>
      <c r="L585" s="17" t="s">
        <v>20</v>
      </c>
      <c r="M585" s="17" t="s">
        <v>948</v>
      </c>
      <c r="N585" s="17" t="s">
        <v>142</v>
      </c>
      <c r="O585" s="17" t="s">
        <v>242</v>
      </c>
      <c r="P585" s="17" t="s">
        <v>20</v>
      </c>
      <c r="Q585" s="17" t="s">
        <v>950</v>
      </c>
      <c r="R585" s="17" t="s">
        <v>58</v>
      </c>
      <c r="S585" s="17" t="s">
        <v>973</v>
      </c>
      <c r="T585" s="17">
        <v>601</v>
      </c>
      <c r="U585" s="18">
        <v>4492677760</v>
      </c>
      <c r="V585" s="17" t="s">
        <v>2517</v>
      </c>
      <c r="W585" s="17" t="s">
        <v>2518</v>
      </c>
      <c r="X585" s="17" t="s">
        <v>60</v>
      </c>
      <c r="Y585" s="17" t="s">
        <v>197</v>
      </c>
      <c r="Z585" s="17" t="s">
        <v>946</v>
      </c>
      <c r="AA585" s="28">
        <v>778462.87372100004</v>
      </c>
      <c r="AB585" s="28">
        <v>2426716.58824</v>
      </c>
    </row>
    <row r="586" spans="1:28">
      <c r="A586" s="17">
        <v>585</v>
      </c>
      <c r="B586" s="17">
        <v>813120</v>
      </c>
      <c r="C586" s="17" t="s">
        <v>1044</v>
      </c>
      <c r="D586" s="17" t="s">
        <v>52</v>
      </c>
      <c r="E586" s="17" t="s">
        <v>2519</v>
      </c>
      <c r="F586" s="17" t="s">
        <v>1173</v>
      </c>
      <c r="G586" s="17" t="s">
        <v>2516</v>
      </c>
      <c r="H586" s="17" t="s">
        <v>104</v>
      </c>
      <c r="I586" s="17">
        <v>20120</v>
      </c>
      <c r="J586" s="17" t="s">
        <v>54</v>
      </c>
      <c r="K586" s="17" t="s">
        <v>55</v>
      </c>
      <c r="L586" s="17" t="s">
        <v>20</v>
      </c>
      <c r="M586" s="17" t="s">
        <v>948</v>
      </c>
      <c r="N586" s="17" t="s">
        <v>142</v>
      </c>
      <c r="O586" s="17" t="s">
        <v>242</v>
      </c>
      <c r="P586" s="17" t="s">
        <v>20</v>
      </c>
      <c r="Q586" s="17" t="s">
        <v>950</v>
      </c>
      <c r="R586" s="17" t="s">
        <v>58</v>
      </c>
      <c r="S586" s="17" t="s">
        <v>973</v>
      </c>
      <c r="T586" s="17">
        <v>601</v>
      </c>
      <c r="U586" s="18">
        <v>0</v>
      </c>
      <c r="V586" s="17" t="s">
        <v>2520</v>
      </c>
      <c r="W586" s="17" t="s">
        <v>2518</v>
      </c>
      <c r="X586" s="17" t="s">
        <v>60</v>
      </c>
      <c r="Y586" s="17" t="s">
        <v>197</v>
      </c>
      <c r="Z586" s="17" t="s">
        <v>946</v>
      </c>
      <c r="AA586" s="28">
        <v>778462.87372100004</v>
      </c>
      <c r="AB586" s="28">
        <v>2426716.58824</v>
      </c>
    </row>
    <row r="587" spans="1:28">
      <c r="A587" s="17">
        <v>586</v>
      </c>
      <c r="B587" s="17">
        <v>813120</v>
      </c>
      <c r="C587" s="17" t="s">
        <v>1044</v>
      </c>
      <c r="D587" s="17" t="s">
        <v>52</v>
      </c>
      <c r="E587" s="17" t="s">
        <v>2521</v>
      </c>
      <c r="F587" s="17" t="s">
        <v>1173</v>
      </c>
      <c r="G587" s="17" t="s">
        <v>2522</v>
      </c>
      <c r="H587" s="17" t="s">
        <v>104</v>
      </c>
      <c r="I587" s="17">
        <v>20116</v>
      </c>
      <c r="J587" s="17" t="s">
        <v>54</v>
      </c>
      <c r="K587" s="17" t="s">
        <v>55</v>
      </c>
      <c r="L587" s="17" t="s">
        <v>58</v>
      </c>
      <c r="M587" s="17" t="s">
        <v>990</v>
      </c>
      <c r="N587" s="17" t="s">
        <v>20</v>
      </c>
      <c r="O587" s="17" t="s">
        <v>72</v>
      </c>
      <c r="P587" s="17" t="s">
        <v>58</v>
      </c>
      <c r="Q587" s="17" t="s">
        <v>565</v>
      </c>
      <c r="R587" s="17" t="s">
        <v>20</v>
      </c>
      <c r="S587" s="17" t="s">
        <v>991</v>
      </c>
      <c r="T587" s="17">
        <v>113</v>
      </c>
      <c r="U587" s="18">
        <v>0</v>
      </c>
      <c r="X587" s="17" t="s">
        <v>67</v>
      </c>
      <c r="Y587" s="17" t="s">
        <v>197</v>
      </c>
      <c r="Z587" s="17" t="s">
        <v>946</v>
      </c>
      <c r="AA587" s="28">
        <v>778939.02171200002</v>
      </c>
      <c r="AB587" s="28">
        <v>2428276.84197</v>
      </c>
    </row>
    <row r="588" spans="1:28">
      <c r="A588" s="17">
        <v>587</v>
      </c>
      <c r="B588" s="17">
        <v>813230</v>
      </c>
      <c r="C588" s="17" t="s">
        <v>1044</v>
      </c>
      <c r="D588" s="17" t="s">
        <v>52</v>
      </c>
      <c r="E588" s="17" t="s">
        <v>2523</v>
      </c>
      <c r="F588" s="17" t="s">
        <v>1061</v>
      </c>
      <c r="G588" s="17" t="s">
        <v>2524</v>
      </c>
      <c r="H588" s="17" t="s">
        <v>69</v>
      </c>
      <c r="I588" s="17">
        <v>20135</v>
      </c>
      <c r="J588" s="17" t="s">
        <v>54</v>
      </c>
      <c r="K588" s="17" t="s">
        <v>78</v>
      </c>
      <c r="L588" s="17" t="s">
        <v>20</v>
      </c>
      <c r="M588" s="17" t="s">
        <v>978</v>
      </c>
      <c r="N588" s="17" t="s">
        <v>20</v>
      </c>
      <c r="O588" s="17" t="s">
        <v>722</v>
      </c>
      <c r="P588" s="17" t="s">
        <v>20</v>
      </c>
      <c r="Q588" s="17" t="s">
        <v>2514</v>
      </c>
      <c r="R588" s="17" t="s">
        <v>20</v>
      </c>
      <c r="S588" s="17" t="s">
        <v>91</v>
      </c>
      <c r="T588" s="17">
        <v>23</v>
      </c>
      <c r="U588" s="18">
        <v>0</v>
      </c>
      <c r="V588" s="17" t="s">
        <v>2525</v>
      </c>
      <c r="X588" s="17" t="s">
        <v>67</v>
      </c>
      <c r="Y588" s="17" t="s">
        <v>197</v>
      </c>
      <c r="Z588" s="17" t="s">
        <v>946</v>
      </c>
      <c r="AA588" s="28">
        <v>779368.48826200003</v>
      </c>
      <c r="AB588" s="28">
        <v>2425511.6908399998</v>
      </c>
    </row>
    <row r="589" spans="1:28">
      <c r="A589" s="17">
        <v>588</v>
      </c>
      <c r="B589" s="17">
        <v>813230</v>
      </c>
      <c r="C589" s="17" t="s">
        <v>1044</v>
      </c>
      <c r="D589" s="17" t="s">
        <v>52</v>
      </c>
      <c r="E589" s="17" t="s">
        <v>2526</v>
      </c>
      <c r="F589" s="17" t="s">
        <v>1061</v>
      </c>
      <c r="G589" s="17" t="s">
        <v>2527</v>
      </c>
      <c r="H589" s="17" t="s">
        <v>69</v>
      </c>
      <c r="I589" s="17">
        <v>20130</v>
      </c>
      <c r="J589" s="17" t="s">
        <v>54</v>
      </c>
      <c r="K589" s="17" t="s">
        <v>78</v>
      </c>
      <c r="L589" s="17" t="s">
        <v>20</v>
      </c>
      <c r="M589" s="17" t="s">
        <v>518</v>
      </c>
      <c r="N589" s="17" t="s">
        <v>20</v>
      </c>
      <c r="O589" s="17" t="s">
        <v>804</v>
      </c>
      <c r="P589" s="17" t="s">
        <v>58</v>
      </c>
      <c r="Q589" s="17" t="s">
        <v>989</v>
      </c>
      <c r="R589" s="17" t="s">
        <v>20</v>
      </c>
      <c r="S589" s="17" t="s">
        <v>979</v>
      </c>
      <c r="T589" s="17">
        <v>201</v>
      </c>
      <c r="U589" s="18">
        <v>0</v>
      </c>
      <c r="X589" s="17" t="s">
        <v>138</v>
      </c>
      <c r="Y589" s="17" t="s">
        <v>197</v>
      </c>
      <c r="Z589" s="17" t="s">
        <v>946</v>
      </c>
      <c r="AA589" s="28">
        <v>778459.63207699999</v>
      </c>
      <c r="AB589" s="28">
        <v>2424658.8485900001</v>
      </c>
    </row>
    <row r="590" spans="1:28">
      <c r="A590" s="17">
        <v>589</v>
      </c>
      <c r="B590" s="17">
        <v>813230</v>
      </c>
      <c r="C590" s="17" t="s">
        <v>1044</v>
      </c>
      <c r="D590" s="17" t="s">
        <v>52</v>
      </c>
      <c r="E590" s="17" t="s">
        <v>2528</v>
      </c>
      <c r="F590" s="17" t="s">
        <v>1061</v>
      </c>
      <c r="G590" s="17" t="s">
        <v>2529</v>
      </c>
      <c r="H590" s="17" t="s">
        <v>69</v>
      </c>
      <c r="I590" s="17">
        <v>20130</v>
      </c>
      <c r="J590" s="17" t="s">
        <v>54</v>
      </c>
      <c r="K590" s="17" t="s">
        <v>55</v>
      </c>
      <c r="L590" s="17" t="s">
        <v>56</v>
      </c>
      <c r="M590" s="17" t="s">
        <v>327</v>
      </c>
      <c r="N590" s="17" t="s">
        <v>20</v>
      </c>
      <c r="O590" s="17" t="s">
        <v>804</v>
      </c>
      <c r="P590" s="17" t="s">
        <v>20</v>
      </c>
      <c r="Q590" s="17" t="s">
        <v>964</v>
      </c>
      <c r="R590" s="17" t="s">
        <v>20</v>
      </c>
      <c r="S590" s="17" t="s">
        <v>2530</v>
      </c>
      <c r="T590" s="17">
        <v>602</v>
      </c>
      <c r="U590" s="18">
        <v>0</v>
      </c>
      <c r="X590" s="17" t="s">
        <v>67</v>
      </c>
      <c r="Y590" s="17" t="s">
        <v>197</v>
      </c>
      <c r="Z590" s="17" t="s">
        <v>946</v>
      </c>
      <c r="AA590" s="28">
        <v>777911.36482200003</v>
      </c>
      <c r="AB590" s="28">
        <v>2425026.8147999998</v>
      </c>
    </row>
    <row r="591" spans="1:28">
      <c r="A591" s="17">
        <v>590</v>
      </c>
      <c r="B591" s="17">
        <v>813230</v>
      </c>
      <c r="C591" s="17" t="s">
        <v>1044</v>
      </c>
      <c r="D591" s="17" t="s">
        <v>52</v>
      </c>
      <c r="E591" s="17" t="s">
        <v>2531</v>
      </c>
      <c r="F591" s="17" t="s">
        <v>1061</v>
      </c>
      <c r="G591" s="17" t="s">
        <v>2532</v>
      </c>
      <c r="H591" s="17" t="s">
        <v>69</v>
      </c>
      <c r="I591" s="17">
        <v>20130</v>
      </c>
      <c r="J591" s="17" t="s">
        <v>54</v>
      </c>
      <c r="K591" s="17" t="s">
        <v>55</v>
      </c>
      <c r="L591" s="17" t="s">
        <v>56</v>
      </c>
      <c r="M591" s="17" t="s">
        <v>327</v>
      </c>
      <c r="N591" s="17" t="s">
        <v>20</v>
      </c>
      <c r="O591" s="17" t="s">
        <v>804</v>
      </c>
      <c r="P591" s="17" t="s">
        <v>20</v>
      </c>
      <c r="Q591" s="17" t="s">
        <v>964</v>
      </c>
      <c r="R591" s="17" t="s">
        <v>20</v>
      </c>
      <c r="S591" s="17" t="s">
        <v>2530</v>
      </c>
      <c r="T591" s="17">
        <v>602</v>
      </c>
      <c r="U591" s="18">
        <v>0</v>
      </c>
      <c r="V591" s="17" t="s">
        <v>2533</v>
      </c>
      <c r="X591" s="17" t="s">
        <v>64</v>
      </c>
      <c r="Y591" s="17" t="s">
        <v>197</v>
      </c>
      <c r="Z591" s="17" t="s">
        <v>946</v>
      </c>
      <c r="AA591" s="28">
        <v>777996.81082799996</v>
      </c>
      <c r="AB591" s="28">
        <v>2424844.20401</v>
      </c>
    </row>
    <row r="592" spans="1:28">
      <c r="A592" s="17">
        <v>591</v>
      </c>
      <c r="B592" s="17">
        <v>813230</v>
      </c>
      <c r="C592" s="17" t="s">
        <v>1044</v>
      </c>
      <c r="D592" s="17" t="s">
        <v>52</v>
      </c>
      <c r="E592" s="17" t="s">
        <v>2534</v>
      </c>
      <c r="F592" s="17" t="s">
        <v>1061</v>
      </c>
      <c r="G592" s="17" t="s">
        <v>2535</v>
      </c>
      <c r="H592" s="17" t="s">
        <v>69</v>
      </c>
      <c r="I592" s="17">
        <v>20130</v>
      </c>
      <c r="J592" s="17" t="s">
        <v>54</v>
      </c>
      <c r="K592" s="17" t="s">
        <v>78</v>
      </c>
      <c r="L592" s="17" t="s">
        <v>56</v>
      </c>
      <c r="M592" s="17" t="s">
        <v>327</v>
      </c>
      <c r="N592" s="17" t="s">
        <v>20</v>
      </c>
      <c r="O592" s="17" t="s">
        <v>804</v>
      </c>
      <c r="P592" s="17" t="s">
        <v>20</v>
      </c>
      <c r="Q592" s="17" t="s">
        <v>964</v>
      </c>
      <c r="R592" s="17" t="s">
        <v>20</v>
      </c>
      <c r="S592" s="17" t="s">
        <v>2530</v>
      </c>
      <c r="T592" s="17">
        <v>604</v>
      </c>
      <c r="U592" s="18">
        <v>0</v>
      </c>
      <c r="V592" s="17" t="s">
        <v>2536</v>
      </c>
      <c r="W592" s="17" t="s">
        <v>2537</v>
      </c>
      <c r="X592" s="17" t="s">
        <v>60</v>
      </c>
      <c r="Y592" s="17" t="s">
        <v>197</v>
      </c>
      <c r="Z592" s="17" t="s">
        <v>946</v>
      </c>
      <c r="AA592" s="28">
        <v>777971.62415299995</v>
      </c>
      <c r="AB592" s="28">
        <v>2424898.0325799999</v>
      </c>
    </row>
    <row r="593" spans="1:28">
      <c r="A593" s="17">
        <v>592</v>
      </c>
      <c r="B593" s="17">
        <v>813230</v>
      </c>
      <c r="C593" s="17" t="s">
        <v>1044</v>
      </c>
      <c r="D593" s="17" t="s">
        <v>52</v>
      </c>
      <c r="E593" s="17" t="s">
        <v>2538</v>
      </c>
      <c r="F593" s="17" t="s">
        <v>1061</v>
      </c>
      <c r="G593" s="17" t="s">
        <v>2539</v>
      </c>
      <c r="H593" s="17" t="s">
        <v>244</v>
      </c>
      <c r="I593" s="17">
        <v>20115</v>
      </c>
      <c r="J593" s="17" t="s">
        <v>54</v>
      </c>
      <c r="K593" s="17" t="s">
        <v>63</v>
      </c>
      <c r="L593" s="17" t="s">
        <v>217</v>
      </c>
      <c r="M593" s="17" t="s">
        <v>59</v>
      </c>
      <c r="N593" s="17" t="s">
        <v>56</v>
      </c>
      <c r="O593" s="17" t="s">
        <v>2540</v>
      </c>
      <c r="P593" s="17" t="s">
        <v>20</v>
      </c>
      <c r="Q593" s="17" t="s">
        <v>91</v>
      </c>
      <c r="R593" s="17" t="s">
        <v>217</v>
      </c>
      <c r="S593" s="17" t="s">
        <v>2541</v>
      </c>
      <c r="T593" s="17">
        <v>0</v>
      </c>
      <c r="U593" s="18">
        <v>4492050597</v>
      </c>
      <c r="V593" s="17" t="s">
        <v>2542</v>
      </c>
      <c r="X593" s="17" t="s">
        <v>60</v>
      </c>
      <c r="Y593" s="17" t="s">
        <v>197</v>
      </c>
      <c r="Z593" s="17" t="s">
        <v>946</v>
      </c>
      <c r="AA593" s="28">
        <v>778864.15115100006</v>
      </c>
      <c r="AB593" s="28">
        <v>2427840.8292299998</v>
      </c>
    </row>
    <row r="594" spans="1:28">
      <c r="A594" s="17">
        <v>593</v>
      </c>
      <c r="B594" s="17">
        <v>813230</v>
      </c>
      <c r="C594" s="17" t="s">
        <v>1044</v>
      </c>
      <c r="D594" s="17" t="s">
        <v>52</v>
      </c>
      <c r="E594" s="17" t="s">
        <v>2543</v>
      </c>
      <c r="F594" s="17" t="s">
        <v>1061</v>
      </c>
      <c r="G594" s="17" t="s">
        <v>2544</v>
      </c>
      <c r="H594" s="17" t="s">
        <v>244</v>
      </c>
      <c r="I594" s="17">
        <v>20100</v>
      </c>
      <c r="J594" s="17" t="s">
        <v>54</v>
      </c>
      <c r="K594" s="17" t="s">
        <v>63</v>
      </c>
      <c r="L594" s="17" t="s">
        <v>20</v>
      </c>
      <c r="M594" s="17" t="s">
        <v>2545</v>
      </c>
      <c r="N594" s="17" t="s">
        <v>20</v>
      </c>
      <c r="O594" s="17" t="s">
        <v>59</v>
      </c>
      <c r="P594" s="17" t="s">
        <v>56</v>
      </c>
      <c r="Q594" s="17" t="s">
        <v>2500</v>
      </c>
      <c r="R594" s="17" t="s">
        <v>20</v>
      </c>
      <c r="S594" s="17" t="s">
        <v>59</v>
      </c>
      <c r="T594" s="17">
        <v>304</v>
      </c>
      <c r="U594" s="18">
        <v>4492931643</v>
      </c>
      <c r="X594" s="17" t="s">
        <v>64</v>
      </c>
      <c r="Y594" s="17" t="s">
        <v>197</v>
      </c>
      <c r="Z594" s="17" t="s">
        <v>946</v>
      </c>
      <c r="AA594" s="28">
        <v>775855.88560299994</v>
      </c>
      <c r="AB594" s="28">
        <v>2426316.26192</v>
      </c>
    </row>
    <row r="595" spans="1:28">
      <c r="A595" s="17">
        <v>594</v>
      </c>
      <c r="B595" s="17">
        <v>813230</v>
      </c>
      <c r="C595" s="17" t="s">
        <v>1044</v>
      </c>
      <c r="D595" s="17" t="s">
        <v>52</v>
      </c>
      <c r="E595" s="17" t="s">
        <v>2546</v>
      </c>
      <c r="F595" s="17" t="s">
        <v>1061</v>
      </c>
      <c r="G595" s="17" t="s">
        <v>2547</v>
      </c>
      <c r="H595" s="17" t="s">
        <v>244</v>
      </c>
      <c r="I595" s="17">
        <v>20135</v>
      </c>
      <c r="J595" s="17" t="s">
        <v>54</v>
      </c>
      <c r="K595" s="17" t="s">
        <v>55</v>
      </c>
      <c r="L595" s="17" t="s">
        <v>20</v>
      </c>
      <c r="M595" s="17" t="s">
        <v>2548</v>
      </c>
      <c r="N595" s="17" t="s">
        <v>20</v>
      </c>
      <c r="O595" s="17" t="s">
        <v>2549</v>
      </c>
      <c r="P595" s="17" t="s">
        <v>20</v>
      </c>
      <c r="Q595" s="17" t="s">
        <v>2550</v>
      </c>
      <c r="R595" s="17" t="s">
        <v>20</v>
      </c>
      <c r="S595" s="17" t="s">
        <v>2548</v>
      </c>
      <c r="T595" s="17">
        <v>0</v>
      </c>
      <c r="U595" s="18">
        <v>4494487730</v>
      </c>
      <c r="V595" s="17" t="s">
        <v>2551</v>
      </c>
      <c r="X595" s="17" t="s">
        <v>60</v>
      </c>
      <c r="Y595" s="17" t="s">
        <v>197</v>
      </c>
      <c r="Z595" s="17" t="s">
        <v>946</v>
      </c>
      <c r="AA595" s="28">
        <v>778876.06983199995</v>
      </c>
      <c r="AB595" s="28">
        <v>2424990.4155999999</v>
      </c>
    </row>
    <row r="596" spans="1:28">
      <c r="A596" s="17">
        <v>595</v>
      </c>
      <c r="B596" s="17">
        <v>813230</v>
      </c>
      <c r="C596" s="17" t="s">
        <v>1044</v>
      </c>
      <c r="D596" s="17" t="s">
        <v>52</v>
      </c>
      <c r="E596" s="17" t="s">
        <v>2552</v>
      </c>
      <c r="F596" s="17" t="s">
        <v>1061</v>
      </c>
      <c r="G596" s="17" t="s">
        <v>2553</v>
      </c>
      <c r="H596" s="17" t="s">
        <v>244</v>
      </c>
      <c r="I596" s="17">
        <v>20138</v>
      </c>
      <c r="J596" s="17" t="s">
        <v>54</v>
      </c>
      <c r="K596" s="17" t="s">
        <v>55</v>
      </c>
      <c r="L596" s="17" t="s">
        <v>56</v>
      </c>
      <c r="M596" s="17" t="s">
        <v>106</v>
      </c>
      <c r="N596" s="17" t="s">
        <v>56</v>
      </c>
      <c r="O596" s="17" t="s">
        <v>91</v>
      </c>
      <c r="P596" s="17" t="s">
        <v>56</v>
      </c>
      <c r="Q596" s="17" t="s">
        <v>297</v>
      </c>
      <c r="R596" s="17" t="s">
        <v>20</v>
      </c>
      <c r="S596" s="17" t="s">
        <v>987</v>
      </c>
      <c r="T596" s="17">
        <v>1602</v>
      </c>
      <c r="U596" s="18">
        <v>0</v>
      </c>
      <c r="X596" s="17" t="s">
        <v>64</v>
      </c>
      <c r="Y596" s="17" t="s">
        <v>197</v>
      </c>
      <c r="Z596" s="17" t="s">
        <v>946</v>
      </c>
      <c r="AA596" s="28">
        <v>779182.07346400002</v>
      </c>
      <c r="AB596" s="28">
        <v>2425921.7314200001</v>
      </c>
    </row>
    <row r="597" spans="1:28">
      <c r="A597" s="17">
        <v>596</v>
      </c>
      <c r="B597" s="17">
        <v>813230</v>
      </c>
      <c r="C597" s="17" t="s">
        <v>1044</v>
      </c>
      <c r="D597" s="17" t="s">
        <v>52</v>
      </c>
      <c r="E597" s="17" t="s">
        <v>2554</v>
      </c>
      <c r="F597" s="17" t="s">
        <v>1061</v>
      </c>
      <c r="G597" s="17" t="s">
        <v>2555</v>
      </c>
      <c r="H597" s="17" t="s">
        <v>244</v>
      </c>
      <c r="I597" s="17">
        <v>20118</v>
      </c>
      <c r="J597" s="17" t="s">
        <v>54</v>
      </c>
      <c r="K597" s="17" t="s">
        <v>78</v>
      </c>
      <c r="L597" s="17" t="s">
        <v>58</v>
      </c>
      <c r="M597" s="17" t="s">
        <v>59</v>
      </c>
      <c r="N597" s="17" t="s">
        <v>20</v>
      </c>
      <c r="O597" s="17" t="s">
        <v>91</v>
      </c>
      <c r="Q597" s="17" t="s">
        <v>59</v>
      </c>
      <c r="R597" s="17" t="s">
        <v>58</v>
      </c>
      <c r="S597" s="17" t="s">
        <v>59</v>
      </c>
      <c r="T597" s="17">
        <v>1</v>
      </c>
      <c r="U597" s="18">
        <v>4499256140</v>
      </c>
      <c r="V597" s="17" t="s">
        <v>2556</v>
      </c>
      <c r="W597" s="17" t="s">
        <v>2557</v>
      </c>
      <c r="X597" s="17" t="s">
        <v>64</v>
      </c>
      <c r="Y597" s="17" t="s">
        <v>197</v>
      </c>
      <c r="Z597" s="17" t="s">
        <v>946</v>
      </c>
      <c r="AA597" s="28">
        <v>776588.13094099995</v>
      </c>
      <c r="AB597" s="28">
        <v>2427989.47523</v>
      </c>
    </row>
    <row r="598" spans="1:28">
      <c r="A598" s="17">
        <v>597</v>
      </c>
      <c r="B598" s="17">
        <v>813230</v>
      </c>
      <c r="C598" s="17" t="s">
        <v>1044</v>
      </c>
      <c r="D598" s="17" t="s">
        <v>52</v>
      </c>
      <c r="E598" s="17" t="s">
        <v>2558</v>
      </c>
      <c r="F598" s="17" t="s">
        <v>1061</v>
      </c>
      <c r="G598" s="17" t="s">
        <v>2559</v>
      </c>
      <c r="H598" s="17" t="s">
        <v>244</v>
      </c>
      <c r="I598" s="17">
        <v>20118</v>
      </c>
      <c r="J598" s="17" t="s">
        <v>54</v>
      </c>
      <c r="K598" s="17" t="s">
        <v>78</v>
      </c>
      <c r="L598" s="17" t="s">
        <v>161</v>
      </c>
      <c r="M598" s="17" t="s">
        <v>2560</v>
      </c>
      <c r="N598" s="17" t="s">
        <v>58</v>
      </c>
      <c r="O598" s="17" t="s">
        <v>2561</v>
      </c>
      <c r="P598" s="17" t="s">
        <v>20</v>
      </c>
      <c r="Q598" s="17" t="s">
        <v>91</v>
      </c>
      <c r="R598" s="17" t="s">
        <v>161</v>
      </c>
      <c r="S598" s="17" t="s">
        <v>2560</v>
      </c>
      <c r="T598" s="17">
        <v>2602</v>
      </c>
      <c r="U598" s="18">
        <v>0</v>
      </c>
      <c r="V598" s="17" t="s">
        <v>2562</v>
      </c>
      <c r="X598" s="17" t="s">
        <v>64</v>
      </c>
      <c r="Y598" s="17" t="s">
        <v>197</v>
      </c>
      <c r="Z598" s="17" t="s">
        <v>946</v>
      </c>
      <c r="AA598" s="28">
        <v>776415.09106200002</v>
      </c>
      <c r="AB598" s="28">
        <v>2428136.0131799998</v>
      </c>
    </row>
    <row r="599" spans="1:28">
      <c r="A599" s="17">
        <v>598</v>
      </c>
      <c r="B599" s="17">
        <v>813230</v>
      </c>
      <c r="C599" s="17" t="s">
        <v>1044</v>
      </c>
      <c r="D599" s="17" t="s">
        <v>52</v>
      </c>
      <c r="E599" s="17" t="s">
        <v>2563</v>
      </c>
      <c r="F599" s="17" t="s">
        <v>1061</v>
      </c>
      <c r="G599" s="17" t="s">
        <v>2564</v>
      </c>
      <c r="H599" s="17" t="s">
        <v>104</v>
      </c>
      <c r="I599" s="17">
        <v>20127</v>
      </c>
      <c r="J599" s="17" t="s">
        <v>54</v>
      </c>
      <c r="K599" s="17" t="s">
        <v>78</v>
      </c>
      <c r="L599" s="17" t="s">
        <v>56</v>
      </c>
      <c r="M599" s="17" t="s">
        <v>327</v>
      </c>
      <c r="N599" s="17" t="s">
        <v>20</v>
      </c>
      <c r="O599" s="17" t="s">
        <v>952</v>
      </c>
      <c r="P599" s="17" t="s">
        <v>56</v>
      </c>
      <c r="Q599" s="17" t="s">
        <v>297</v>
      </c>
      <c r="R599" s="17" t="s">
        <v>20</v>
      </c>
      <c r="S599" s="17" t="s">
        <v>953</v>
      </c>
      <c r="T599" s="17">
        <v>1001</v>
      </c>
      <c r="U599" s="18">
        <v>4491388999</v>
      </c>
      <c r="V599" s="17" t="s">
        <v>2565</v>
      </c>
      <c r="X599" s="17" t="s">
        <v>67</v>
      </c>
      <c r="Y599" s="17" t="s">
        <v>197</v>
      </c>
      <c r="Z599" s="17" t="s">
        <v>946</v>
      </c>
      <c r="AA599" s="28">
        <v>777505.59953600005</v>
      </c>
      <c r="AB599" s="28">
        <v>2426092.5651199999</v>
      </c>
    </row>
    <row r="600" spans="1:28">
      <c r="A600" s="17">
        <v>599</v>
      </c>
      <c r="B600" s="17">
        <v>813230</v>
      </c>
      <c r="C600" s="17" t="s">
        <v>1044</v>
      </c>
      <c r="D600" s="17" t="s">
        <v>52</v>
      </c>
      <c r="E600" s="17" t="s">
        <v>2566</v>
      </c>
      <c r="F600" s="17" t="s">
        <v>1061</v>
      </c>
      <c r="G600" s="17" t="s">
        <v>2567</v>
      </c>
      <c r="H600" s="17" t="s">
        <v>104</v>
      </c>
      <c r="I600" s="17">
        <v>20127</v>
      </c>
      <c r="J600" s="17" t="s">
        <v>54</v>
      </c>
      <c r="K600" s="17" t="s">
        <v>55</v>
      </c>
      <c r="L600" s="17" t="s">
        <v>56</v>
      </c>
      <c r="M600" s="17" t="s">
        <v>327</v>
      </c>
      <c r="N600" s="17" t="s">
        <v>20</v>
      </c>
      <c r="O600" s="17" t="s">
        <v>952</v>
      </c>
      <c r="P600" s="17" t="s">
        <v>56</v>
      </c>
      <c r="Q600" s="17" t="s">
        <v>297</v>
      </c>
      <c r="R600" s="17" t="s">
        <v>20</v>
      </c>
      <c r="S600" s="17" t="s">
        <v>953</v>
      </c>
      <c r="T600" s="17">
        <v>1001</v>
      </c>
      <c r="U600" s="18">
        <v>4491388999</v>
      </c>
      <c r="V600" s="17" t="s">
        <v>2565</v>
      </c>
      <c r="X600" s="17" t="s">
        <v>60</v>
      </c>
      <c r="Y600" s="17" t="s">
        <v>197</v>
      </c>
      <c r="Z600" s="17" t="s">
        <v>946</v>
      </c>
      <c r="AA600" s="28">
        <v>777505.59953600005</v>
      </c>
      <c r="AB600" s="28">
        <v>2426092.5651199999</v>
      </c>
    </row>
    <row r="601" spans="1:28">
      <c r="A601" s="17">
        <v>600</v>
      </c>
      <c r="B601" s="17">
        <v>813230</v>
      </c>
      <c r="C601" s="17" t="s">
        <v>1044</v>
      </c>
      <c r="D601" s="17" t="s">
        <v>52</v>
      </c>
      <c r="E601" s="17" t="s">
        <v>2568</v>
      </c>
      <c r="F601" s="17" t="s">
        <v>1061</v>
      </c>
      <c r="G601" s="17" t="s">
        <v>2569</v>
      </c>
      <c r="H601" s="17" t="s">
        <v>104</v>
      </c>
      <c r="I601" s="17">
        <v>20130</v>
      </c>
      <c r="J601" s="17" t="s">
        <v>54</v>
      </c>
      <c r="K601" s="17" t="s">
        <v>55</v>
      </c>
      <c r="L601" s="17" t="s">
        <v>56</v>
      </c>
      <c r="M601" s="17" t="s">
        <v>297</v>
      </c>
      <c r="N601" s="17" t="s">
        <v>20</v>
      </c>
      <c r="O601" s="17" t="s">
        <v>942</v>
      </c>
      <c r="P601" s="17" t="s">
        <v>20</v>
      </c>
      <c r="Q601" s="17" t="s">
        <v>945</v>
      </c>
      <c r="R601" s="17" t="s">
        <v>20</v>
      </c>
      <c r="S601" s="17" t="s">
        <v>980</v>
      </c>
      <c r="T601" s="17">
        <v>317</v>
      </c>
      <c r="U601" s="18">
        <v>0</v>
      </c>
      <c r="V601" s="17" t="s">
        <v>2570</v>
      </c>
      <c r="W601" s="17" t="s">
        <v>2571</v>
      </c>
      <c r="X601" s="17" t="s">
        <v>60</v>
      </c>
      <c r="Y601" s="17" t="s">
        <v>197</v>
      </c>
      <c r="Z601" s="17" t="s">
        <v>946</v>
      </c>
      <c r="AA601" s="28">
        <v>778043.59337000002</v>
      </c>
      <c r="AB601" s="28">
        <v>2425964.0282899998</v>
      </c>
    </row>
    <row r="602" spans="1:28">
      <c r="A602" s="17">
        <v>601</v>
      </c>
      <c r="B602" s="17">
        <v>813230</v>
      </c>
      <c r="C602" s="17" t="s">
        <v>1044</v>
      </c>
      <c r="D602" s="17" t="s">
        <v>52</v>
      </c>
      <c r="E602" s="17" t="s">
        <v>2572</v>
      </c>
      <c r="F602" s="17" t="s">
        <v>1061</v>
      </c>
      <c r="G602" s="17" t="s">
        <v>2573</v>
      </c>
      <c r="H602" s="17" t="s">
        <v>104</v>
      </c>
      <c r="I602" s="17">
        <v>20130</v>
      </c>
      <c r="J602" s="17" t="s">
        <v>54</v>
      </c>
      <c r="K602" s="17" t="s">
        <v>63</v>
      </c>
      <c r="L602" s="17" t="s">
        <v>56</v>
      </c>
      <c r="M602" s="17" t="s">
        <v>327</v>
      </c>
      <c r="N602" s="17" t="s">
        <v>20</v>
      </c>
      <c r="O602" s="17" t="s">
        <v>962</v>
      </c>
      <c r="P602" s="17" t="s">
        <v>20</v>
      </c>
      <c r="Q602" s="17" t="s">
        <v>983</v>
      </c>
      <c r="R602" s="17" t="s">
        <v>20</v>
      </c>
      <c r="S602" s="17" t="s">
        <v>2574</v>
      </c>
      <c r="T602" s="17">
        <v>811</v>
      </c>
      <c r="U602" s="18">
        <v>4491670522</v>
      </c>
      <c r="V602" s="17" t="s">
        <v>2575</v>
      </c>
      <c r="X602" s="17" t="s">
        <v>67</v>
      </c>
      <c r="Y602" s="17" t="s">
        <v>197</v>
      </c>
      <c r="Z602" s="17" t="s">
        <v>946</v>
      </c>
      <c r="AA602" s="28">
        <v>777762.63617900002</v>
      </c>
      <c r="AB602" s="28">
        <v>2425435.72015</v>
      </c>
    </row>
    <row r="603" spans="1:28">
      <c r="A603" s="17">
        <v>602</v>
      </c>
      <c r="B603" s="17">
        <v>813230</v>
      </c>
      <c r="C603" s="17" t="s">
        <v>1044</v>
      </c>
      <c r="D603" s="17" t="s">
        <v>52</v>
      </c>
      <c r="E603" s="17" t="s">
        <v>2576</v>
      </c>
      <c r="F603" s="17" t="s">
        <v>1061</v>
      </c>
      <c r="G603" s="17" t="s">
        <v>2577</v>
      </c>
      <c r="H603" s="17" t="s">
        <v>104</v>
      </c>
      <c r="I603" s="17">
        <v>20100</v>
      </c>
      <c r="J603" s="17" t="s">
        <v>54</v>
      </c>
      <c r="K603" s="17" t="s">
        <v>63</v>
      </c>
      <c r="L603" s="17" t="s">
        <v>20</v>
      </c>
      <c r="M603" s="17" t="s">
        <v>969</v>
      </c>
      <c r="N603" s="17" t="s">
        <v>20</v>
      </c>
      <c r="O603" s="17" t="s">
        <v>970</v>
      </c>
      <c r="P603" s="17" t="s">
        <v>20</v>
      </c>
      <c r="Q603" s="17" t="s">
        <v>969</v>
      </c>
      <c r="R603" s="17" t="s">
        <v>20</v>
      </c>
      <c r="S603" s="17" t="s">
        <v>971</v>
      </c>
      <c r="T603" s="17">
        <v>102</v>
      </c>
      <c r="U603" s="18">
        <v>4491823285</v>
      </c>
      <c r="V603" s="17" t="s">
        <v>2578</v>
      </c>
      <c r="X603" s="17" t="s">
        <v>64</v>
      </c>
      <c r="Y603" s="17" t="s">
        <v>197</v>
      </c>
      <c r="Z603" s="17" t="s">
        <v>946</v>
      </c>
      <c r="AA603" s="28">
        <v>776994.38585800002</v>
      </c>
      <c r="AB603" s="28">
        <v>2426854.23</v>
      </c>
    </row>
    <row r="604" spans="1:28">
      <c r="A604" s="17">
        <v>603</v>
      </c>
      <c r="B604" s="17">
        <v>813230</v>
      </c>
      <c r="C604" s="17" t="s">
        <v>1044</v>
      </c>
      <c r="D604" s="17" t="s">
        <v>52</v>
      </c>
      <c r="E604" s="17" t="s">
        <v>2579</v>
      </c>
      <c r="F604" s="17" t="s">
        <v>1061</v>
      </c>
      <c r="G604" s="17" t="s">
        <v>2580</v>
      </c>
      <c r="H604" s="17" t="s">
        <v>104</v>
      </c>
      <c r="I604" s="17">
        <v>20100</v>
      </c>
      <c r="J604" s="17" t="s">
        <v>54</v>
      </c>
      <c r="K604" s="17" t="s">
        <v>55</v>
      </c>
      <c r="L604" s="17" t="s">
        <v>20</v>
      </c>
      <c r="M604" s="17" t="s">
        <v>969</v>
      </c>
      <c r="N604" s="17" t="s">
        <v>20</v>
      </c>
      <c r="O604" s="17" t="s">
        <v>970</v>
      </c>
      <c r="P604" s="17" t="s">
        <v>20</v>
      </c>
      <c r="Q604" s="17" t="s">
        <v>969</v>
      </c>
      <c r="R604" s="17" t="s">
        <v>20</v>
      </c>
      <c r="S604" s="17" t="s">
        <v>971</v>
      </c>
      <c r="T604" s="17">
        <v>102</v>
      </c>
      <c r="U604" s="18">
        <v>0</v>
      </c>
      <c r="V604" s="17" t="s">
        <v>2581</v>
      </c>
      <c r="X604" s="17" t="s">
        <v>176</v>
      </c>
      <c r="Y604" s="17" t="s">
        <v>197</v>
      </c>
      <c r="Z604" s="17" t="s">
        <v>946</v>
      </c>
      <c r="AA604" s="28">
        <v>776994.38585800002</v>
      </c>
      <c r="AB604" s="28">
        <v>2426854.23</v>
      </c>
    </row>
    <row r="605" spans="1:28">
      <c r="A605" s="17">
        <v>604</v>
      </c>
      <c r="B605" s="17">
        <v>813230</v>
      </c>
      <c r="C605" s="17" t="s">
        <v>1044</v>
      </c>
      <c r="D605" s="17" t="s">
        <v>52</v>
      </c>
      <c r="E605" s="17" t="s">
        <v>2582</v>
      </c>
      <c r="F605" s="17" t="s">
        <v>1061</v>
      </c>
      <c r="G605" s="17" t="s">
        <v>2583</v>
      </c>
      <c r="H605" s="17" t="s">
        <v>104</v>
      </c>
      <c r="I605" s="17">
        <v>20120</v>
      </c>
      <c r="J605" s="17" t="s">
        <v>54</v>
      </c>
      <c r="K605" s="17" t="s">
        <v>55</v>
      </c>
      <c r="L605" s="17" t="s">
        <v>20</v>
      </c>
      <c r="M605" s="17" t="s">
        <v>974</v>
      </c>
      <c r="N605" s="17" t="s">
        <v>20</v>
      </c>
      <c r="O605" s="17" t="s">
        <v>942</v>
      </c>
      <c r="P605" s="17" t="s">
        <v>20</v>
      </c>
      <c r="Q605" s="17" t="s">
        <v>945</v>
      </c>
      <c r="R605" s="17" t="s">
        <v>20</v>
      </c>
      <c r="S605" s="17" t="s">
        <v>2441</v>
      </c>
      <c r="T605" s="17">
        <v>213</v>
      </c>
      <c r="U605" s="18">
        <v>0</v>
      </c>
      <c r="V605" s="17" t="s">
        <v>2584</v>
      </c>
      <c r="W605" s="17" t="s">
        <v>2585</v>
      </c>
      <c r="X605" s="17" t="s">
        <v>60</v>
      </c>
      <c r="Y605" s="17" t="s">
        <v>197</v>
      </c>
      <c r="Z605" s="17" t="s">
        <v>946</v>
      </c>
      <c r="AA605" s="28">
        <v>777911.13837599999</v>
      </c>
      <c r="AB605" s="28">
        <v>2426805.25336</v>
      </c>
    </row>
    <row r="606" spans="1:28">
      <c r="A606" s="17">
        <v>605</v>
      </c>
      <c r="B606" s="17">
        <v>813230</v>
      </c>
      <c r="C606" s="17" t="s">
        <v>1044</v>
      </c>
      <c r="D606" s="17" t="s">
        <v>52</v>
      </c>
      <c r="E606" s="17" t="s">
        <v>2586</v>
      </c>
      <c r="F606" s="17" t="s">
        <v>1061</v>
      </c>
      <c r="G606" s="17" t="s">
        <v>2587</v>
      </c>
      <c r="H606" s="17" t="s">
        <v>104</v>
      </c>
      <c r="I606" s="17">
        <v>20110</v>
      </c>
      <c r="J606" s="17" t="s">
        <v>54</v>
      </c>
      <c r="K606" s="17" t="s">
        <v>55</v>
      </c>
      <c r="L606" s="17" t="s">
        <v>217</v>
      </c>
      <c r="M606" s="17" t="s">
        <v>2588</v>
      </c>
      <c r="N606" s="17" t="s">
        <v>20</v>
      </c>
      <c r="O606" s="17" t="s">
        <v>961</v>
      </c>
      <c r="P606" s="17" t="s">
        <v>217</v>
      </c>
      <c r="Q606" s="17" t="s">
        <v>2589</v>
      </c>
      <c r="R606" s="17" t="s">
        <v>20</v>
      </c>
      <c r="S606" s="17" t="s">
        <v>59</v>
      </c>
      <c r="T606" s="17">
        <v>120</v>
      </c>
      <c r="U606" s="18">
        <v>0</v>
      </c>
      <c r="V606" s="17" t="s">
        <v>2590</v>
      </c>
      <c r="X606" s="17" t="s">
        <v>60</v>
      </c>
      <c r="Y606" s="17" t="s">
        <v>197</v>
      </c>
      <c r="Z606" s="17" t="s">
        <v>946</v>
      </c>
      <c r="AA606" s="28">
        <v>779147.07464899996</v>
      </c>
      <c r="AB606" s="28">
        <v>2427692.7887400002</v>
      </c>
    </row>
    <row r="607" spans="1:28">
      <c r="A607" s="17">
        <v>606</v>
      </c>
      <c r="B607" s="17">
        <v>813230</v>
      </c>
      <c r="C607" s="17" t="s">
        <v>1044</v>
      </c>
      <c r="D607" s="17" t="s">
        <v>52</v>
      </c>
      <c r="E607" s="17" t="s">
        <v>2591</v>
      </c>
      <c r="F607" s="17" t="s">
        <v>1061</v>
      </c>
      <c r="G607" s="17" t="s">
        <v>2591</v>
      </c>
      <c r="H607" s="17" t="s">
        <v>104</v>
      </c>
      <c r="I607" s="17">
        <v>20130</v>
      </c>
      <c r="J607" s="17" t="s">
        <v>54</v>
      </c>
      <c r="K607" s="17" t="s">
        <v>63</v>
      </c>
      <c r="L607" s="17" t="s">
        <v>95</v>
      </c>
      <c r="M607" s="17" t="s">
        <v>984</v>
      </c>
      <c r="N607" s="17" t="s">
        <v>95</v>
      </c>
      <c r="O607" s="17" t="s">
        <v>984</v>
      </c>
      <c r="P607" s="17" t="s">
        <v>95</v>
      </c>
      <c r="Q607" s="17" t="s">
        <v>984</v>
      </c>
      <c r="R607" s="17" t="s">
        <v>95</v>
      </c>
      <c r="S607" s="17" t="s">
        <v>984</v>
      </c>
      <c r="T607" s="17">
        <v>0</v>
      </c>
      <c r="U607" s="18">
        <v>0</v>
      </c>
      <c r="V607" s="17" t="s">
        <v>2592</v>
      </c>
      <c r="X607" s="17" t="s">
        <v>60</v>
      </c>
      <c r="Y607" s="17" t="s">
        <v>197</v>
      </c>
      <c r="Z607" s="17" t="s">
        <v>946</v>
      </c>
      <c r="AA607" s="28">
        <v>778030.90232400002</v>
      </c>
      <c r="AB607" s="28">
        <v>2424556.8153200001</v>
      </c>
    </row>
    <row r="608" spans="1:28">
      <c r="A608" s="17">
        <v>607</v>
      </c>
      <c r="B608" s="17">
        <v>813230</v>
      </c>
      <c r="C608" s="17" t="s">
        <v>1044</v>
      </c>
      <c r="D608" s="17" t="s">
        <v>52</v>
      </c>
      <c r="E608" s="17" t="s">
        <v>2593</v>
      </c>
      <c r="F608" s="17" t="s">
        <v>1061</v>
      </c>
      <c r="G608" s="17" t="s">
        <v>141</v>
      </c>
      <c r="H608" s="17" t="s">
        <v>471</v>
      </c>
      <c r="I608" s="17">
        <v>20900</v>
      </c>
      <c r="J608" s="17" t="s">
        <v>54</v>
      </c>
      <c r="K608" s="17" t="s">
        <v>78</v>
      </c>
      <c r="L608" s="17" t="s">
        <v>161</v>
      </c>
      <c r="M608" s="17" t="s">
        <v>2560</v>
      </c>
      <c r="N608" s="17" t="s">
        <v>20</v>
      </c>
      <c r="O608" s="17" t="s">
        <v>2594</v>
      </c>
      <c r="P608" s="17" t="s">
        <v>56</v>
      </c>
      <c r="Q608" s="17" t="s">
        <v>2595</v>
      </c>
      <c r="R608" s="17" t="s">
        <v>56</v>
      </c>
      <c r="S608" s="17" t="s">
        <v>2595</v>
      </c>
      <c r="T608" s="17">
        <v>2603</v>
      </c>
      <c r="U608" s="18">
        <v>0</v>
      </c>
      <c r="X608" s="17" t="s">
        <v>64</v>
      </c>
      <c r="Y608" s="17" t="s">
        <v>197</v>
      </c>
      <c r="Z608" s="17" t="s">
        <v>946</v>
      </c>
      <c r="AA608" s="28">
        <v>776392.91158800002</v>
      </c>
      <c r="AB608" s="28">
        <v>2428084.0355199999</v>
      </c>
    </row>
    <row r="609" spans="1:28">
      <c r="A609" s="17">
        <v>608</v>
      </c>
      <c r="B609" s="17">
        <v>813230</v>
      </c>
      <c r="C609" s="17" t="s">
        <v>1044</v>
      </c>
      <c r="D609" s="17" t="s">
        <v>52</v>
      </c>
      <c r="E609" s="17" t="s">
        <v>2596</v>
      </c>
      <c r="F609" s="17" t="s">
        <v>1061</v>
      </c>
      <c r="G609" s="17" t="s">
        <v>2597</v>
      </c>
      <c r="H609" s="17" t="s">
        <v>471</v>
      </c>
      <c r="I609" s="17">
        <v>20329</v>
      </c>
      <c r="J609" s="17" t="s">
        <v>54</v>
      </c>
      <c r="K609" s="17" t="s">
        <v>63</v>
      </c>
      <c r="L609" s="17" t="s">
        <v>58</v>
      </c>
      <c r="M609" s="17" t="s">
        <v>59</v>
      </c>
      <c r="N609" s="17" t="s">
        <v>20</v>
      </c>
      <c r="O609" s="17" t="s">
        <v>59</v>
      </c>
      <c r="P609" s="17" t="s">
        <v>20</v>
      </c>
      <c r="Q609" s="17" t="s">
        <v>59</v>
      </c>
      <c r="S609" s="17" t="s">
        <v>59</v>
      </c>
      <c r="T609" s="17">
        <v>122</v>
      </c>
      <c r="U609" s="18">
        <v>441460624</v>
      </c>
      <c r="V609" s="17" t="s">
        <v>2598</v>
      </c>
      <c r="X609" s="17" t="s">
        <v>67</v>
      </c>
      <c r="Y609" s="17" t="s">
        <v>197</v>
      </c>
      <c r="Z609" s="17" t="s">
        <v>946</v>
      </c>
      <c r="AA609" s="28">
        <v>775885.47666699998</v>
      </c>
      <c r="AB609" s="28">
        <v>2425786.8761</v>
      </c>
    </row>
    <row r="610" spans="1:28">
      <c r="A610" s="17">
        <v>609</v>
      </c>
      <c r="B610" s="17">
        <v>813230</v>
      </c>
      <c r="C610" s="17" t="s">
        <v>1044</v>
      </c>
      <c r="D610" s="17" t="s">
        <v>52</v>
      </c>
      <c r="E610" s="17" t="s">
        <v>2599</v>
      </c>
      <c r="F610" s="17" t="s">
        <v>1061</v>
      </c>
      <c r="G610" s="17" t="s">
        <v>2600</v>
      </c>
      <c r="H610" s="17" t="s">
        <v>471</v>
      </c>
      <c r="I610" s="17">
        <v>20328</v>
      </c>
      <c r="J610" s="17" t="s">
        <v>54</v>
      </c>
      <c r="K610" s="17" t="s">
        <v>63</v>
      </c>
      <c r="L610" s="17" t="s">
        <v>20</v>
      </c>
      <c r="M610" s="17" t="s">
        <v>59</v>
      </c>
      <c r="N610" s="17" t="s">
        <v>58</v>
      </c>
      <c r="O610" s="17" t="s">
        <v>59</v>
      </c>
      <c r="P610" s="17" t="s">
        <v>58</v>
      </c>
      <c r="Q610" s="17" t="s">
        <v>59</v>
      </c>
      <c r="S610" s="17" t="s">
        <v>59</v>
      </c>
      <c r="T610" s="17">
        <v>45</v>
      </c>
      <c r="U610" s="18">
        <v>0</v>
      </c>
      <c r="V610" s="17" t="s">
        <v>2601</v>
      </c>
      <c r="X610" s="17" t="s">
        <v>64</v>
      </c>
      <c r="Y610" s="17" t="s">
        <v>197</v>
      </c>
      <c r="Z610" s="17" t="s">
        <v>946</v>
      </c>
      <c r="AA610" s="28">
        <v>776053.99547900003</v>
      </c>
      <c r="AB610" s="28">
        <v>2425720.3430699999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24EU_ASISTENCIA SOCIAL</vt:lpstr>
      <vt:lpstr>BASE DE DATOS_ASISTENCIA SOCIAL</vt:lpstr>
      <vt:lpstr>'24EU_ASISTENCIA SOCIAL'!Área_de_impresión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2025-08-12T21:27:26Z</dcterms:modified>
</cp:coreProperties>
</file>