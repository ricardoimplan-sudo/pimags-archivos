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EQUIPAMIENTO URBANO_CLASIFICADO POR DELEGACION, ZUFO,REFOM\24TEATRO\"/>
    </mc:Choice>
  </mc:AlternateContent>
  <bookViews>
    <workbookView xWindow="0" yWindow="0" windowWidth="28800" windowHeight="11535"/>
  </bookViews>
  <sheets>
    <sheet name="24EU_TEATRO" sheetId="1" r:id="rId1"/>
    <sheet name="BASE DE DATOS_TEATRO" sheetId="2" r:id="rId2"/>
  </sheets>
  <definedNames>
    <definedName name="_xlnm.Print_Area" localSheetId="0">'24EU_TEATRO'!$A$1:$C$35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<sst xmlns="http://schemas.openxmlformats.org/spreadsheetml/2006/main" count="551" uniqueCount="233">
  <si>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</si>
  <si>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</si>
  <si>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</si>
  <si>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</si>
  <si>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</si>
  <si>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</si>
  <si>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</si>
  <si>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</si>
  <si>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</si>
  <si>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</si>
  <si>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</si>
  <si>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</si>
  <si>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</si>
  <si>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</si>
  <si>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</si>
  <si>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</si>
  <si>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</si>
  <si>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</si>
  <si>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</si>
  <si>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</si>
  <si>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</si>
  <si>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</si>
  <si>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</si>
  <si>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</si>
  <si>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</si>
  <si>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</si>
  <si>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</si>
  <si>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</si>
  <si>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</si>
  <si>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</si>
  <si>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</si>
  <si>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</si>
  <si>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</si>
  <si>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</si>
  <si>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</si>
  <si>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</si>
  <si>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</si>
  <si>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</si>
  <si>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</si>
  <si>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</si>
  <si>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</si>
  <si>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</si>
  <si>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</si>
  <si>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</si>
  <si>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</si>
  <si>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</si>
  <si>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</si>
  <si>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</si>
  <si>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</si>
  <si>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</si>
  <si>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</si>
  <si>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</si>
  <si>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</si>
  <si>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</si>
  <si>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</si>
  <si>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</si>
  <si>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</si>
  <si>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2019-11</t>
  </si>
  <si>
    <t>CALVILLITO</t>
  </si>
  <si>
    <t>6 a 10 personas</t>
  </si>
  <si>
    <t>2014-12</t>
  </si>
  <si>
    <t>2010-07</t>
  </si>
  <si>
    <t>COLONIA</t>
  </si>
  <si>
    <t>VENUSTIANO CARRANZA</t>
  </si>
  <si>
    <t>11 a 30 personas</t>
  </si>
  <si>
    <t>5 DE MAYO</t>
  </si>
  <si>
    <t>31 a 50 personas</t>
  </si>
  <si>
    <t>UNIDAD HABITACIONAL</t>
  </si>
  <si>
    <t>BENITO JUAREZ</t>
  </si>
  <si>
    <t>FRACCIONAMIENTO</t>
  </si>
  <si>
    <t>LOCALIDAD</t>
  </si>
  <si>
    <t>LEONES</t>
  </si>
  <si>
    <t>AVENIDA LIGA MEXICANA</t>
  </si>
  <si>
    <t>(REFOM)-PE├æUELAS</t>
  </si>
  <si>
    <t>101 a 250 personas</t>
  </si>
  <si>
    <t>51 a 100 personas</t>
  </si>
  <si>
    <t>PROLONGACION</t>
  </si>
  <si>
    <t>CENTRO PONIENTE</t>
  </si>
  <si>
    <t>(ZUFO)- SAN FRANCISCO</t>
  </si>
  <si>
    <t>BOULEVARD</t>
  </si>
  <si>
    <t>BGUILA</t>
  </si>
  <si>
    <t>FAISAN</t>
  </si>
  <si>
    <t>AGUASCALIENTES SUR</t>
  </si>
  <si>
    <t>INSURGENTES</t>
  </si>
  <si>
    <t>ANDADOR DE LAS GAVIOTAS</t>
  </si>
  <si>
    <t>Semifijo</t>
  </si>
  <si>
    <t>POCITOS</t>
  </si>
  <si>
    <t>MORELOS</t>
  </si>
  <si>
    <t>JOSEFA ORTIZ DE DOMINGUEZ</t>
  </si>
  <si>
    <t>MUJERES ILUSTRES</t>
  </si>
  <si>
    <t>HEROE DE NACOZARI NORTE</t>
  </si>
  <si>
    <t>28 DE AGOSTO</t>
  </si>
  <si>
    <t>CENTRO ORIENTE</t>
  </si>
  <si>
    <t>(ZUFO)-ARELLANO</t>
  </si>
  <si>
    <t>NIETO</t>
  </si>
  <si>
    <t>LICENCIADO ADOLFO LOPEZ MATEOS PONIENTE</t>
  </si>
  <si>
    <t>FERROCARRIL</t>
  </si>
  <si>
    <t>MIGUEL RUELAS</t>
  </si>
  <si>
    <t>BENITO DIAZ</t>
  </si>
  <si>
    <t>BENJAMIN DE LA MORA</t>
  </si>
  <si>
    <t>PEATONAL</t>
  </si>
  <si>
    <t>MAR DE GALILEA</t>
  </si>
  <si>
    <t>EUCALIPTO</t>
  </si>
  <si>
    <t>HOMBRES ILUSTRES</t>
  </si>
  <si>
    <t>(ZUFO)-AYUNTAMIENTO</t>
  </si>
  <si>
    <t>CONVENCION DE 1914 SUR</t>
  </si>
  <si>
    <t>CRISTOBAL COLON</t>
  </si>
  <si>
    <t>DOCTOR JESUS DIAZ DE LEON</t>
  </si>
  <si>
    <t>MIGUEL CALDERA</t>
  </si>
  <si>
    <t>JOSE MARIA CHAVEZ</t>
  </si>
  <si>
    <t>JARDEN DEL ESTUDIANTE</t>
  </si>
  <si>
    <t>IGNACIO T. CHAVEZ</t>
  </si>
  <si>
    <t>REPUBLICA DE BELICE</t>
  </si>
  <si>
    <t>HEROE DE NACOZARI SUR</t>
  </si>
  <si>
    <t>(ZUFO)-CENTRO</t>
  </si>
  <si>
    <t>MANUEL GOMEZ MORIN</t>
  </si>
  <si>
    <t>FRANCISCO G. HORNEDO</t>
  </si>
  <si>
    <t>ALAMEDA</t>
  </si>
  <si>
    <t>ARQUITECTO J. REFUGIO REYES</t>
  </si>
  <si>
    <t>DELICIAS</t>
  </si>
  <si>
    <t>SAN ATANASIO</t>
  </si>
  <si>
    <t>HEROICO COLEGIO MILITAR</t>
  </si>
  <si>
    <t>PASEO DE LA CRUZ</t>
  </si>
  <si>
    <t>JUAN DE MONTORO</t>
  </si>
  <si>
    <t>MUNICIPIO DE AGUASCALIENTES</t>
  </si>
  <si>
    <t>COSIO SUR</t>
  </si>
  <si>
    <t>HVROE DE NACOZARI SUR</t>
  </si>
  <si>
    <t>ALLENDE ORIENTE</t>
  </si>
  <si>
    <t>MARIANO MATAMOROS NORTE</t>
  </si>
  <si>
    <t>RIVERO Y GUTIERREZ</t>
  </si>
  <si>
    <t>ARTURO J. PANI</t>
  </si>
  <si>
    <t>GENERAL IGNACIO ALLENDE</t>
  </si>
  <si>
    <t>GALEANA NORTE</t>
  </si>
  <si>
    <t>SANTA ANITA</t>
  </si>
  <si>
    <t>JOSE MANUEL RUIZ DE TEJADA Y OTAL</t>
  </si>
  <si>
    <t>DESIDERIO MACIAS SILVA</t>
  </si>
  <si>
    <t>GUADALUPE PERALTA</t>
  </si>
  <si>
    <t>(ZUFO)-DON PASCUAL ORIENTE</t>
  </si>
  <si>
    <t>JOSE GUERRA PALOS</t>
  </si>
  <si>
    <t>SALUD</t>
  </si>
  <si>
    <t>(ZUFO)-DON PASCUAL PONIENTE</t>
  </si>
  <si>
    <t>POZO BRAVO</t>
  </si>
  <si>
    <t>AGUASCALIENTES ORIENTE</t>
  </si>
  <si>
    <t>BLAS E. ROMO</t>
  </si>
  <si>
    <t>RETORNO</t>
  </si>
  <si>
    <t>(ZUFO)-EL CEDAZO</t>
  </si>
  <si>
    <t>AVENIDA DE LOS PENSADORES</t>
  </si>
  <si>
    <t>AVENIDA DE LOS FUNDADORES</t>
  </si>
  <si>
    <t>MARIANO HIDALGO</t>
  </si>
  <si>
    <t>GENERAL RODOLFO SANCHEZ TABOADA</t>
  </si>
  <si>
    <t>PROLONGACION TABACHIN</t>
  </si>
  <si>
    <t>PASEO OJOCALIENTE</t>
  </si>
  <si>
    <t>(ZUFO)-FERROCARRIL</t>
  </si>
  <si>
    <t>PARRAS</t>
  </si>
  <si>
    <t>TAMARINDO</t>
  </si>
  <si>
    <t>AGUASCALIENTES</t>
  </si>
  <si>
    <t>DIAGONAL ALFIL</t>
  </si>
  <si>
    <t>AVENIDA DEL REY</t>
  </si>
  <si>
    <t>(ZUFO)-OJOCALIENTE</t>
  </si>
  <si>
    <t>AJEDRECISTAS</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</si>
  <si>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</si>
  <si>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</si>
  <si>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</si>
  <si>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</si>
  <si>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</si>
  <si>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</si>
  <si>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</si>
  <si>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</si>
  <si>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</si>
  <si>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</si>
  <si>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</si>
  <si>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</si>
  <si>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CALLEJON</t>
  </si>
  <si>
    <t>MEDELLON</t>
  </si>
  <si>
    <t>AVENIDA DEL PARQUE</t>
  </si>
  <si>
    <t>ANTONIO ACEVEDO E.</t>
  </si>
  <si>
    <t>PEATONAL DEL CODO</t>
  </si>
  <si>
    <t>INSTITUTO CULTURAL DE AGUASCALIENTES</t>
  </si>
  <si>
    <t>PROFESOR ALEJANDRO TOPETE DEL VALLE</t>
  </si>
  <si>
    <t>JOSE REFUGIO VELAZCO</t>
  </si>
  <si>
    <t>GUADALUPE ALVARADO</t>
  </si>
  <si>
    <t>MISION</t>
  </si>
  <si>
    <t>GOBIERNO MUNICIPAL</t>
  </si>
  <si>
    <t>MOSCATEL</t>
  </si>
  <si>
    <t>CALLE DE LA ESTRATEGIA</t>
  </si>
  <si>
    <t>H AYUNTAMIENTO DE AGUASCALIENTES</t>
  </si>
  <si>
    <t>AGUASCALIENTES.GOB.MX/CULTURA</t>
  </si>
  <si>
    <t>UNIVERSIDAD AUTONOMA DE AGUASCALIENTES</t>
  </si>
  <si>
    <t>AGUASCALIENTES.GOB.MX</t>
  </si>
  <si>
    <t>GOBIERNO</t>
  </si>
  <si>
    <t>GOBIERNO DEL ESTADO</t>
  </si>
  <si>
    <t>WWW.UAA.MX</t>
  </si>
  <si>
    <t>AGUSTNN OROLA</t>
  </si>
  <si>
    <t>SALON DE USOS MULTIPLES</t>
  </si>
  <si>
    <t>ACEREROS</t>
  </si>
  <si>
    <t>SALO1N DE USOS M3LTIPLES DE PILAR BLANCO SECTOR 10</t>
  </si>
  <si>
    <t>CENTRO CRECER OLIVARES SANTANA</t>
  </si>
  <si>
    <t>SEDESO</t>
  </si>
  <si>
    <t>TEATRO AGUASCALIENTES DEL IMSS</t>
  </si>
  <si>
    <t>INSTITUTO MEXICANO DE SEGURIDAD SOCIAL</t>
  </si>
  <si>
    <t>JOHAN.HERNANDEZ@IMSS.GOB.MX</t>
  </si>
  <si>
    <t>WWW.FIDTEATROS.COM.MX</t>
  </si>
  <si>
    <t>AUDITORIO MORELOS</t>
  </si>
  <si>
    <t>TEATRO AGUASCALIENTES</t>
  </si>
  <si>
    <t>DEPARTAMENTO DE PRODUCCION TEATRO AGUASCALIENTES</t>
  </si>
  <si>
    <t>TAQUILLAS DEL TEATRO AGUASCALIENTES</t>
  </si>
  <si>
    <t>CENTRO CULTURAL LOS ARQUITOS</t>
  </si>
  <si>
    <t>PLAZA DE LAS TRES CENTURIAS</t>
  </si>
  <si>
    <t>FIDEICOMISO TRES CENTURIAS</t>
  </si>
  <si>
    <t>RAQUEL.SANCHEZ@AGUASCALIENTES.GOB.MX</t>
  </si>
  <si>
    <t>INSTITUTO MUNICIPAL AGUASCALENTENSE PARA LA CULTURA</t>
  </si>
  <si>
    <t>IMAC.PRENSA@GMAIL.COM</t>
  </si>
  <si>
    <t>TALLER ARTESANAL REFUGIO REYES</t>
  </si>
  <si>
    <t>IMAC</t>
  </si>
  <si>
    <t>HOSTAL LA CATRINA</t>
  </si>
  <si>
    <t>TEATRO MORELOS</t>
  </si>
  <si>
    <t>PLAZA DE LA REPEBLICA</t>
  </si>
  <si>
    <t>CASA TERAN</t>
  </si>
  <si>
    <t>SALON DE USOS MULTIPLES DE GUADALUPE PERALTA GaMEZ</t>
  </si>
  <si>
    <t>SALON DE USOS MULTIPLES NAZARIO ORTIZ GARZA</t>
  </si>
  <si>
    <t>GENERAL JOSO REFUGIO VELAZCO</t>
  </si>
  <si>
    <t>INSTITUTO CULTURAL DE AGUASCALIENTES- CASA DEL ADOLESCENTE</t>
  </si>
  <si>
    <t>ICA.CASADELADOLESCENTE@GMAIL.COM</t>
  </si>
  <si>
    <t>SALON DE USOS MULTIPLES MUNICIPAL</t>
  </si>
  <si>
    <t>VELODROMO VICENTENARIO</t>
  </si>
  <si>
    <t>SALON DE USOS MULTIPLES PARRAS</t>
  </si>
  <si>
    <t>SALON DE USOS MULTIPLES LOMAS DEL AJEDREZ</t>
  </si>
  <si>
    <t>RECREACION</t>
  </si>
  <si>
    <t>Promotores del sector privado de espectaculos artisticos, culturales, deportivos y similares que cuentan con instalaciones para presentarlos</t>
  </si>
  <si>
    <t>LA CLASIFICACIÓN DE ELEMENTOS ESTÁ BASADA EN EL SISTEMA NORMATIVO DE EQUIPAMIENTO URBANO DE LA SEDESOL FEDERAL, SUBSISTEMA RECREACIÓN. LA INTEGRACIÓN FUE REALIZADA POR EL IMPLAN CON INFORMACIÓN DEL DIRECTORIO ESTADISTICO NACIONAL DE UNIDADES ECONOMICAS (INEGI)</t>
  </si>
  <si>
    <t>CVE (1-25)</t>
  </si>
  <si>
    <t>EU_TEATRO</t>
  </si>
  <si>
    <t>UBICACIÓN DE TEATROS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</si>
</sst>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00000"/>
    <numFmt numFmtId="165" formatCode="0.0000"/>
  </numFmts>
  <fonts count="10">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7">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vertical="center"/>
    </xf>
    <xf numFmtId="0" fontId="2" fillId="2" borderId="6" xfId="0" applyFont="1" applyFill="1" applyBorder="1" applyAlignment="1">
      <alignment horizontal="center" vertical="center" wrapText="1"/>
    </xf>
    <xf numFmtId="0" fontId="2" fillId="3" borderId="5" xfId="0" applyFont="1" applyFill="1" applyBorder="1" applyAlignment="1">
      <alignment horizontal="left" vertic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alignment horizontal="center" vertical="center" textRotation="0" wrapText="0" indent="0" justifyLastLine="0" shrinkToFit="0" readingOrder="0"/>
    </dxf>
    <dxf>
      <numFmt numFmtId="165" formatCode="0.0000"/>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bottom"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100853</xdr:colOff>
      <xdr:row>0</xdr:row>
      <xdr:rowOff>123265</xdr:rowOff>
    </xdr:from>
    <xdr:to>
      <xdr:col>2</xdr:col>
      <xdr:colOff>5082653</xdr:colOff>
      <xdr:row>1</xdr:row>
      <xdr:rowOff>526678</xdr:rowOff>
    </xdr:to>
    <xdr:grpSp>
      <xdr:nvGrpSpPr>
        <xdr:cNvPr id="3" name="Grupo 2"/>
        <xdr:cNvGrpSpPr/>
      </xdr:nvGrpSpPr>
      <xdr:grpSpPr>
        <a:xfrm>
          <a:off x="246529" y="123265"/>
          <a:ext cx="7088506" cy="1042148"/>
          <a:chOff x="268941" y="179293"/>
          <a:chExt cx="7088506" cy="1042148"/>
        </a:xfrm>
      </xdr:grpSpPr>
      <xdr:pic>
        <xdr:nvPicPr>
          <xdr:cNvPr id="4" name="Imagen 3" descr="D:\DIRECCION INFORMACION ESTRATEGICA\LOGOS\2025\WhatsApp Image 2025-08-12 at 2.08.50 PM.jpe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8941" y="268942"/>
            <a:ext cx="2066925" cy="547370"/>
          </a:xfrm>
          <a:prstGeom prst="rect">
            <a:avLst/>
          </a:prstGeom>
          <a:noFill/>
          <a:ln>
            <a:noFill/>
          </a:ln>
        </xdr:spPr>
      </xdr:pic>
      <xdr:pic>
        <xdr:nvPicPr>
          <xdr:cNvPr id="5" name="Imagen 4" descr="D:\DIRECCION INFORMACION ESTRATEGICA\LOGOS\2025\WhatsApp Image 2025-08-12 at 2.10.00 PM.jpeg"/>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022913" y="179293"/>
            <a:ext cx="3334534" cy="1042148"/>
          </a:xfrm>
          <a:prstGeom prst="rect">
            <a:avLst/>
          </a:prstGeom>
          <a:noFill/>
          <a:ln>
            <a:noFill/>
          </a:ln>
        </xdr:spPr>
      </xdr:pic>
    </xdr:grpSp>
    <xdr:clientData/>
  </xdr:twoCellAnchor>
</xdr:wsDr>
</file>

<file path=xl/tables/table1.xml><?xml version="1.0" encoding="utf-8"?>
<table xmlns="http://schemas.openxmlformats.org/spreadsheetml/2006/main" id="1" name="ABASTO" displayName="ABASTO" ref="A1:AB26" totalsRowShown="0" headerRowDxfId="28">
  <autoFilter ref="A1:AB26"/>
  <tableColumns count="28">
    <tableColumn id="1" name="CVE" dataDxfId="27"/>
    <tableColumn id="2" name="CVE_ACT" dataDxfId="26"/>
    <tableColumn id="3" name="TIPO_ACTIV" dataDxfId="25"/>
    <tableColumn id="4" name="PUB_O_PRIV" dataDxfId="24"/>
    <tableColumn id="5" name="NOMBRE_EST" dataDxfId="23"/>
    <tableColumn id="6" name="NOMBRE_ACT" dataDxfId="22"/>
    <tableColumn id="7" name="RAZ_SOC" dataDxfId="21"/>
    <tableColumn id="8" name="TIP_ASEN" dataDxfId="20"/>
    <tableColumn id="9" name="COD_POST" dataDxfId="19"/>
    <tableColumn id="10" name="TIP_U_EC" dataDxfId="18"/>
    <tableColumn id="11" name="per_ocu" dataDxfId="17"/>
    <tableColumn id="12" name="tipo_vial" dataDxfId="16"/>
    <tableColumn id="13" name="nom_vial" dataDxfId="15"/>
    <tableColumn id="14" name="tipo_v_e_1" dataDxfId="14"/>
    <tableColumn id="15" name="nom_v_e_1" dataDxfId="13"/>
    <tableColumn id="16" name="tipo_v_e_2" dataDxfId="12"/>
    <tableColumn id="17" name="nom_v_e_2" dataDxfId="11"/>
    <tableColumn id="18" name="tipo_v_e_3" dataDxfId="10"/>
    <tableColumn id="19" name="nom_v_e_3" dataDxfId="9"/>
    <tableColumn id="20" name="numero_ext" dataDxfId="8"/>
    <tableColumn id="21" name="telefono" dataDxfId="7"/>
    <tableColumn id="22" name="correoelec" dataDxfId="6"/>
    <tableColumn id="23" name="www" dataDxfId="5"/>
    <tableColumn id="24" name="fecha_alta" dataDxfId="4"/>
    <tableColumn id="25" name="DELEGACION" dataDxfId="3"/>
    <tableColumn id="26" name="ZUFO_REFOM" dataDxfId="2"/>
    <tableColumn id="27" name="X" dataDxfId="1"/>
    <tableColumn id="28"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0"/>
  <sheetViews>
    <sheetView tabSelected="1" view="pageBreakPreview" zoomScale="85" zoomScaleNormal="85" zoomScaleSheetLayoutView="85" workbookViewId="0">
      <selection activeCell="F6" sqref="F6"/>
    </sheetView>
  </sheetViews>
  <sheetFormatPr baseColWidth="10" defaultRowHeight="1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c r="B1" s="33"/>
      <c r="C1" s="33"/>
    </row>
    <row r="2" spans="2:4" ht="50.25" customHeight="1" thickBot="1">
      <c r="B2" s="33"/>
      <c r="C2" s="33"/>
    </row>
    <row r="3" spans="2:4" ht="18.75" thickBot="1">
      <c r="B3" s="34" t="s">
        <v>232</v>
      </c>
      <c r="C3" s="35"/>
    </row>
    <row r="4" spans="2:4">
      <c r="B4" s="8"/>
      <c r="C4" s="8"/>
    </row>
    <row r="5" spans="2:4" ht="15.75">
      <c r="B5" s="36" t="s">
        <v>0</v>
      </c>
      <c r="C5" s="36"/>
      <c r="D5" s="9"/>
    </row>
    <row r="6" spans="2:4">
      <c r="B6" s="10" t="s">
        <v>2</v>
      </c>
      <c r="C6" s="11" t="s">
        <v>231</v>
      </c>
    </row>
    <row r="7" spans="2:4" ht="24.75" customHeight="1">
      <c r="B7" s="10" t="s">
        <v>3</v>
      </c>
      <c r="C7" s="12" t="s">
        <v>1</v>
      </c>
    </row>
    <row r="8" spans="2:4">
      <c r="B8" s="10" t="s">
        <v>4</v>
      </c>
      <c r="C8" s="11" t="s">
        <v>5</v>
      </c>
    </row>
    <row r="9" spans="2:4">
      <c r="B9" s="10" t="s">
        <v>6</v>
      </c>
      <c r="C9" s="11" t="s">
        <v>7</v>
      </c>
    </row>
    <row r="10" spans="2:4">
      <c r="B10" s="10" t="s">
        <v>8</v>
      </c>
      <c r="C10" s="11" t="s">
        <v>162</v>
      </c>
    </row>
    <row r="11" spans="2:4">
      <c r="B11" s="10" t="s">
        <v>9</v>
      </c>
      <c r="C11" s="11" t="s">
        <v>161</v>
      </c>
    </row>
    <row r="12" spans="2:4">
      <c r="B12" s="10" t="s">
        <v>10</v>
      </c>
      <c r="C12" s="11" t="s">
        <v>11</v>
      </c>
    </row>
    <row r="13" spans="2:4" ht="39">
      <c r="B13" s="13" t="s">
        <v>12</v>
      </c>
      <c r="C13" s="12" t="s">
        <v>229</v>
      </c>
    </row>
    <row r="14" spans="2:4">
      <c r="B14" s="8"/>
      <c r="C14" s="8"/>
    </row>
    <row r="15" spans="2:4" ht="16.5" thickBot="1">
      <c r="B15" s="36" t="s">
        <v>13</v>
      </c>
      <c r="C15" s="36"/>
    </row>
    <row r="16" spans="2:4" ht="18">
      <c r="B16" s="14" t="s">
        <v>14</v>
      </c>
      <c r="C16" s="15" t="s">
        <v>15</v>
      </c>
    </row>
    <row r="17" spans="2:12">
      <c r="B17" s="1" t="s">
        <v>16</v>
      </c>
      <c r="C17" s="2" t="s">
        <v>155</v>
      </c>
    </row>
    <row r="18" spans="2:12">
      <c r="B18" s="1" t="s">
        <v>17</v>
      </c>
      <c r="C18" s="3" t="s">
        <v>155</v>
      </c>
      <c r="G18"/>
      <c r="H18"/>
      <c r="I18"/>
      <c r="J18"/>
      <c r="K18"/>
    </row>
    <row r="19" spans="2:12">
      <c r="B19" s="1" t="s">
        <v>18</v>
      </c>
      <c r="C19" s="3" t="str">
        <f>VLOOKUP($C$21,ABASTO[#All],25,FALSE)</f>
        <v>MUJERES ILUSTRES</v>
      </c>
      <c r="G19" s="23"/>
      <c r="H19" s="23"/>
      <c r="I19" s="24"/>
      <c r="J19" s="24"/>
      <c r="K19" s="25"/>
      <c r="L19" s="16"/>
    </row>
    <row r="20" spans="2:12">
      <c r="B20" s="1" t="s">
        <v>163</v>
      </c>
      <c r="C20" s="3" t="str">
        <f>VLOOKUP($C$21,ABASTO[#All],26,FALSE)</f>
        <v>(ZUFO)-OJOCALIENTE</v>
      </c>
      <c r="G20" s="25"/>
      <c r="H20" s="16"/>
      <c r="I20" s="25"/>
      <c r="J20" s="25"/>
      <c r="K20" s="25"/>
      <c r="L20" s="16"/>
    </row>
    <row r="21" spans="2:12" ht="19.5">
      <c r="B21" s="26" t="s">
        <v>230</v>
      </c>
      <c r="C21" s="27">
        <v>25</v>
      </c>
      <c r="G21" s="25"/>
      <c r="H21" s="25"/>
      <c r="I21" s="25"/>
      <c r="J21" s="25"/>
      <c r="K21" s="25"/>
      <c r="L21" s="16"/>
    </row>
    <row r="22" spans="2:12">
      <c r="B22" s="1" t="s">
        <v>164</v>
      </c>
      <c r="C22" s="21" t="str">
        <f>VLOOKUP($C$21,ABASTO[#All],5,FALSE)</f>
        <v>SALON DE USOS MULTIPLES LOMAS DEL AJEDREZ</v>
      </c>
      <c r="G22"/>
      <c r="H22"/>
      <c r="I22"/>
      <c r="J22"/>
      <c r="K22"/>
    </row>
    <row r="23" spans="2:12" ht="26.25" customHeight="1">
      <c r="B23" s="32" t="s">
        <v>165</v>
      </c>
      <c r="C23" s="31" t="str">
        <f>VLOOKUP($C$21,ABASTO[#All],6,FALSE)</f>
        <v>Promotores del sector privado de espectaculos artisticos, culturales, deportivos y similares que cuentan con instalaciones para presentarlos</v>
      </c>
    </row>
    <row r="24" spans="2:12">
      <c r="B24" s="1" t="s">
        <v>19</v>
      </c>
      <c r="C24" s="21">
        <f>VLOOKUP($C$21,ABASTO[#All],2,FALSE)</f>
        <v>711312</v>
      </c>
    </row>
    <row r="25" spans="2:12">
      <c r="B25" s="5" t="s">
        <v>166</v>
      </c>
      <c r="C25" s="21" t="str">
        <f>VLOOKUP($C$21,ABASTO[#All],4,FALSE)</f>
        <v>PRIVADO</v>
      </c>
    </row>
    <row r="26" spans="2:12">
      <c r="B26" s="1" t="s">
        <v>167</v>
      </c>
      <c r="C26" s="21" t="str">
        <f>VLOOKUP($C$21,ABASTO[#All],11,FALSE)</f>
        <v>6 a 10 personas</v>
      </c>
    </row>
    <row r="27" spans="2:12">
      <c r="B27" s="4" t="s">
        <v>168</v>
      </c>
      <c r="C27" s="21" t="str">
        <f>VLOOKUP($C$21,ABASTO[#All],8,FALSE)</f>
        <v>FRACCIONAMIENTO</v>
      </c>
    </row>
    <row r="28" spans="2:12">
      <c r="B28" s="1" t="s">
        <v>170</v>
      </c>
      <c r="C28" s="21" t="str">
        <f>VLOOKUP($C$21,ABASTO[#All],13,FALSE)</f>
        <v>CALLE DE LA ESTRATEGIA</v>
      </c>
    </row>
    <row r="29" spans="2:12">
      <c r="B29" s="1" t="s">
        <v>169</v>
      </c>
      <c r="C29" s="21" t="str">
        <f>VLOOKUP($C$21,ABASTO[#All],12,FALSE)</f>
        <v>CALLE</v>
      </c>
    </row>
    <row r="30" spans="2:12">
      <c r="B30" s="4" t="s">
        <v>171</v>
      </c>
      <c r="C30" s="21">
        <f>VLOOKUP($C$21,ABASTO[#All],22,FALSE)</f>
        <v>0</v>
      </c>
    </row>
    <row r="31" spans="2:12">
      <c r="B31" s="1" t="s">
        <v>21</v>
      </c>
      <c r="C31" s="21">
        <f>VLOOKUP($C$21,ABASTO[#All],20,FALSE)</f>
        <v>0</v>
      </c>
    </row>
    <row r="32" spans="2:12">
      <c r="B32" s="4" t="s">
        <v>24</v>
      </c>
      <c r="C32" s="21">
        <f>VLOOKUP($C$21,ABASTO[#All],21,FALSE)</f>
        <v>0</v>
      </c>
    </row>
    <row r="33" spans="1:3">
      <c r="B33" s="1" t="s">
        <v>22</v>
      </c>
      <c r="C33" s="21">
        <f>VLOOKUP($C$21,ABASTO[#All],27,FALSE)</f>
        <v>783870.69148799998</v>
      </c>
    </row>
    <row r="34" spans="1:3" ht="15.75" thickBot="1">
      <c r="B34" s="6" t="s">
        <v>23</v>
      </c>
      <c r="C34" s="21">
        <f>VLOOKUP($C$21,ABASTO[#All],28,FALSE)</f>
        <v>2418243.4296599999</v>
      </c>
    </row>
    <row r="37" spans="1:3">
      <c r="A37" s="16"/>
      <c r="B37" s="16"/>
      <c r="C37" s="16"/>
    </row>
    <row r="38" spans="1:3">
      <c r="A38" s="16"/>
      <c r="B38" s="22"/>
      <c r="C38" s="16"/>
    </row>
    <row r="39" spans="1:3">
      <c r="A39" s="16"/>
      <c r="B39" s="16"/>
      <c r="C39" s="16"/>
    </row>
    <row r="40" spans="1:3">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'BASE DE DATOS_TEATRO'!$A$2:$A$26</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6"/>
  <sheetViews>
    <sheetView topLeftCell="A6" zoomScale="85" zoomScaleNormal="85" workbookViewId="0">
      <selection activeCell="A27" sqref="A27:XFD9522"/>
    </sheetView>
  </sheetViews>
  <sheetFormatPr baseColWidth="10" defaultRowHeight="15"/>
  <cols>
    <col min="1" max="1" width="6.42578125" style="17" customWidth="1"/>
    <col min="2" max="2" width="10.5703125" style="17" customWidth="1"/>
    <col min="3" max="3" width="26.140625" style="17"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c r="A1" s="19" t="s">
        <v>160</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c r="A2" s="30">
        <v>1</v>
      </c>
      <c r="B2" s="17">
        <v>711312</v>
      </c>
      <c r="C2" s="17" t="s">
        <v>227</v>
      </c>
      <c r="D2" s="17" t="s">
        <v>52</v>
      </c>
      <c r="E2" s="17" t="s">
        <v>193</v>
      </c>
      <c r="F2" s="17" t="s">
        <v>228</v>
      </c>
      <c r="G2" s="17" t="s">
        <v>190</v>
      </c>
      <c r="H2" s="17" t="s">
        <v>70</v>
      </c>
      <c r="I2" s="17">
        <v>20340</v>
      </c>
      <c r="J2" s="17" t="s">
        <v>54</v>
      </c>
      <c r="K2" s="17" t="s">
        <v>55</v>
      </c>
      <c r="L2" s="17" t="s">
        <v>20</v>
      </c>
      <c r="M2" s="17" t="s">
        <v>71</v>
      </c>
      <c r="N2" s="17" t="s">
        <v>172</v>
      </c>
      <c r="O2" s="17" t="s">
        <v>194</v>
      </c>
      <c r="P2" s="17" t="s">
        <v>20</v>
      </c>
      <c r="Q2" s="17" t="s">
        <v>72</v>
      </c>
      <c r="R2" s="17" t="s">
        <v>172</v>
      </c>
      <c r="S2" s="17" t="s">
        <v>194</v>
      </c>
      <c r="T2" s="17">
        <v>0</v>
      </c>
      <c r="U2" s="18">
        <v>4491411602</v>
      </c>
      <c r="X2" s="17" t="s">
        <v>57</v>
      </c>
      <c r="Y2" s="17" t="s">
        <v>58</v>
      </c>
      <c r="Z2" s="17" t="s">
        <v>73</v>
      </c>
      <c r="AA2" s="18">
        <v>782518.92781699996</v>
      </c>
      <c r="AB2" s="18">
        <v>2407930.6890599998</v>
      </c>
    </row>
    <row r="3" spans="1:28">
      <c r="A3" s="30">
        <v>2</v>
      </c>
      <c r="B3" s="17">
        <v>711312</v>
      </c>
      <c r="C3" s="17" t="s">
        <v>227</v>
      </c>
      <c r="D3" s="17" t="s">
        <v>52</v>
      </c>
      <c r="E3" s="17" t="s">
        <v>195</v>
      </c>
      <c r="F3" s="17" t="s">
        <v>228</v>
      </c>
      <c r="G3" s="17" t="s">
        <v>124</v>
      </c>
      <c r="H3" s="17" t="s">
        <v>62</v>
      </c>
      <c r="I3" s="17">
        <v>20289</v>
      </c>
      <c r="J3" s="17" t="s">
        <v>54</v>
      </c>
      <c r="K3" s="17" t="s">
        <v>59</v>
      </c>
      <c r="L3" s="17" t="s">
        <v>56</v>
      </c>
      <c r="M3" s="17" t="s">
        <v>81</v>
      </c>
      <c r="N3" s="17" t="s">
        <v>79</v>
      </c>
      <c r="O3" s="17" t="s">
        <v>80</v>
      </c>
      <c r="P3" s="17" t="s">
        <v>20</v>
      </c>
      <c r="Q3" s="17" t="s">
        <v>84</v>
      </c>
      <c r="R3" s="17" t="s">
        <v>20</v>
      </c>
      <c r="S3" s="17" t="s">
        <v>84</v>
      </c>
      <c r="T3" s="17">
        <v>0</v>
      </c>
      <c r="U3" s="18">
        <v>0</v>
      </c>
      <c r="X3" s="17" t="s">
        <v>61</v>
      </c>
      <c r="Y3" s="17" t="s">
        <v>83</v>
      </c>
      <c r="Z3" s="17" t="s">
        <v>78</v>
      </c>
      <c r="AA3" s="18">
        <v>779227.09877299995</v>
      </c>
      <c r="AB3" s="18">
        <v>2418535.1201999998</v>
      </c>
    </row>
    <row r="4" spans="1:28">
      <c r="A4" s="30">
        <v>3</v>
      </c>
      <c r="B4" s="17">
        <v>711312</v>
      </c>
      <c r="C4" s="17" t="s">
        <v>227</v>
      </c>
      <c r="D4" s="17" t="s">
        <v>52</v>
      </c>
      <c r="E4" s="17" t="s">
        <v>196</v>
      </c>
      <c r="F4" s="17" t="s">
        <v>228</v>
      </c>
      <c r="G4" s="17" t="s">
        <v>197</v>
      </c>
      <c r="H4" s="17" t="s">
        <v>62</v>
      </c>
      <c r="I4" s="17">
        <v>20010</v>
      </c>
      <c r="J4" s="17" t="s">
        <v>54</v>
      </c>
      <c r="K4" s="17" t="s">
        <v>59</v>
      </c>
      <c r="L4" s="17" t="s">
        <v>20</v>
      </c>
      <c r="M4" s="17" t="s">
        <v>99</v>
      </c>
      <c r="N4" s="17" t="s">
        <v>20</v>
      </c>
      <c r="O4" s="17" t="s">
        <v>101</v>
      </c>
      <c r="P4" s="17" t="s">
        <v>20</v>
      </c>
      <c r="Q4" s="17" t="s">
        <v>98</v>
      </c>
      <c r="R4" s="17" t="s">
        <v>20</v>
      </c>
      <c r="S4" s="17" t="s">
        <v>97</v>
      </c>
      <c r="T4" s="17">
        <v>0</v>
      </c>
      <c r="U4" s="18">
        <v>0</v>
      </c>
      <c r="X4" s="17" t="s">
        <v>57</v>
      </c>
      <c r="Y4" s="17" t="s">
        <v>86</v>
      </c>
      <c r="Z4" s="17" t="s">
        <v>93</v>
      </c>
      <c r="AA4" s="18">
        <v>777319.51464199997</v>
      </c>
      <c r="AB4" s="18">
        <v>2423375.2235699999</v>
      </c>
    </row>
    <row r="5" spans="1:28">
      <c r="A5" s="30">
        <v>4</v>
      </c>
      <c r="B5" s="17">
        <v>711312</v>
      </c>
      <c r="C5" s="17" t="s">
        <v>227</v>
      </c>
      <c r="D5" s="17" t="s">
        <v>52</v>
      </c>
      <c r="E5" s="17" t="s">
        <v>198</v>
      </c>
      <c r="F5" s="17" t="s">
        <v>228</v>
      </c>
      <c r="G5" s="17" t="s">
        <v>199</v>
      </c>
      <c r="H5" s="17" t="s">
        <v>69</v>
      </c>
      <c r="I5" s="17">
        <v>20270</v>
      </c>
      <c r="J5" s="17" t="s">
        <v>54</v>
      </c>
      <c r="K5" s="17" t="s">
        <v>55</v>
      </c>
      <c r="L5" s="17" t="s">
        <v>56</v>
      </c>
      <c r="M5" s="17" t="s">
        <v>105</v>
      </c>
      <c r="N5" s="17" t="s">
        <v>20</v>
      </c>
      <c r="O5" s="17" t="s">
        <v>108</v>
      </c>
      <c r="P5" s="17" t="s">
        <v>79</v>
      </c>
      <c r="Q5" s="17" t="s">
        <v>109</v>
      </c>
      <c r="R5" s="17" t="s">
        <v>20</v>
      </c>
      <c r="S5" s="17" t="s">
        <v>110</v>
      </c>
      <c r="T5" s="17">
        <v>0</v>
      </c>
      <c r="U5" s="18">
        <v>0</v>
      </c>
      <c r="V5" s="17" t="s">
        <v>200</v>
      </c>
      <c r="W5" s="17" t="s">
        <v>201</v>
      </c>
      <c r="X5" s="17" t="s">
        <v>57</v>
      </c>
      <c r="Y5" s="17" t="s">
        <v>92</v>
      </c>
      <c r="Z5" s="17" t="s">
        <v>104</v>
      </c>
      <c r="AA5" s="18">
        <v>779819.89722699998</v>
      </c>
      <c r="AB5" s="18">
        <v>2420423.5082399999</v>
      </c>
    </row>
    <row r="6" spans="1:28">
      <c r="A6" s="30">
        <v>5</v>
      </c>
      <c r="B6" s="17">
        <v>711312</v>
      </c>
      <c r="C6" s="17" t="s">
        <v>227</v>
      </c>
      <c r="D6" s="17" t="s">
        <v>52</v>
      </c>
      <c r="E6" s="17" t="s">
        <v>202</v>
      </c>
      <c r="F6" s="17" t="s">
        <v>228</v>
      </c>
      <c r="G6" s="17" t="s">
        <v>187</v>
      </c>
      <c r="H6" s="17" t="s">
        <v>69</v>
      </c>
      <c r="I6" s="17">
        <v>20230</v>
      </c>
      <c r="J6" s="17" t="s">
        <v>54</v>
      </c>
      <c r="K6" s="17" t="s">
        <v>59</v>
      </c>
      <c r="L6" s="17" t="s">
        <v>56</v>
      </c>
      <c r="M6" s="17" t="s">
        <v>105</v>
      </c>
      <c r="N6" s="17" t="s">
        <v>20</v>
      </c>
      <c r="O6" s="17" t="s">
        <v>112</v>
      </c>
      <c r="P6" s="17" t="s">
        <v>56</v>
      </c>
      <c r="Q6" s="17" t="s">
        <v>111</v>
      </c>
      <c r="R6" s="17" t="s">
        <v>20</v>
      </c>
      <c r="S6" s="17" t="s">
        <v>173</v>
      </c>
      <c r="T6" s="17">
        <v>0</v>
      </c>
      <c r="U6" s="18">
        <v>4499107400</v>
      </c>
      <c r="W6" s="17" t="s">
        <v>191</v>
      </c>
      <c r="X6" s="17" t="s">
        <v>61</v>
      </c>
      <c r="Y6" s="17" t="s">
        <v>77</v>
      </c>
      <c r="Z6" s="17" t="s">
        <v>104</v>
      </c>
      <c r="AA6" s="18">
        <v>778296.69580600003</v>
      </c>
      <c r="AB6" s="18">
        <v>2420629.1587</v>
      </c>
    </row>
    <row r="7" spans="1:28">
      <c r="A7" s="30">
        <v>6</v>
      </c>
      <c r="B7" s="17">
        <v>711312</v>
      </c>
      <c r="C7" s="17" t="s">
        <v>227</v>
      </c>
      <c r="D7" s="17" t="s">
        <v>52</v>
      </c>
      <c r="E7" s="17" t="s">
        <v>203</v>
      </c>
      <c r="F7" s="17" t="s">
        <v>228</v>
      </c>
      <c r="G7" s="17" t="s">
        <v>177</v>
      </c>
      <c r="H7" s="17" t="s">
        <v>69</v>
      </c>
      <c r="I7" s="17">
        <v>20290</v>
      </c>
      <c r="J7" s="17" t="s">
        <v>54</v>
      </c>
      <c r="K7" s="17" t="s">
        <v>64</v>
      </c>
      <c r="L7" s="17" t="s">
        <v>56</v>
      </c>
      <c r="M7" s="17" t="s">
        <v>82</v>
      </c>
      <c r="N7" s="17" t="s">
        <v>56</v>
      </c>
      <c r="O7" s="17" t="s">
        <v>174</v>
      </c>
      <c r="P7" s="17" t="s">
        <v>79</v>
      </c>
      <c r="Q7" s="17" t="s">
        <v>109</v>
      </c>
      <c r="R7" s="17" t="s">
        <v>56</v>
      </c>
      <c r="S7" s="17" t="s">
        <v>174</v>
      </c>
      <c r="T7" s="17">
        <v>0</v>
      </c>
      <c r="U7" s="18">
        <v>4499785557</v>
      </c>
      <c r="X7" s="17" t="s">
        <v>61</v>
      </c>
      <c r="Y7" s="17" t="s">
        <v>89</v>
      </c>
      <c r="Z7" s="17" t="s">
        <v>104</v>
      </c>
      <c r="AA7" s="18">
        <v>779865.940848</v>
      </c>
      <c r="AB7" s="18">
        <v>2419576.34852</v>
      </c>
    </row>
    <row r="8" spans="1:28">
      <c r="A8" s="30">
        <v>7</v>
      </c>
      <c r="B8" s="17">
        <v>711312</v>
      </c>
      <c r="C8" s="17" t="s">
        <v>227</v>
      </c>
      <c r="D8" s="17" t="s">
        <v>52</v>
      </c>
      <c r="E8" s="17" t="s">
        <v>204</v>
      </c>
      <c r="F8" s="17" t="s">
        <v>228</v>
      </c>
      <c r="G8" s="17" t="s">
        <v>177</v>
      </c>
      <c r="H8" s="17" t="s">
        <v>69</v>
      </c>
      <c r="I8" s="17">
        <v>20290</v>
      </c>
      <c r="J8" s="17" t="s">
        <v>54</v>
      </c>
      <c r="K8" s="17" t="s">
        <v>59</v>
      </c>
      <c r="L8" s="17" t="s">
        <v>56</v>
      </c>
      <c r="M8" s="17" t="s">
        <v>82</v>
      </c>
      <c r="N8" s="17" t="s">
        <v>56</v>
      </c>
      <c r="O8" s="17" t="s">
        <v>174</v>
      </c>
      <c r="P8" s="17" t="s">
        <v>79</v>
      </c>
      <c r="Q8" s="17" t="s">
        <v>109</v>
      </c>
      <c r="R8" s="17" t="s">
        <v>56</v>
      </c>
      <c r="S8" s="17" t="s">
        <v>174</v>
      </c>
      <c r="T8" s="17">
        <v>0</v>
      </c>
      <c r="U8" s="18">
        <v>0</v>
      </c>
      <c r="X8" s="17" t="s">
        <v>57</v>
      </c>
      <c r="Y8" s="17" t="s">
        <v>89</v>
      </c>
      <c r="Z8" s="17" t="s">
        <v>104</v>
      </c>
      <c r="AA8" s="18">
        <v>779908.92356599995</v>
      </c>
      <c r="AB8" s="18">
        <v>2419586.4776599999</v>
      </c>
    </row>
    <row r="9" spans="1:28">
      <c r="A9" s="30">
        <v>8</v>
      </c>
      <c r="B9" s="17">
        <v>711312</v>
      </c>
      <c r="C9" s="17" t="s">
        <v>227</v>
      </c>
      <c r="D9" s="17" t="s">
        <v>52</v>
      </c>
      <c r="E9" s="17" t="s">
        <v>205</v>
      </c>
      <c r="F9" s="17" t="s">
        <v>228</v>
      </c>
      <c r="G9" s="17" t="s">
        <v>177</v>
      </c>
      <c r="H9" s="17" t="s">
        <v>69</v>
      </c>
      <c r="I9" s="17">
        <v>20290</v>
      </c>
      <c r="J9" s="17" t="s">
        <v>54</v>
      </c>
      <c r="K9" s="17" t="s">
        <v>55</v>
      </c>
      <c r="L9" s="17" t="s">
        <v>56</v>
      </c>
      <c r="M9" s="17" t="s">
        <v>82</v>
      </c>
      <c r="N9" s="17" t="s">
        <v>56</v>
      </c>
      <c r="O9" s="17" t="s">
        <v>174</v>
      </c>
      <c r="P9" s="17" t="s">
        <v>79</v>
      </c>
      <c r="Q9" s="17" t="s">
        <v>109</v>
      </c>
      <c r="R9" s="17" t="s">
        <v>56</v>
      </c>
      <c r="S9" s="17" t="s">
        <v>174</v>
      </c>
      <c r="T9" s="17">
        <v>0</v>
      </c>
      <c r="U9" s="18">
        <v>0</v>
      </c>
      <c r="X9" s="17" t="s">
        <v>57</v>
      </c>
      <c r="Y9" s="17" t="s">
        <v>89</v>
      </c>
      <c r="Z9" s="17" t="s">
        <v>104</v>
      </c>
      <c r="AA9" s="18">
        <v>779887.71652300004</v>
      </c>
      <c r="AB9" s="18">
        <v>2419581.4801400001</v>
      </c>
    </row>
    <row r="10" spans="1:28">
      <c r="A10" s="30">
        <v>9</v>
      </c>
      <c r="B10" s="17">
        <v>711312</v>
      </c>
      <c r="C10" s="17" t="s">
        <v>227</v>
      </c>
      <c r="D10" s="17" t="s">
        <v>52</v>
      </c>
      <c r="E10" s="17" t="s">
        <v>206</v>
      </c>
      <c r="F10" s="17" t="s">
        <v>228</v>
      </c>
      <c r="G10" s="17" t="s">
        <v>177</v>
      </c>
      <c r="H10" s="17" t="s">
        <v>53</v>
      </c>
      <c r="I10" s="17">
        <v>20259</v>
      </c>
      <c r="J10" s="17" t="s">
        <v>54</v>
      </c>
      <c r="K10" s="17" t="s">
        <v>66</v>
      </c>
      <c r="L10" s="17" t="s">
        <v>56</v>
      </c>
      <c r="M10" s="17" t="s">
        <v>117</v>
      </c>
      <c r="N10" s="17" t="s">
        <v>56</v>
      </c>
      <c r="O10" s="17" t="s">
        <v>90</v>
      </c>
      <c r="P10" s="17" t="s">
        <v>20</v>
      </c>
      <c r="Q10" s="17" t="s">
        <v>91</v>
      </c>
      <c r="R10" s="17" t="s">
        <v>20</v>
      </c>
      <c r="S10" s="17" t="s">
        <v>118</v>
      </c>
      <c r="T10" s="17">
        <v>206</v>
      </c>
      <c r="U10" s="18">
        <v>4499169201</v>
      </c>
      <c r="X10" s="17" t="s">
        <v>61</v>
      </c>
      <c r="Y10" s="17" t="s">
        <v>92</v>
      </c>
      <c r="Z10" s="17" t="s">
        <v>114</v>
      </c>
      <c r="AA10" s="18">
        <v>780855.41255400004</v>
      </c>
      <c r="AB10" s="18">
        <v>2422333.1679199999</v>
      </c>
    </row>
    <row r="11" spans="1:28">
      <c r="A11" s="30">
        <v>10</v>
      </c>
      <c r="B11" s="17">
        <v>711312</v>
      </c>
      <c r="C11" s="17" t="s">
        <v>227</v>
      </c>
      <c r="D11" s="17" t="s">
        <v>52</v>
      </c>
      <c r="E11" s="17" t="s">
        <v>207</v>
      </c>
      <c r="F11" s="17" t="s">
        <v>228</v>
      </c>
      <c r="G11" s="17" t="s">
        <v>208</v>
      </c>
      <c r="H11" s="17" t="s">
        <v>53</v>
      </c>
      <c r="I11" s="17">
        <v>20259</v>
      </c>
      <c r="J11" s="17" t="s">
        <v>54</v>
      </c>
      <c r="K11" s="17" t="s">
        <v>64</v>
      </c>
      <c r="L11" s="17" t="s">
        <v>56</v>
      </c>
      <c r="M11" s="17" t="s">
        <v>117</v>
      </c>
      <c r="N11" s="17" t="s">
        <v>20</v>
      </c>
      <c r="O11" s="17" t="s">
        <v>91</v>
      </c>
      <c r="P11" s="17" t="s">
        <v>56</v>
      </c>
      <c r="Q11" s="17" t="s">
        <v>96</v>
      </c>
      <c r="R11" s="17" t="s">
        <v>56</v>
      </c>
      <c r="S11" s="17" t="s">
        <v>96</v>
      </c>
      <c r="T11" s="17">
        <v>301</v>
      </c>
      <c r="U11" s="18">
        <v>0</v>
      </c>
      <c r="V11" s="17" t="s">
        <v>209</v>
      </c>
      <c r="W11" s="17" t="s">
        <v>188</v>
      </c>
      <c r="X11" s="17" t="s">
        <v>61</v>
      </c>
      <c r="Y11" s="17" t="s">
        <v>92</v>
      </c>
      <c r="Z11" s="17" t="s">
        <v>114</v>
      </c>
      <c r="AA11" s="18">
        <v>781097.48334100004</v>
      </c>
      <c r="AB11" s="18">
        <v>2422385.3759599999</v>
      </c>
    </row>
    <row r="12" spans="1:28">
      <c r="A12" s="30">
        <v>11</v>
      </c>
      <c r="B12" s="17">
        <v>711312</v>
      </c>
      <c r="C12" s="17" t="s">
        <v>227</v>
      </c>
      <c r="D12" s="17" t="s">
        <v>52</v>
      </c>
      <c r="E12" s="17" t="s">
        <v>193</v>
      </c>
      <c r="F12" s="17" t="s">
        <v>228</v>
      </c>
      <c r="G12" s="17" t="s">
        <v>124</v>
      </c>
      <c r="H12" s="17" t="s">
        <v>53</v>
      </c>
      <c r="I12" s="17">
        <v>20240</v>
      </c>
      <c r="J12" s="17" t="s">
        <v>54</v>
      </c>
      <c r="K12" s="17" t="s">
        <v>55</v>
      </c>
      <c r="L12" s="17" t="s">
        <v>20</v>
      </c>
      <c r="M12" s="17" t="s">
        <v>119</v>
      </c>
      <c r="N12" s="17" t="s">
        <v>20</v>
      </c>
      <c r="O12" s="17" t="s">
        <v>120</v>
      </c>
      <c r="P12" s="17" t="s">
        <v>56</v>
      </c>
      <c r="Q12" s="17" t="s">
        <v>113</v>
      </c>
      <c r="R12" s="17" t="s">
        <v>56</v>
      </c>
      <c r="S12" s="17" t="s">
        <v>126</v>
      </c>
      <c r="T12" s="17">
        <v>0</v>
      </c>
      <c r="U12" s="18">
        <v>0</v>
      </c>
      <c r="X12" s="17" t="s">
        <v>61</v>
      </c>
      <c r="Y12" s="17" t="s">
        <v>92</v>
      </c>
      <c r="Z12" s="17" t="s">
        <v>114</v>
      </c>
      <c r="AA12" s="18">
        <v>780767.36181300005</v>
      </c>
      <c r="AB12" s="18">
        <v>2420911.8302199999</v>
      </c>
    </row>
    <row r="13" spans="1:28">
      <c r="A13" s="30">
        <v>12</v>
      </c>
      <c r="B13" s="17">
        <v>711312</v>
      </c>
      <c r="C13" s="17" t="s">
        <v>227</v>
      </c>
      <c r="D13" s="17" t="s">
        <v>52</v>
      </c>
      <c r="E13" s="17" t="s">
        <v>210</v>
      </c>
      <c r="F13" s="17" t="s">
        <v>228</v>
      </c>
      <c r="G13" s="17" t="s">
        <v>185</v>
      </c>
      <c r="H13" s="17" t="s">
        <v>62</v>
      </c>
      <c r="I13" s="17">
        <v>20000</v>
      </c>
      <c r="J13" s="17" t="s">
        <v>54</v>
      </c>
      <c r="K13" s="17" t="s">
        <v>75</v>
      </c>
      <c r="L13" s="17" t="s">
        <v>20</v>
      </c>
      <c r="M13" s="17" t="s">
        <v>175</v>
      </c>
      <c r="N13" s="17" t="s">
        <v>20</v>
      </c>
      <c r="O13" s="17" t="s">
        <v>106</v>
      </c>
      <c r="P13" s="17" t="s">
        <v>20</v>
      </c>
      <c r="Q13" s="17" t="s">
        <v>107</v>
      </c>
      <c r="R13" s="17" t="s">
        <v>20</v>
      </c>
      <c r="S13" s="17" t="s">
        <v>116</v>
      </c>
      <c r="T13" s="17">
        <v>131</v>
      </c>
      <c r="U13" s="18">
        <v>0</v>
      </c>
      <c r="V13" s="17" t="s">
        <v>211</v>
      </c>
      <c r="X13" s="17" t="s">
        <v>61</v>
      </c>
      <c r="Y13" s="17" t="s">
        <v>92</v>
      </c>
      <c r="Z13" s="17" t="s">
        <v>114</v>
      </c>
      <c r="AA13" s="18">
        <v>779543.19817900006</v>
      </c>
      <c r="AB13" s="18">
        <v>2421988.8813</v>
      </c>
    </row>
    <row r="14" spans="1:28">
      <c r="A14" s="30">
        <v>13</v>
      </c>
      <c r="B14" s="17">
        <v>711312</v>
      </c>
      <c r="C14" s="17" t="s">
        <v>227</v>
      </c>
      <c r="D14" s="17" t="s">
        <v>52</v>
      </c>
      <c r="E14" s="17" t="s">
        <v>212</v>
      </c>
      <c r="F14" s="17" t="s">
        <v>228</v>
      </c>
      <c r="G14" s="17" t="s">
        <v>213</v>
      </c>
      <c r="H14" s="17" t="s">
        <v>62</v>
      </c>
      <c r="I14" s="17">
        <v>20000</v>
      </c>
      <c r="J14" s="17" t="s">
        <v>85</v>
      </c>
      <c r="K14" s="17" t="s">
        <v>59</v>
      </c>
      <c r="L14" s="17" t="s">
        <v>20</v>
      </c>
      <c r="M14" s="17" t="s">
        <v>123</v>
      </c>
      <c r="N14" s="17" t="s">
        <v>20</v>
      </c>
      <c r="O14" s="17" t="s">
        <v>88</v>
      </c>
      <c r="P14" s="17" t="s">
        <v>20</v>
      </c>
      <c r="Q14" s="17" t="s">
        <v>125</v>
      </c>
      <c r="R14" s="17" t="s">
        <v>20</v>
      </c>
      <c r="S14" s="17" t="s">
        <v>116</v>
      </c>
      <c r="T14" s="17">
        <v>423</v>
      </c>
      <c r="U14" s="18">
        <v>0</v>
      </c>
      <c r="X14" s="17" t="s">
        <v>57</v>
      </c>
      <c r="Y14" s="17" t="s">
        <v>92</v>
      </c>
      <c r="Z14" s="17" t="s">
        <v>114</v>
      </c>
      <c r="AA14" s="18">
        <v>780080.14114299999</v>
      </c>
      <c r="AB14" s="18">
        <v>2422215.3034799998</v>
      </c>
    </row>
    <row r="15" spans="1:28">
      <c r="A15" s="30">
        <v>14</v>
      </c>
      <c r="B15" s="17">
        <v>711312</v>
      </c>
      <c r="C15" s="17" t="s">
        <v>227</v>
      </c>
      <c r="D15" s="17" t="s">
        <v>52</v>
      </c>
      <c r="E15" s="17" t="s">
        <v>214</v>
      </c>
      <c r="F15" s="17" t="s">
        <v>228</v>
      </c>
      <c r="G15" s="17" t="s">
        <v>177</v>
      </c>
      <c r="H15" s="17" t="s">
        <v>53</v>
      </c>
      <c r="I15" s="17">
        <v>20070</v>
      </c>
      <c r="J15" s="17" t="s">
        <v>54</v>
      </c>
      <c r="K15" s="17" t="s">
        <v>59</v>
      </c>
      <c r="L15" s="17" t="s">
        <v>20</v>
      </c>
      <c r="M15" s="17" t="s">
        <v>178</v>
      </c>
      <c r="N15" s="17" t="s">
        <v>20</v>
      </c>
      <c r="O15" s="17" t="s">
        <v>94</v>
      </c>
      <c r="P15" s="17" t="s">
        <v>56</v>
      </c>
      <c r="Q15" s="17" t="s">
        <v>95</v>
      </c>
      <c r="R15" s="17" t="s">
        <v>100</v>
      </c>
      <c r="S15" s="17" t="s">
        <v>130</v>
      </c>
      <c r="T15" s="17">
        <v>115</v>
      </c>
      <c r="U15" s="18">
        <v>4499169017</v>
      </c>
      <c r="X15" s="17" t="s">
        <v>60</v>
      </c>
      <c r="Y15" s="17" t="s">
        <v>77</v>
      </c>
      <c r="Z15" s="17" t="s">
        <v>114</v>
      </c>
      <c r="AA15" s="18">
        <v>778724.83022400003</v>
      </c>
      <c r="AB15" s="18">
        <v>2421716.9031199999</v>
      </c>
    </row>
    <row r="16" spans="1:28">
      <c r="A16" s="30">
        <v>15</v>
      </c>
      <c r="B16" s="17">
        <v>711312</v>
      </c>
      <c r="C16" s="17" t="s">
        <v>227</v>
      </c>
      <c r="D16" s="17" t="s">
        <v>52</v>
      </c>
      <c r="E16" s="17" t="s">
        <v>215</v>
      </c>
      <c r="F16" s="17" t="s">
        <v>228</v>
      </c>
      <c r="G16" s="17" t="s">
        <v>190</v>
      </c>
      <c r="H16" s="17" t="s">
        <v>62</v>
      </c>
      <c r="I16" s="17">
        <v>20000</v>
      </c>
      <c r="J16" s="17" t="s">
        <v>54</v>
      </c>
      <c r="K16" s="17" t="s">
        <v>59</v>
      </c>
      <c r="L16" s="17" t="s">
        <v>20</v>
      </c>
      <c r="M16" s="17" t="s">
        <v>94</v>
      </c>
      <c r="N16" s="17" t="s">
        <v>20</v>
      </c>
      <c r="O16" s="17" t="s">
        <v>109</v>
      </c>
      <c r="P16" s="17" t="s">
        <v>20</v>
      </c>
      <c r="Q16" s="17" t="s">
        <v>132</v>
      </c>
      <c r="R16" s="17" t="s">
        <v>100</v>
      </c>
      <c r="S16" s="17" t="s">
        <v>216</v>
      </c>
      <c r="T16" s="17">
        <v>0</v>
      </c>
      <c r="U16" s="18">
        <v>4499151941</v>
      </c>
      <c r="W16" s="17" t="s">
        <v>186</v>
      </c>
      <c r="X16" s="17" t="s">
        <v>61</v>
      </c>
      <c r="Y16" s="17" t="s">
        <v>77</v>
      </c>
      <c r="Z16" s="17" t="s">
        <v>114</v>
      </c>
      <c r="AA16" s="18">
        <v>779322.20247899997</v>
      </c>
      <c r="AB16" s="18">
        <v>2421995.39304</v>
      </c>
    </row>
    <row r="17" spans="1:28">
      <c r="A17" s="30">
        <v>16</v>
      </c>
      <c r="B17" s="17">
        <v>711312</v>
      </c>
      <c r="C17" s="17" t="s">
        <v>227</v>
      </c>
      <c r="D17" s="17" t="s">
        <v>52</v>
      </c>
      <c r="E17" s="17" t="s">
        <v>177</v>
      </c>
      <c r="F17" s="17" t="s">
        <v>228</v>
      </c>
      <c r="G17" s="17" t="s">
        <v>189</v>
      </c>
      <c r="H17" s="17" t="s">
        <v>62</v>
      </c>
      <c r="I17" s="17">
        <v>20000</v>
      </c>
      <c r="J17" s="17" t="s">
        <v>54</v>
      </c>
      <c r="K17" s="17" t="s">
        <v>74</v>
      </c>
      <c r="L17" s="17" t="s">
        <v>100</v>
      </c>
      <c r="M17" s="17" t="s">
        <v>63</v>
      </c>
      <c r="N17" s="17" t="s">
        <v>100</v>
      </c>
      <c r="O17" s="17" t="s">
        <v>176</v>
      </c>
      <c r="P17" s="17" t="s">
        <v>20</v>
      </c>
      <c r="Q17" s="17" t="s">
        <v>128</v>
      </c>
      <c r="R17" s="17" t="s">
        <v>20</v>
      </c>
      <c r="S17" s="17" t="s">
        <v>131</v>
      </c>
      <c r="T17" s="17">
        <v>101</v>
      </c>
      <c r="U17" s="18">
        <v>0</v>
      </c>
      <c r="X17" s="17" t="s">
        <v>61</v>
      </c>
      <c r="Y17" s="17" t="s">
        <v>77</v>
      </c>
      <c r="Z17" s="17" t="s">
        <v>114</v>
      </c>
      <c r="AA17" s="18">
        <v>779228.66488000005</v>
      </c>
      <c r="AB17" s="18">
        <v>2422061.40705</v>
      </c>
    </row>
    <row r="18" spans="1:28">
      <c r="A18" s="30">
        <v>17</v>
      </c>
      <c r="B18" s="17">
        <v>711312</v>
      </c>
      <c r="C18" s="17" t="s">
        <v>227</v>
      </c>
      <c r="D18" s="17" t="s">
        <v>52</v>
      </c>
      <c r="E18" s="17" t="s">
        <v>217</v>
      </c>
      <c r="F18" s="17" t="s">
        <v>228</v>
      </c>
      <c r="G18" s="17" t="s">
        <v>177</v>
      </c>
      <c r="H18" s="17" t="s">
        <v>62</v>
      </c>
      <c r="I18" s="17">
        <v>20000</v>
      </c>
      <c r="J18" s="17" t="s">
        <v>54</v>
      </c>
      <c r="K18" s="17" t="s">
        <v>64</v>
      </c>
      <c r="L18" s="17" t="s">
        <v>20</v>
      </c>
      <c r="M18" s="17" t="s">
        <v>129</v>
      </c>
      <c r="N18" s="17" t="s">
        <v>100</v>
      </c>
      <c r="O18" s="17" t="s">
        <v>68</v>
      </c>
      <c r="P18" s="17" t="s">
        <v>20</v>
      </c>
      <c r="Q18" s="17" t="s">
        <v>65</v>
      </c>
      <c r="R18" s="17" t="s">
        <v>100</v>
      </c>
      <c r="S18" s="17" t="s">
        <v>127</v>
      </c>
      <c r="T18" s="17">
        <v>110</v>
      </c>
      <c r="U18" s="18">
        <v>0</v>
      </c>
      <c r="X18" s="17" t="s">
        <v>57</v>
      </c>
      <c r="Y18" s="17" t="s">
        <v>77</v>
      </c>
      <c r="Z18" s="17" t="s">
        <v>114</v>
      </c>
      <c r="AA18" s="18">
        <v>779316.20341399999</v>
      </c>
      <c r="AB18" s="18">
        <v>2422335.9210399999</v>
      </c>
    </row>
    <row r="19" spans="1:28">
      <c r="A19" s="30">
        <v>18</v>
      </c>
      <c r="B19" s="17">
        <v>711312</v>
      </c>
      <c r="C19" s="17" t="s">
        <v>227</v>
      </c>
      <c r="D19" s="17" t="s">
        <v>52</v>
      </c>
      <c r="E19" s="17" t="s">
        <v>218</v>
      </c>
      <c r="F19" s="17" t="s">
        <v>228</v>
      </c>
      <c r="G19" s="17" t="s">
        <v>182</v>
      </c>
      <c r="H19" s="17" t="s">
        <v>69</v>
      </c>
      <c r="I19" s="17">
        <v>20196</v>
      </c>
      <c r="J19" s="17" t="s">
        <v>54</v>
      </c>
      <c r="K19" s="17" t="s">
        <v>64</v>
      </c>
      <c r="L19" s="17" t="s">
        <v>20</v>
      </c>
      <c r="M19" s="17" t="s">
        <v>138</v>
      </c>
      <c r="N19" s="17" t="s">
        <v>20</v>
      </c>
      <c r="O19" s="17" t="s">
        <v>134</v>
      </c>
      <c r="P19" s="17" t="s">
        <v>20</v>
      </c>
      <c r="Q19" s="17" t="s">
        <v>135</v>
      </c>
      <c r="R19" s="17" t="s">
        <v>56</v>
      </c>
      <c r="S19" s="17" t="s">
        <v>139</v>
      </c>
      <c r="T19" s="17">
        <v>0</v>
      </c>
      <c r="U19" s="18">
        <v>0</v>
      </c>
      <c r="X19" s="17" t="s">
        <v>61</v>
      </c>
      <c r="Y19" s="17" t="s">
        <v>136</v>
      </c>
      <c r="Z19" s="17" t="s">
        <v>137</v>
      </c>
      <c r="AA19" s="18">
        <v>785243.77669299999</v>
      </c>
      <c r="AB19" s="18">
        <v>2420974.56121</v>
      </c>
    </row>
    <row r="20" spans="1:28">
      <c r="A20" s="30">
        <v>19</v>
      </c>
      <c r="B20" s="17">
        <v>711312</v>
      </c>
      <c r="C20" s="17" t="s">
        <v>227</v>
      </c>
      <c r="D20" s="17" t="s">
        <v>52</v>
      </c>
      <c r="E20" s="17" t="s">
        <v>219</v>
      </c>
      <c r="F20" s="17" t="s">
        <v>228</v>
      </c>
      <c r="G20" s="17" t="s">
        <v>182</v>
      </c>
      <c r="H20" s="17" t="s">
        <v>69</v>
      </c>
      <c r="I20" s="17">
        <v>20170</v>
      </c>
      <c r="J20" s="17" t="s">
        <v>54</v>
      </c>
      <c r="K20" s="17" t="s">
        <v>55</v>
      </c>
      <c r="L20" s="17" t="s">
        <v>20</v>
      </c>
      <c r="M20" s="17" t="s">
        <v>179</v>
      </c>
      <c r="N20" s="17" t="s">
        <v>20</v>
      </c>
      <c r="O20" s="17" t="s">
        <v>180</v>
      </c>
      <c r="P20" s="17" t="s">
        <v>20</v>
      </c>
      <c r="Q20" s="17" t="s">
        <v>143</v>
      </c>
      <c r="R20" s="17" t="s">
        <v>20</v>
      </c>
      <c r="S20" s="17" t="s">
        <v>220</v>
      </c>
      <c r="T20" s="17">
        <v>0</v>
      </c>
      <c r="U20" s="18">
        <v>0</v>
      </c>
      <c r="X20" s="17" t="s">
        <v>61</v>
      </c>
      <c r="Y20" s="17" t="s">
        <v>133</v>
      </c>
      <c r="Z20" s="17" t="s">
        <v>140</v>
      </c>
      <c r="AA20" s="18">
        <v>783186.42595299997</v>
      </c>
      <c r="AB20" s="18">
        <v>2424791.9768400001</v>
      </c>
    </row>
    <row r="21" spans="1:28">
      <c r="A21" s="30">
        <v>20</v>
      </c>
      <c r="B21" s="17">
        <v>711312</v>
      </c>
      <c r="C21" s="17" t="s">
        <v>227</v>
      </c>
      <c r="D21" s="17" t="s">
        <v>52</v>
      </c>
      <c r="E21" s="17" t="s">
        <v>193</v>
      </c>
      <c r="F21" s="17" t="s">
        <v>228</v>
      </c>
      <c r="G21" s="17" t="s">
        <v>190</v>
      </c>
      <c r="H21" s="17" t="s">
        <v>67</v>
      </c>
      <c r="I21" s="17">
        <v>20260</v>
      </c>
      <c r="J21" s="17" t="s">
        <v>54</v>
      </c>
      <c r="K21" s="17" t="s">
        <v>55</v>
      </c>
      <c r="L21" s="17" t="s">
        <v>56</v>
      </c>
      <c r="M21" s="17" t="s">
        <v>103</v>
      </c>
      <c r="N21" s="17" t="s">
        <v>56</v>
      </c>
      <c r="O21" s="17" t="s">
        <v>146</v>
      </c>
      <c r="P21" s="17" t="s">
        <v>56</v>
      </c>
      <c r="Q21" s="17" t="s">
        <v>147</v>
      </c>
      <c r="R21" s="17" t="s">
        <v>144</v>
      </c>
      <c r="S21" s="17" t="s">
        <v>192</v>
      </c>
      <c r="T21" s="17">
        <v>0</v>
      </c>
      <c r="U21" s="18">
        <v>4499161325</v>
      </c>
      <c r="X21" s="17" t="s">
        <v>61</v>
      </c>
      <c r="Y21" s="17" t="s">
        <v>92</v>
      </c>
      <c r="Z21" s="17" t="s">
        <v>145</v>
      </c>
      <c r="AA21" s="18">
        <v>781119.04960899998</v>
      </c>
      <c r="AB21" s="18">
        <v>2420988.4249499999</v>
      </c>
    </row>
    <row r="22" spans="1:28">
      <c r="A22" s="30">
        <v>21</v>
      </c>
      <c r="B22" s="17">
        <v>711312</v>
      </c>
      <c r="C22" s="17" t="s">
        <v>227</v>
      </c>
      <c r="D22" s="17" t="s">
        <v>52</v>
      </c>
      <c r="E22" s="17" t="s">
        <v>221</v>
      </c>
      <c r="F22" s="17" t="s">
        <v>228</v>
      </c>
      <c r="G22" s="17" t="s">
        <v>189</v>
      </c>
      <c r="H22" s="17" t="s">
        <v>69</v>
      </c>
      <c r="I22" s="17">
        <v>20264</v>
      </c>
      <c r="J22" s="17" t="s">
        <v>54</v>
      </c>
      <c r="K22" s="17" t="s">
        <v>64</v>
      </c>
      <c r="L22" s="17" t="s">
        <v>20</v>
      </c>
      <c r="M22" s="17" t="s">
        <v>148</v>
      </c>
      <c r="N22" s="17" t="s">
        <v>20</v>
      </c>
      <c r="O22" s="17" t="s">
        <v>148</v>
      </c>
      <c r="P22" s="17" t="s">
        <v>56</v>
      </c>
      <c r="Q22" s="17" t="s">
        <v>142</v>
      </c>
      <c r="R22" s="17" t="s">
        <v>56</v>
      </c>
      <c r="S22" s="17" t="s">
        <v>151</v>
      </c>
      <c r="T22" s="17">
        <v>0</v>
      </c>
      <c r="U22" s="18">
        <v>0</v>
      </c>
      <c r="V22" s="17" t="s">
        <v>222</v>
      </c>
      <c r="X22" s="17" t="s">
        <v>57</v>
      </c>
      <c r="Y22" s="17" t="s">
        <v>87</v>
      </c>
      <c r="Z22" s="17" t="s">
        <v>145</v>
      </c>
      <c r="AA22" s="18">
        <v>783715.09313399997</v>
      </c>
      <c r="AB22" s="18">
        <v>2420710.07278</v>
      </c>
    </row>
    <row r="23" spans="1:28">
      <c r="A23" s="30">
        <v>22</v>
      </c>
      <c r="B23" s="17">
        <v>711312</v>
      </c>
      <c r="C23" s="17" t="s">
        <v>227</v>
      </c>
      <c r="D23" s="17" t="s">
        <v>52</v>
      </c>
      <c r="E23" s="17" t="s">
        <v>223</v>
      </c>
      <c r="F23" s="17" t="s">
        <v>228</v>
      </c>
      <c r="H23" s="17" t="s">
        <v>69</v>
      </c>
      <c r="I23" s="17">
        <v>20260</v>
      </c>
      <c r="J23" s="17" t="s">
        <v>54</v>
      </c>
      <c r="K23" s="17" t="s">
        <v>64</v>
      </c>
      <c r="L23" s="17" t="s">
        <v>20</v>
      </c>
      <c r="M23" s="17" t="s">
        <v>150</v>
      </c>
      <c r="N23" s="17" t="s">
        <v>56</v>
      </c>
      <c r="O23" s="17" t="s">
        <v>122</v>
      </c>
      <c r="P23" s="17" t="s">
        <v>20</v>
      </c>
      <c r="Q23" s="17" t="s">
        <v>149</v>
      </c>
      <c r="R23" s="17" t="s">
        <v>76</v>
      </c>
      <c r="S23" s="17" t="s">
        <v>102</v>
      </c>
      <c r="T23" s="17">
        <v>107</v>
      </c>
      <c r="U23" s="18">
        <v>0</v>
      </c>
      <c r="X23" s="17" t="s">
        <v>61</v>
      </c>
      <c r="Y23" s="17" t="s">
        <v>87</v>
      </c>
      <c r="Z23" s="17" t="s">
        <v>145</v>
      </c>
      <c r="AA23" s="18">
        <v>781754.98138100002</v>
      </c>
      <c r="AB23" s="18">
        <v>2421292.6625100002</v>
      </c>
    </row>
    <row r="24" spans="1:28">
      <c r="A24" s="30">
        <v>23</v>
      </c>
      <c r="B24" s="17">
        <v>711312</v>
      </c>
      <c r="C24" s="17" t="s">
        <v>227</v>
      </c>
      <c r="D24" s="17" t="s">
        <v>52</v>
      </c>
      <c r="E24" s="17" t="s">
        <v>224</v>
      </c>
      <c r="F24" s="17" t="s">
        <v>228</v>
      </c>
      <c r="G24" s="17" t="s">
        <v>190</v>
      </c>
      <c r="H24" s="17" t="s">
        <v>67</v>
      </c>
      <c r="I24" s="17">
        <v>20160</v>
      </c>
      <c r="J24" s="17" t="s">
        <v>54</v>
      </c>
      <c r="K24" s="17" t="s">
        <v>64</v>
      </c>
      <c r="L24" s="17" t="s">
        <v>56</v>
      </c>
      <c r="M24" s="17" t="s">
        <v>121</v>
      </c>
      <c r="N24" s="17" t="s">
        <v>56</v>
      </c>
      <c r="O24" s="17" t="s">
        <v>115</v>
      </c>
      <c r="P24" s="17" t="s">
        <v>56</v>
      </c>
      <c r="Q24" s="17" t="s">
        <v>121</v>
      </c>
      <c r="R24" s="17" t="s">
        <v>56</v>
      </c>
      <c r="S24" s="17" t="s">
        <v>121</v>
      </c>
      <c r="T24" s="17">
        <v>603</v>
      </c>
      <c r="U24" s="18">
        <v>0</v>
      </c>
      <c r="X24" s="17" t="s">
        <v>60</v>
      </c>
      <c r="Y24" s="17" t="s">
        <v>92</v>
      </c>
      <c r="Z24" s="17" t="s">
        <v>152</v>
      </c>
      <c r="AA24" s="18">
        <v>780693.02975700004</v>
      </c>
      <c r="AB24" s="18">
        <v>2424141.5869499999</v>
      </c>
    </row>
    <row r="25" spans="1:28">
      <c r="A25" s="30">
        <v>24</v>
      </c>
      <c r="B25" s="17">
        <v>711312</v>
      </c>
      <c r="C25" s="17" t="s">
        <v>227</v>
      </c>
      <c r="D25" s="17" t="s">
        <v>52</v>
      </c>
      <c r="E25" s="17" t="s">
        <v>225</v>
      </c>
      <c r="F25" s="17" t="s">
        <v>228</v>
      </c>
      <c r="G25" s="17" t="s">
        <v>124</v>
      </c>
      <c r="H25" s="17" t="s">
        <v>69</v>
      </c>
      <c r="I25" s="17">
        <v>20157</v>
      </c>
      <c r="J25" s="17" t="s">
        <v>54</v>
      </c>
      <c r="K25" s="17" t="s">
        <v>59</v>
      </c>
      <c r="L25" s="17" t="s">
        <v>56</v>
      </c>
      <c r="M25" s="17" t="s">
        <v>183</v>
      </c>
      <c r="N25" s="17" t="s">
        <v>20</v>
      </c>
      <c r="O25" s="17" t="s">
        <v>181</v>
      </c>
      <c r="P25" s="17" t="s">
        <v>20</v>
      </c>
      <c r="Q25" s="17" t="s">
        <v>153</v>
      </c>
      <c r="R25" s="17" t="s">
        <v>20</v>
      </c>
      <c r="S25" s="17" t="s">
        <v>154</v>
      </c>
      <c r="T25" s="17">
        <v>535</v>
      </c>
      <c r="U25" s="18">
        <v>4492595633</v>
      </c>
      <c r="X25" s="17" t="s">
        <v>61</v>
      </c>
      <c r="Y25" s="17" t="s">
        <v>141</v>
      </c>
      <c r="Z25" s="17" t="s">
        <v>152</v>
      </c>
      <c r="AA25" s="18">
        <v>781199.79101100005</v>
      </c>
      <c r="AB25" s="18">
        <v>2425507.96587</v>
      </c>
    </row>
    <row r="26" spans="1:28">
      <c r="A26" s="30">
        <v>25</v>
      </c>
      <c r="B26" s="17">
        <v>711312</v>
      </c>
      <c r="C26" s="17" t="s">
        <v>227</v>
      </c>
      <c r="D26" s="17" t="s">
        <v>52</v>
      </c>
      <c r="E26" s="17" t="s">
        <v>226</v>
      </c>
      <c r="F26" s="17" t="s">
        <v>228</v>
      </c>
      <c r="G26" s="17" t="s">
        <v>182</v>
      </c>
      <c r="H26" s="17" t="s">
        <v>69</v>
      </c>
      <c r="I26" s="17">
        <v>20299</v>
      </c>
      <c r="J26" s="17" t="s">
        <v>54</v>
      </c>
      <c r="K26" s="17" t="s">
        <v>59</v>
      </c>
      <c r="L26" s="17" t="s">
        <v>20</v>
      </c>
      <c r="M26" s="17" t="s">
        <v>184</v>
      </c>
      <c r="N26" s="17" t="s">
        <v>56</v>
      </c>
      <c r="O26" s="17" t="s">
        <v>159</v>
      </c>
      <c r="P26" s="17" t="s">
        <v>20</v>
      </c>
      <c r="Q26" s="17" t="s">
        <v>156</v>
      </c>
      <c r="R26" s="17" t="s">
        <v>56</v>
      </c>
      <c r="S26" s="17" t="s">
        <v>157</v>
      </c>
      <c r="T26" s="17">
        <v>0</v>
      </c>
      <c r="U26" s="18">
        <v>0</v>
      </c>
      <c r="X26" s="17" t="s">
        <v>61</v>
      </c>
      <c r="Y26" s="17" t="s">
        <v>89</v>
      </c>
      <c r="Z26" s="17" t="s">
        <v>158</v>
      </c>
      <c r="AA26" s="18">
        <v>783870.69148799998</v>
      </c>
      <c r="AB26" s="18">
        <v>2418243.4296599999</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24EU_TEATRO</vt:lpstr>
      <vt:lpstr>BASE DE DATOS_TEATRO</vt:lpstr>
      <vt:lpstr>'24EU_TEATRO'!Área_de_impresión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IMPLAN 681026</cp:lastModifiedBy>
  <cp:lastPrinted>2024-06-10T21:24:02Z</cp:lastPrinted>
  <dcterms:created xsi:type="dcterms:W3CDTF">2024-03-04T20:54:05Z</dcterms:created>
  <dcterms:modified xsi:type="dcterms:W3CDTF">2025-08-13T15:23:08Z</dcterms:modified>
</cp:coreProperties>
</file>