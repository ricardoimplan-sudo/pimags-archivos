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Z:\EQUIPAMIENTO URBANO_CLASIFICADO POR DELEGACION, ZUFO,REFOM\24MUSEOS\"/>
    </mc:Choice>
  </mc:AlternateContent>
  <xr:revisionPtr revIDLastSave="0" documentId="13_ncr:1_{743F2AE7-1AD9-451F-B264-B77941847A8D}" xr6:coauthVersionLast="47" xr6:coauthVersionMax="47" xr10:uidLastSave="{00000000-0000-0000-0000-000000000000}"/>
  <bookViews>
    <workbookView xWindow="-21720" yWindow="930" windowWidth="21840" windowHeight="13020" xr2:uid="{00000000-000D-0000-FFFF-FFFF00000000}"/>
  </bookViews>
  <sheets>
    <sheet name="24EU_CULTURA_MUSEO" sheetId="1" r:id="rId1"/>
    <sheet name="BASE DE DATOS_CULTURA_MUSEO" sheetId="2" r:id="rId2"/>
  </sheets>
  <definedNames>
    <definedName name="_xlnm.Print_Area" localSheetId="0">'24EU_CULTURA_MUSEO'!$A$1:$C$35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30" i="1" l="1"/>
  <c r="C29" i="1"/>
  <c r="C28" i="1"/>
  <c r="C27" i="1"/>
  <c r="C26" i="1"/>
  <c r="C25" i="1"/>
  <c r="C24" i="1"/>
  <c r="C23" i="1"/>
  <c r="C22" i="1"/>
  <c r="C31" i="1"/>
  <c r="C32" i="1"/>
  <c r="C34" i="1"/>
  <c r="C33" i="1"/>
  <c r="C20" i="1"/>
  <c r="C19" i="1"/>
</calcChain>
</file>

<file path=xl/sharedStrings.xml><?xml version="1.0" encoding="utf-8"?>
<sst xmlns="http://schemas.openxmlformats.org/spreadsheetml/2006/main" count="231" uniqueCount="132">
  <si>
    <t>FICHA TÉCNICA</t>
  </si>
  <si>
    <t>INSTITUTO MUNICIPAL DE PLANEACIÓN  Y EVALUACIÓN DE AGUASCALIENTES (IMPLAN) 2024</t>
  </si>
  <si>
    <t>NOMBRE DEL ARCHIVO:</t>
  </si>
  <si>
    <t>FUENTE:</t>
  </si>
  <si>
    <t>FORMATO:</t>
  </si>
  <si>
    <t>SHAPE FILE</t>
  </si>
  <si>
    <t>REPRESENACIÓN DE ELEMENTOS:</t>
  </si>
  <si>
    <t>PUNTOS</t>
  </si>
  <si>
    <t>PROYECCIÓN CARTOGRÁFICA:</t>
  </si>
  <si>
    <t>DÁTUM:</t>
  </si>
  <si>
    <t>ÁMBITO TERRITORIAL:</t>
  </si>
  <si>
    <t>MUNICIPAL</t>
  </si>
  <si>
    <t>INFORMACIÓN TÉCNICA:</t>
  </si>
  <si>
    <t>DESCRIPCIÓN DEL CAMPO</t>
  </si>
  <si>
    <t>CAMPO</t>
  </si>
  <si>
    <t>DESCRIPCIÓN</t>
  </si>
  <si>
    <t>ESTADO</t>
  </si>
  <si>
    <t>MUNICIPIO</t>
  </si>
  <si>
    <t>DELEGACIÓN</t>
  </si>
  <si>
    <t>ID_EU</t>
  </si>
  <si>
    <t>CALLE</t>
  </si>
  <si>
    <t>NÚMERO</t>
  </si>
  <si>
    <t>X_COORD</t>
  </si>
  <si>
    <t>Y_COORD</t>
  </si>
  <si>
    <t>TELÉFONO</t>
  </si>
  <si>
    <t>CVE_ACT</t>
  </si>
  <si>
    <t>TIPO_ACTIV</t>
  </si>
  <si>
    <t>PUB_O_PRIV</t>
  </si>
  <si>
    <t>NOMBRE_EST</t>
  </si>
  <si>
    <t>NOMBRE_ACT</t>
  </si>
  <si>
    <t>RAZ_SOC</t>
  </si>
  <si>
    <t>TIP_ASEN</t>
  </si>
  <si>
    <t>COD_POST</t>
  </si>
  <si>
    <t>TIP_U_EC</t>
  </si>
  <si>
    <t>per_ocu</t>
  </si>
  <si>
    <t>tipo_vial</t>
  </si>
  <si>
    <t>nom_vial</t>
  </si>
  <si>
    <t>tipo_v_e_1</t>
  </si>
  <si>
    <t>nom_v_e_1</t>
  </si>
  <si>
    <t>tipo_v_e_2</t>
  </si>
  <si>
    <t>nom_v_e_2</t>
  </si>
  <si>
    <t>tipo_v_e_3</t>
  </si>
  <si>
    <t>nom_v_e_3</t>
  </si>
  <si>
    <t>numero_ext</t>
  </si>
  <si>
    <t>telefono</t>
  </si>
  <si>
    <t>correoelec</t>
  </si>
  <si>
    <t>www</t>
  </si>
  <si>
    <t>fecha_alta</t>
  </si>
  <si>
    <t>DELEGACION</t>
  </si>
  <si>
    <t>ZUFO_REFOM</t>
  </si>
  <si>
    <t>X</t>
  </si>
  <si>
    <t>Y</t>
  </si>
  <si>
    <t>BARRIO</t>
  </si>
  <si>
    <t>Fijo</t>
  </si>
  <si>
    <t>AVENIDA</t>
  </si>
  <si>
    <t>PRIVADA</t>
  </si>
  <si>
    <t>NINGUNO</t>
  </si>
  <si>
    <t>6 a 10 personas</t>
  </si>
  <si>
    <t>JOSE MARIA MORELOS Y PAVON</t>
  </si>
  <si>
    <t>2010-07</t>
  </si>
  <si>
    <t>COLONIA</t>
  </si>
  <si>
    <t>FRANCISCO I. MADERO</t>
  </si>
  <si>
    <t>11 a 30 personas</t>
  </si>
  <si>
    <t>MIGUEL HIDALGO Y COSTILLA</t>
  </si>
  <si>
    <t>31 a 50 personas</t>
  </si>
  <si>
    <t>BENITO JUAREZ</t>
  </si>
  <si>
    <t>2016-10</t>
  </si>
  <si>
    <t>28 DE AGOSTO</t>
  </si>
  <si>
    <t>CENTRO ORIENTE</t>
  </si>
  <si>
    <t>GENERAL IGNACIO ZARAGOZA</t>
  </si>
  <si>
    <t>FERROCARRIL</t>
  </si>
  <si>
    <t>PEATONAL</t>
  </si>
  <si>
    <t>DOCTOR JESUS DIAZ DE LEON</t>
  </si>
  <si>
    <t>JARDIN DEL ENCINO</t>
  </si>
  <si>
    <t>(ZUFO)-CENTRO</t>
  </si>
  <si>
    <t>PEDRO PARGA</t>
  </si>
  <si>
    <t>MANUEL GOMEZ MORIN</t>
  </si>
  <si>
    <t>ALAMEDA</t>
  </si>
  <si>
    <t>HEROICO COLEGIO MILITAR</t>
  </si>
  <si>
    <t>JUAN DE MONTORO</t>
  </si>
  <si>
    <t>LICENCIADO BENITO JUAREZ</t>
  </si>
  <si>
    <t>LICENCIADO FRANCISCO PRIMO VERDAD</t>
  </si>
  <si>
    <t>ALLENDE ORIENTE</t>
  </si>
  <si>
    <t>GENERAL RLVARO OBREGON</t>
  </si>
  <si>
    <t>PRIVADA CATALINA DE AYALA</t>
  </si>
  <si>
    <t>HOSPITALIDAD</t>
  </si>
  <si>
    <t>RIVERO Y GUTIERREZ</t>
  </si>
  <si>
    <t>PROFESORA VICENTA TRUJILLO</t>
  </si>
  <si>
    <t>AGUASCALIENTES</t>
  </si>
  <si>
    <t>CVE</t>
  </si>
  <si>
    <t>WGS_1984</t>
  </si>
  <si>
    <t>UTM ZONA 13 NORTE</t>
  </si>
  <si>
    <t>REFOM_ZUFO</t>
  </si>
  <si>
    <t>NOMBRE ESTABLECIMIENTO</t>
  </si>
  <si>
    <t>TIPO DE ACTIVIDAD</t>
  </si>
  <si>
    <t>SECTOR</t>
  </si>
  <si>
    <t>NUMERO DE EMPLEADOS</t>
  </si>
  <si>
    <t>LUGAR</t>
  </si>
  <si>
    <t>TIPO DE CALLE</t>
  </si>
  <si>
    <t xml:space="preserve">NOMBRE DE CALLE </t>
  </si>
  <si>
    <t>CORREO ELECTRONICO</t>
  </si>
  <si>
    <t>ELISEO TRUJILLO</t>
  </si>
  <si>
    <t>UNILN</t>
  </si>
  <si>
    <t>JOSL MAROA MORELOS Y PAVoN</t>
  </si>
  <si>
    <t>INSTITUTO CULTURAL DE AGUASCALIENTES</t>
  </si>
  <si>
    <t>CULTURA</t>
  </si>
  <si>
    <t>MUSEO FERROCARRILERO DE AGUASCALIENTES</t>
  </si>
  <si>
    <t>MFERROCARRILERO@GMAIL.COM</t>
  </si>
  <si>
    <t>AGUASCALIENTES.GOB.MX/CULTURA</t>
  </si>
  <si>
    <t>MUSEO JOSE GUADALUPE POSADA</t>
  </si>
  <si>
    <t>MUSEOJGPOSADAA@GMAIL.COM</t>
  </si>
  <si>
    <t>MUSEO ESPACIO</t>
  </si>
  <si>
    <t>MUCEOAGS@GMAIL.COM</t>
  </si>
  <si>
    <t>MUSEO NACIONAL DE LA MUERTE</t>
  </si>
  <si>
    <t>UNIVERSIDAD AUTONOMA DE AGUASCALIENTES</t>
  </si>
  <si>
    <t>MUSEONACIONALDELAMUERTE.UA.MX</t>
  </si>
  <si>
    <t>MUSEO DE AGUASCALIENTES</t>
  </si>
  <si>
    <t>MUSEODEAGUASCALIENTES@GMAIL.COM</t>
  </si>
  <si>
    <t>AGUASCALIENTES.GOB.MX</t>
  </si>
  <si>
    <t>GALERIA EL OBRAJE</t>
  </si>
  <si>
    <t>INSTITUTO CULTURAL DEL ESTADO DE AGUASCALIENTES</t>
  </si>
  <si>
    <t>GALERIA DE ARTE EX ESCUELA DE CRISTO</t>
  </si>
  <si>
    <t>MUSEOSYGALERIAS@YAHOO.COM.MX</t>
  </si>
  <si>
    <t>WWW.MUSEOSYGALERIAS.COM</t>
  </si>
  <si>
    <t>MUSEO DE ARTE CONTEMPORANEO</t>
  </si>
  <si>
    <t>MAC8ICA@GMAIL.COM</t>
  </si>
  <si>
    <t>PUBLICO</t>
  </si>
  <si>
    <t>Museos del sector publico</t>
  </si>
  <si>
    <t>LA CLASIFICACIÓN DE ELEMENTOS ESTÁ BASADA EN EL SISTEMA NORMATIVO DE EQUIPAMIENTO URBANO DE LA SEDESOL FEDERAL, SUBSISTEMA CULTURA. LA INTEGRACIÓN FUE REALIZADA POR EL IMPLAN CON INFORMACIÓN DEL DIRECTORIO ESTADISTICO NACIONAL DE UNIDADES ECONOMICAS (INEGI)</t>
  </si>
  <si>
    <t>CVE (1-8)</t>
  </si>
  <si>
    <t>UBICACIÓN DE SITIOS DE MUSEOS</t>
  </si>
  <si>
    <t>EU_ MUSEOS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</si>
</sst>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00000"/>
    <numFmt numFmtId="165" formatCode="0.0000"/>
  </numFmts>
  <fonts count="10" x14ac:knownFonts="1">
    <font>
      <sz val="11"/>
      <color theme="1"/>
      <name val="Calibri"/>
      <family val="2"/>
      <scheme val="minor"/>
    </font>
    <font>
      <b/>
      <sz val="10"/>
      <color theme="1"/>
      <name val="Arial Nova"/>
      <family val="2"/>
    </font>
    <font>
      <sz val="10"/>
      <color theme="1"/>
      <name val="Bahnschrift Light SemiCondensed"/>
      <family val="2"/>
    </font>
    <font>
      <sz val="11"/>
      <color theme="1"/>
      <name val="Bahnschrift Light SemiCondensed"/>
      <family val="2"/>
    </font>
    <font>
      <b/>
      <sz val="10"/>
      <color theme="1"/>
      <name val="Bahnschrift Light SemiCondensed"/>
      <family val="2"/>
    </font>
    <font>
      <b/>
      <sz val="14"/>
      <color theme="1"/>
      <name val="Bahnschrift Light SemiCondensed"/>
      <family val="2"/>
    </font>
    <font>
      <b/>
      <sz val="14"/>
      <name val="Bahnschrift Light SemiCondensed"/>
      <family val="2"/>
    </font>
    <font>
      <b/>
      <sz val="12"/>
      <color theme="1"/>
      <name val="Bahnschrift Light SemiCondensed"/>
      <family val="2"/>
    </font>
    <font>
      <sz val="11"/>
      <color rgb="FFFF0000"/>
      <name val="Calibri"/>
      <family val="2"/>
      <scheme val="minor"/>
    </font>
    <font>
      <b/>
      <sz val="16"/>
      <color theme="1" tint="4.9989318521683403E-2"/>
      <name val="Bahnschrift Light SemiCondensed"/>
      <family val="2"/>
    </font>
  </fonts>
  <fills count="8">
    <fill>
      <patternFill patternType="none"/>
    </fill>
    <fill>
      <patternFill patternType="gray125"/>
    </fill>
    <fill>
      <patternFill patternType="solid">
        <fgColor theme="0"/>
        <bgColor theme="4" tint="0.79998168889431442"/>
      </patternFill>
    </fill>
    <fill>
      <patternFill patternType="solid">
        <fgColor theme="0" tint="-0.14999847407452621"/>
        <bgColor theme="4" tint="0.79998168889431442"/>
      </patternFill>
    </fill>
    <fill>
      <patternFill patternType="solid">
        <fgColor theme="0" tint="-0.34998626667073579"/>
        <bgColor indexed="64"/>
      </patternFill>
    </fill>
    <fill>
      <patternFill patternType="solid">
        <fgColor theme="0" tint="-0.34998626667073579"/>
        <bgColor theme="4"/>
      </patternFill>
    </fill>
    <fill>
      <patternFill patternType="solid">
        <fgColor theme="2" tint="-0.249977111117893"/>
        <bgColor indexed="64"/>
      </patternFill>
    </fill>
    <fill>
      <patternFill patternType="solid">
        <fgColor theme="7" tint="-0.249977111117893"/>
        <bgColor theme="4" tint="0.79998168889431442"/>
      </patternFill>
    </fill>
  </fills>
  <borders count="8">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36">
    <xf numFmtId="0" fontId="0" fillId="0" borderId="0" xfId="0"/>
    <xf numFmtId="0" fontId="2" fillId="0" borderId="5" xfId="0" applyFont="1" applyBorder="1"/>
    <xf numFmtId="0" fontId="2" fillId="0" borderId="6" xfId="0" applyFont="1" applyBorder="1"/>
    <xf numFmtId="0" fontId="2" fillId="2" borderId="6" xfId="0" applyFont="1" applyFill="1" applyBorder="1"/>
    <xf numFmtId="0" fontId="2" fillId="3" borderId="5" xfId="0" applyFont="1" applyFill="1" applyBorder="1"/>
    <xf numFmtId="0" fontId="2" fillId="3" borderId="5" xfId="0" applyFont="1" applyFill="1" applyBorder="1" applyAlignment="1">
      <alignment vertical="center"/>
    </xf>
    <xf numFmtId="0" fontId="2" fillId="3" borderId="7" xfId="0" applyFont="1" applyFill="1" applyBorder="1"/>
    <xf numFmtId="0" fontId="0" fillId="0" borderId="0" xfId="0" applyBorder="1"/>
    <xf numFmtId="0" fontId="3" fillId="0" borderId="0" xfId="0" applyFont="1" applyBorder="1"/>
    <xf numFmtId="0" fontId="1" fillId="0" borderId="0" xfId="0" applyFont="1" applyBorder="1"/>
    <xf numFmtId="0" fontId="4" fillId="0" borderId="0" xfId="0" applyFont="1" applyBorder="1"/>
    <xf numFmtId="0" fontId="2" fillId="0" borderId="0" xfId="0" applyFont="1" applyBorder="1"/>
    <xf numFmtId="0" fontId="2" fillId="0" borderId="0" xfId="0" applyFont="1" applyBorder="1" applyAlignment="1">
      <alignment wrapText="1"/>
    </xf>
    <xf numFmtId="0" fontId="4" fillId="0" borderId="0" xfId="0" applyFont="1" applyBorder="1" applyAlignment="1">
      <alignment vertical="center"/>
    </xf>
    <xf numFmtId="0" fontId="6" fillId="5" borderId="3" xfId="0" applyFont="1" applyFill="1" applyBorder="1" applyAlignment="1">
      <alignment horizontal="center"/>
    </xf>
    <xf numFmtId="0" fontId="6" fillId="5" borderId="4" xfId="0" applyFont="1" applyFill="1" applyBorder="1" applyAlignment="1">
      <alignment horizontal="center"/>
    </xf>
    <xf numFmtId="0" fontId="0" fillId="0" borderId="0" xfId="0" applyFill="1" applyBorder="1"/>
    <xf numFmtId="1" fontId="0" fillId="0" borderId="0" xfId="0" applyNumberFormat="1"/>
    <xf numFmtId="164" fontId="0" fillId="0" borderId="0" xfId="0" applyNumberFormat="1"/>
    <xf numFmtId="1" fontId="0" fillId="6" borderId="0" xfId="0" applyNumberFormat="1" applyFill="1" applyAlignment="1">
      <alignment horizontal="center" vertical="center"/>
    </xf>
    <xf numFmtId="164" fontId="0" fillId="6" borderId="0" xfId="0" applyNumberFormat="1" applyFill="1" applyAlignment="1">
      <alignment horizontal="center" vertical="center"/>
    </xf>
    <xf numFmtId="0" fontId="2" fillId="2" borderId="6" xfId="0" applyFont="1" applyFill="1" applyBorder="1" applyAlignment="1">
      <alignment horizontal="center"/>
    </xf>
    <xf numFmtId="0" fontId="8" fillId="0" borderId="0" xfId="0" applyFont="1" applyFill="1" applyBorder="1"/>
    <xf numFmtId="1" fontId="0" fillId="0" borderId="0" xfId="0" applyNumberFormat="1" applyFill="1" applyAlignment="1">
      <alignment horizontal="center" vertical="center"/>
    </xf>
    <xf numFmtId="164" fontId="0" fillId="0" borderId="0" xfId="0" applyNumberFormat="1" applyFill="1" applyAlignment="1">
      <alignment horizontal="center" vertical="center"/>
    </xf>
    <xf numFmtId="0" fontId="0" fillId="0" borderId="0" xfId="0" applyFill="1"/>
    <xf numFmtId="0" fontId="9" fillId="6" borderId="5" xfId="0" applyFont="1" applyFill="1" applyBorder="1" applyAlignment="1">
      <alignment horizontal="center"/>
    </xf>
    <xf numFmtId="0" fontId="9" fillId="7" borderId="6" xfId="0" applyFont="1" applyFill="1" applyBorder="1" applyAlignment="1">
      <alignment horizontal="center"/>
    </xf>
    <xf numFmtId="165" fontId="0" fillId="6" borderId="0" xfId="0" applyNumberFormat="1" applyFill="1" applyAlignment="1">
      <alignment horizontal="center" vertical="center"/>
    </xf>
    <xf numFmtId="165" fontId="0" fillId="0" borderId="0" xfId="0" applyNumberFormat="1"/>
    <xf numFmtId="1" fontId="0" fillId="0" borderId="0" xfId="0" applyNumberFormat="1" applyAlignment="1">
      <alignment horizontal="center" vertical="center"/>
    </xf>
    <xf numFmtId="165" fontId="0" fillId="0" borderId="0" xfId="0" applyNumberFormat="1" applyAlignment="1">
      <alignment horizontal="center"/>
    </xf>
    <xf numFmtId="0" fontId="0" fillId="0" borderId="0" xfId="0" applyBorder="1" applyAlignment="1">
      <alignment horizontal="center" vertical="center"/>
    </xf>
    <xf numFmtId="0" fontId="5" fillId="4" borderId="1" xfId="0" applyFont="1" applyFill="1" applyBorder="1" applyAlignment="1">
      <alignment horizontal="center"/>
    </xf>
    <xf numFmtId="0" fontId="5" fillId="4" borderId="2" xfId="0" applyFont="1" applyFill="1" applyBorder="1" applyAlignment="1">
      <alignment horizontal="center"/>
    </xf>
    <xf numFmtId="0" fontId="7" fillId="0" borderId="0" xfId="0" applyFont="1" applyBorder="1" applyAlignment="1">
      <alignment horizontal="center"/>
    </xf>
  </cellXfs>
  <cellStyles count="1">
    <cellStyle name="Normal" xfId="0" builtinId="0"/>
  </cellStyles>
  <dxfs count="29">
    <dxf>
      <numFmt numFmtId="165" formatCode="0.0000"/>
      <alignment horizontal="center" vertical="center" textRotation="0" wrapText="0" indent="0" justifyLastLine="0" shrinkToFit="0" readingOrder="0"/>
    </dxf>
    <dxf>
      <numFmt numFmtId="165" formatCode="0.0000"/>
      <alignment horizontal="center" vertical="center" textRotation="0" wrapText="0" indent="0" justifyLastLine="0" shrinkToFit="0" readingOrder="0"/>
    </dxf>
    <dxf>
      <numFmt numFmtId="1" formatCode="0"/>
    </dxf>
    <dxf>
      <numFmt numFmtId="1" formatCode="0"/>
    </dxf>
    <dxf>
      <numFmt numFmtId="1" formatCode="0"/>
    </dxf>
    <dxf>
      <numFmt numFmtId="1" formatCode="0"/>
    </dxf>
    <dxf>
      <numFmt numFmtId="1" formatCode="0"/>
    </dxf>
    <dxf>
      <numFmt numFmtId="164" formatCode="0.00000000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alignment horizontal="center" vertical="center" textRotation="0" wrapText="0" indent="0" justifyLastLine="0" shrinkToFit="0" readingOrder="0"/>
    </dxf>
    <dxf>
      <numFmt numFmtId="1" formatCode="0"/>
      <fill>
        <patternFill patternType="solid">
          <fgColor indexed="64"/>
          <bgColor theme="2" tint="-0.249977111117893"/>
        </patternFill>
      </fill>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499532</xdr:colOff>
      <xdr:row>0</xdr:row>
      <xdr:rowOff>42333</xdr:rowOff>
    </xdr:from>
    <xdr:to>
      <xdr:col>2</xdr:col>
      <xdr:colOff>5006974</xdr:colOff>
      <xdr:row>1</xdr:row>
      <xdr:rowOff>556683</xdr:rowOff>
    </xdr:to>
    <xdr:pic>
      <xdr:nvPicPr>
        <xdr:cNvPr id="2" name="Imagen 1">
          <a:extLst>
            <a:ext uri="{FF2B5EF4-FFF2-40B4-BE49-F238E27FC236}">
              <a16:creationId xmlns:a16="http://schemas.microsoft.com/office/drawing/2014/main" id="{D6CD98E2-AFD0-465A-9679-4C9AFD8BD0F1}"/>
            </a:ext>
          </a:extLst>
        </xdr:cNvPr>
        <xdr:cNvPicPr>
          <a:picLocks noChangeAspect="1"/>
        </xdr:cNvPicPr>
      </xdr:nvPicPr>
      <xdr:blipFill>
        <a:blip xmlns:r="http://schemas.openxmlformats.org/officeDocument/2006/relationships" r:embed="rId1"/>
        <a:stretch>
          <a:fillRect/>
        </a:stretch>
      </xdr:blipFill>
      <xdr:spPr>
        <a:xfrm>
          <a:off x="647699" y="42333"/>
          <a:ext cx="6613525" cy="114935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BASTO" displayName="ABASTO" ref="A1:AB9" totalsRowShown="0" headerRowDxfId="28">
  <autoFilter ref="A1:AB9" xr:uid="{00000000-0009-0000-0100-000001000000}"/>
  <tableColumns count="28">
    <tableColumn id="1" xr3:uid="{00000000-0010-0000-0000-000001000000}" name="CVE" dataDxfId="27"/>
    <tableColumn id="2" xr3:uid="{00000000-0010-0000-0000-000002000000}" name="CVE_ACT" dataDxfId="26"/>
    <tableColumn id="3" xr3:uid="{00000000-0010-0000-0000-000003000000}" name="TIPO_ACTIV" dataDxfId="25"/>
    <tableColumn id="4" xr3:uid="{00000000-0010-0000-0000-000004000000}" name="PUB_O_PRIV" dataDxfId="24"/>
    <tableColumn id="5" xr3:uid="{00000000-0010-0000-0000-000005000000}" name="NOMBRE_EST" dataDxfId="23"/>
    <tableColumn id="6" xr3:uid="{00000000-0010-0000-0000-000006000000}" name="NOMBRE_ACT" dataDxfId="22"/>
    <tableColumn id="7" xr3:uid="{00000000-0010-0000-0000-000007000000}" name="RAZ_SOC" dataDxfId="21"/>
    <tableColumn id="8" xr3:uid="{00000000-0010-0000-0000-000008000000}" name="TIP_ASEN" dataDxfId="20"/>
    <tableColumn id="9" xr3:uid="{00000000-0010-0000-0000-000009000000}" name="COD_POST" dataDxfId="19"/>
    <tableColumn id="10" xr3:uid="{00000000-0010-0000-0000-00000A000000}" name="TIP_U_EC" dataDxfId="18"/>
    <tableColumn id="11" xr3:uid="{00000000-0010-0000-0000-00000B000000}" name="per_ocu" dataDxfId="17"/>
    <tableColumn id="12" xr3:uid="{00000000-0010-0000-0000-00000C000000}" name="tipo_vial" dataDxfId="16"/>
    <tableColumn id="13" xr3:uid="{00000000-0010-0000-0000-00000D000000}" name="nom_vial" dataDxfId="15"/>
    <tableColumn id="14" xr3:uid="{00000000-0010-0000-0000-00000E000000}" name="tipo_v_e_1" dataDxfId="14"/>
    <tableColumn id="15" xr3:uid="{00000000-0010-0000-0000-00000F000000}" name="nom_v_e_1" dataDxfId="13"/>
    <tableColumn id="16" xr3:uid="{00000000-0010-0000-0000-000010000000}" name="tipo_v_e_2" dataDxfId="12"/>
    <tableColumn id="17" xr3:uid="{00000000-0010-0000-0000-000011000000}" name="nom_v_e_2" dataDxfId="11"/>
    <tableColumn id="18" xr3:uid="{00000000-0010-0000-0000-000012000000}" name="tipo_v_e_3" dataDxfId="10"/>
    <tableColumn id="19" xr3:uid="{00000000-0010-0000-0000-000013000000}" name="nom_v_e_3" dataDxfId="9"/>
    <tableColumn id="20" xr3:uid="{00000000-0010-0000-0000-000014000000}" name="numero_ext" dataDxfId="8"/>
    <tableColumn id="21" xr3:uid="{00000000-0010-0000-0000-000015000000}" name="telefono" dataDxfId="7"/>
    <tableColumn id="22" xr3:uid="{00000000-0010-0000-0000-000016000000}" name="correoelec" dataDxfId="6"/>
    <tableColumn id="23" xr3:uid="{00000000-0010-0000-0000-000017000000}" name="www" dataDxfId="5"/>
    <tableColumn id="24" xr3:uid="{00000000-0010-0000-0000-000018000000}" name="fecha_alta" dataDxfId="4"/>
    <tableColumn id="25" xr3:uid="{00000000-0010-0000-0000-000019000000}" name="DELEGACION" dataDxfId="3"/>
    <tableColumn id="26" xr3:uid="{00000000-0010-0000-0000-00001A000000}" name="ZUFO_REFOM" dataDxfId="2"/>
    <tableColumn id="27" xr3:uid="{00000000-0010-0000-0000-00001B000000}" name="X" dataDxfId="1"/>
    <tableColumn id="28" xr3:uid="{00000000-0010-0000-0000-00001C000000}" name="Y" dataDxfId="0"/>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40"/>
  <sheetViews>
    <sheetView tabSelected="1" view="pageBreakPreview" zoomScale="85" zoomScaleNormal="85" zoomScaleSheetLayoutView="85" workbookViewId="0">
      <selection activeCell="C6" sqref="C6"/>
    </sheetView>
  </sheetViews>
  <sheetFormatPr baseColWidth="10" defaultRowHeight="15" x14ac:dyDescent="0.25"/>
  <cols>
    <col min="1" max="1" width="2.140625" style="7" customWidth="1"/>
    <col min="2" max="2" width="31.5703125" style="7" customWidth="1"/>
    <col min="3" max="3" width="81.42578125" style="7" customWidth="1"/>
    <col min="4" max="4" width="2.7109375" style="7" customWidth="1"/>
    <col min="5" max="16384" width="11.42578125" style="7"/>
  </cols>
  <sheetData>
    <row r="1" spans="2:4" ht="50.25" customHeight="1" x14ac:dyDescent="0.25">
      <c r="B1" s="32"/>
      <c r="C1" s="32"/>
    </row>
    <row r="2" spans="2:4" ht="50.25" customHeight="1" thickBot="1" x14ac:dyDescent="0.3">
      <c r="B2" s="32"/>
      <c r="C2" s="32"/>
    </row>
    <row r="3" spans="2:4" ht="18.75" thickBot="1" x14ac:dyDescent="0.3">
      <c r="B3" s="33" t="s">
        <v>130</v>
      </c>
      <c r="C3" s="34"/>
    </row>
    <row r="4" spans="2:4" x14ac:dyDescent="0.25">
      <c r="B4" s="8"/>
      <c r="C4" s="8"/>
    </row>
    <row r="5" spans="2:4" ht="15.75" x14ac:dyDescent="0.25">
      <c r="B5" s="35" t="s">
        <v>0</v>
      </c>
      <c r="C5" s="35"/>
      <c r="D5" s="9"/>
    </row>
    <row r="6" spans="2:4" x14ac:dyDescent="0.25">
      <c r="B6" s="10" t="s">
        <v>2</v>
      </c>
      <c r="C6" s="11" t="s">
        <v>131</v>
      </c>
    </row>
    <row r="7" spans="2:4" ht="24.75" customHeight="1" x14ac:dyDescent="0.25">
      <c r="B7" s="10" t="s">
        <v>3</v>
      </c>
      <c r="C7" s="12" t="s">
        <v>1</v>
      </c>
    </row>
    <row r="8" spans="2:4" x14ac:dyDescent="0.25">
      <c r="B8" s="10" t="s">
        <v>4</v>
      </c>
      <c r="C8" s="11" t="s">
        <v>5</v>
      </c>
    </row>
    <row r="9" spans="2:4" x14ac:dyDescent="0.25">
      <c r="B9" s="10" t="s">
        <v>6</v>
      </c>
      <c r="C9" s="11" t="s">
        <v>7</v>
      </c>
    </row>
    <row r="10" spans="2:4" x14ac:dyDescent="0.25">
      <c r="B10" s="10" t="s">
        <v>8</v>
      </c>
      <c r="C10" s="11" t="s">
        <v>91</v>
      </c>
    </row>
    <row r="11" spans="2:4" x14ac:dyDescent="0.25">
      <c r="B11" s="10" t="s">
        <v>9</v>
      </c>
      <c r="C11" s="11" t="s">
        <v>90</v>
      </c>
    </row>
    <row r="12" spans="2:4" x14ac:dyDescent="0.25">
      <c r="B12" s="10" t="s">
        <v>10</v>
      </c>
      <c r="C12" s="11" t="s">
        <v>11</v>
      </c>
    </row>
    <row r="13" spans="2:4" ht="39" x14ac:dyDescent="0.25">
      <c r="B13" s="13" t="s">
        <v>12</v>
      </c>
      <c r="C13" s="12" t="s">
        <v>128</v>
      </c>
    </row>
    <row r="14" spans="2:4" x14ac:dyDescent="0.25">
      <c r="B14" s="8"/>
      <c r="C14" s="8"/>
    </row>
    <row r="15" spans="2:4" ht="16.5" thickBot="1" x14ac:dyDescent="0.3">
      <c r="B15" s="35" t="s">
        <v>13</v>
      </c>
      <c r="C15" s="35"/>
    </row>
    <row r="16" spans="2:4" ht="18" x14ac:dyDescent="0.25">
      <c r="B16" s="14" t="s">
        <v>14</v>
      </c>
      <c r="C16" s="15" t="s">
        <v>15</v>
      </c>
    </row>
    <row r="17" spans="2:12" x14ac:dyDescent="0.25">
      <c r="B17" s="1" t="s">
        <v>16</v>
      </c>
      <c r="C17" s="2" t="s">
        <v>88</v>
      </c>
    </row>
    <row r="18" spans="2:12" x14ac:dyDescent="0.25">
      <c r="B18" s="1" t="s">
        <v>17</v>
      </c>
      <c r="C18" s="3" t="s">
        <v>88</v>
      </c>
      <c r="G18"/>
      <c r="H18"/>
      <c r="I18"/>
      <c r="J18"/>
      <c r="K18"/>
    </row>
    <row r="19" spans="2:12" x14ac:dyDescent="0.25">
      <c r="B19" s="1" t="s">
        <v>18</v>
      </c>
      <c r="C19" s="3" t="str">
        <f>VLOOKUP($C$21,ABASTO[#All],25,FALSE)</f>
        <v>CENTRO ORIENTE</v>
      </c>
      <c r="G19" s="23"/>
      <c r="H19" s="23"/>
      <c r="I19" s="24"/>
      <c r="J19" s="24"/>
      <c r="K19" s="25"/>
      <c r="L19" s="16"/>
    </row>
    <row r="20" spans="2:12" x14ac:dyDescent="0.25">
      <c r="B20" s="1" t="s">
        <v>92</v>
      </c>
      <c r="C20" s="3" t="str">
        <f>VLOOKUP($C$21,ABASTO[#All],26,FALSE)</f>
        <v>(ZUFO)-CENTRO</v>
      </c>
      <c r="G20" s="25"/>
      <c r="H20" s="16"/>
      <c r="I20" s="25"/>
      <c r="J20" s="25"/>
      <c r="K20" s="25"/>
      <c r="L20" s="16"/>
    </row>
    <row r="21" spans="2:12" ht="19.5" x14ac:dyDescent="0.25">
      <c r="B21" s="26" t="s">
        <v>129</v>
      </c>
      <c r="C21" s="27">
        <v>8</v>
      </c>
      <c r="G21" s="25"/>
      <c r="H21" s="25"/>
      <c r="I21" s="25"/>
      <c r="J21" s="25"/>
      <c r="K21" s="25"/>
      <c r="L21" s="16"/>
    </row>
    <row r="22" spans="2:12" x14ac:dyDescent="0.25">
      <c r="B22" s="1" t="s">
        <v>93</v>
      </c>
      <c r="C22" s="21" t="str">
        <f>VLOOKUP($C$21,ABASTO[#All],5,FALSE)</f>
        <v>MUSEO DE ARTE CONTEMPORANEO</v>
      </c>
      <c r="G22"/>
      <c r="H22"/>
      <c r="I22"/>
      <c r="J22"/>
      <c r="K22"/>
    </row>
    <row r="23" spans="2:12" x14ac:dyDescent="0.25">
      <c r="B23" s="4" t="s">
        <v>94</v>
      </c>
      <c r="C23" s="21" t="str">
        <f>VLOOKUP($C$21,ABASTO[#All],6,FALSE)</f>
        <v>Museos del sector publico</v>
      </c>
    </row>
    <row r="24" spans="2:12" x14ac:dyDescent="0.25">
      <c r="B24" s="1" t="s">
        <v>19</v>
      </c>
      <c r="C24" s="21">
        <f>VLOOKUP($C$21,ABASTO[#All],2,FALSE)</f>
        <v>712112</v>
      </c>
    </row>
    <row r="25" spans="2:12" x14ac:dyDescent="0.25">
      <c r="B25" s="5" t="s">
        <v>95</v>
      </c>
      <c r="C25" s="21" t="str">
        <f>VLOOKUP($C$21,ABASTO[#All],4,FALSE)</f>
        <v>PUBLICO</v>
      </c>
    </row>
    <row r="26" spans="2:12" x14ac:dyDescent="0.25">
      <c r="B26" s="1" t="s">
        <v>96</v>
      </c>
      <c r="C26" s="21" t="str">
        <f>VLOOKUP($C$21,ABASTO[#All],11,FALSE)</f>
        <v>6 a 10 personas</v>
      </c>
    </row>
    <row r="27" spans="2:12" x14ac:dyDescent="0.25">
      <c r="B27" s="4" t="s">
        <v>97</v>
      </c>
      <c r="C27" s="21" t="str">
        <f>VLOOKUP($C$21,ABASTO[#All],8,FALSE)</f>
        <v>COLONIA</v>
      </c>
    </row>
    <row r="28" spans="2:12" x14ac:dyDescent="0.25">
      <c r="B28" s="1" t="s">
        <v>99</v>
      </c>
      <c r="C28" s="21" t="str">
        <f>VLOOKUP($C$21,ABASTO[#All],13,FALSE)</f>
        <v>LICENCIADO FRANCISCO PRIMO VERDAD</v>
      </c>
    </row>
    <row r="29" spans="2:12" x14ac:dyDescent="0.25">
      <c r="B29" s="1" t="s">
        <v>98</v>
      </c>
      <c r="C29" s="21" t="str">
        <f>VLOOKUP($C$21,ABASTO[#All],12,FALSE)</f>
        <v>CALLE</v>
      </c>
    </row>
    <row r="30" spans="2:12" x14ac:dyDescent="0.25">
      <c r="B30" s="4" t="s">
        <v>100</v>
      </c>
      <c r="C30" s="21" t="str">
        <f>VLOOKUP($C$21,ABASTO[#All],22,FALSE)</f>
        <v>MAC8ICA@GMAIL.COM</v>
      </c>
    </row>
    <row r="31" spans="2:12" x14ac:dyDescent="0.25">
      <c r="B31" s="1" t="s">
        <v>21</v>
      </c>
      <c r="C31" s="21">
        <f>VLOOKUP($C$21,ABASTO[#All],20,FALSE)</f>
        <v>0</v>
      </c>
    </row>
    <row r="32" spans="2:12" x14ac:dyDescent="0.25">
      <c r="B32" s="4" t="s">
        <v>24</v>
      </c>
      <c r="C32" s="21">
        <f>VLOOKUP($C$21,ABASTO[#All],21,FALSE)</f>
        <v>4499186901</v>
      </c>
    </row>
    <row r="33" spans="1:3" x14ac:dyDescent="0.25">
      <c r="B33" s="1" t="s">
        <v>22</v>
      </c>
      <c r="C33" s="21">
        <f>VLOOKUP($C$21,ABASTO[#All],27,FALSE)</f>
        <v>779517.75720200001</v>
      </c>
    </row>
    <row r="34" spans="1:3" ht="15.75" thickBot="1" x14ac:dyDescent="0.3">
      <c r="B34" s="6" t="s">
        <v>23</v>
      </c>
      <c r="C34" s="21">
        <f>VLOOKUP($C$21,ABASTO[#All],28,FALSE)</f>
        <v>2422336.5869100001</v>
      </c>
    </row>
    <row r="37" spans="1:3" x14ac:dyDescent="0.25">
      <c r="A37" s="16"/>
      <c r="B37" s="16"/>
      <c r="C37" s="16"/>
    </row>
    <row r="38" spans="1:3" x14ac:dyDescent="0.25">
      <c r="A38" s="16"/>
      <c r="B38" s="22"/>
      <c r="C38" s="16"/>
    </row>
    <row r="39" spans="1:3" x14ac:dyDescent="0.25">
      <c r="A39" s="16"/>
      <c r="B39" s="16"/>
      <c r="C39" s="16"/>
    </row>
    <row r="40" spans="1:3" x14ac:dyDescent="0.25">
      <c r="A40" s="16"/>
      <c r="B40" s="16"/>
      <c r="C40" s="16"/>
    </row>
  </sheetData>
  <dataConsolidate/>
  <mergeCells count="4">
    <mergeCell ref="B1:C2"/>
    <mergeCell ref="B3:C3"/>
    <mergeCell ref="B5:C5"/>
    <mergeCell ref="B15:C15"/>
  </mergeCells>
  <pageMargins left="0.7" right="0.7" top="0.75" bottom="0.75" header="0.3" footer="0.3"/>
  <pageSetup scale="78"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'BASE DE DATOS_CULTURA_MUSEO'!$A$2:$A$9</xm:f>
          </x14:formula1>
          <xm:sqref>C21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9"/>
  <sheetViews>
    <sheetView zoomScale="85" zoomScaleNormal="85" workbookViewId="0">
      <selection activeCell="D20" sqref="D20"/>
    </sheetView>
  </sheetViews>
  <sheetFormatPr baseColWidth="10" defaultRowHeight="15" x14ac:dyDescent="0.25"/>
  <cols>
    <col min="1" max="1" width="6.42578125" style="17" customWidth="1"/>
    <col min="2" max="2" width="10.5703125" style="17" customWidth="1"/>
    <col min="3" max="3" width="17.7109375" style="17" bestFit="1" customWidth="1"/>
    <col min="4" max="4" width="14" style="17" customWidth="1"/>
    <col min="5" max="5" width="64.42578125" style="17" customWidth="1"/>
    <col min="6" max="6" width="60" style="17" customWidth="1"/>
    <col min="7" max="7" width="50.7109375" style="17" customWidth="1"/>
    <col min="8" max="8" width="24.85546875" style="17" bestFit="1" customWidth="1"/>
    <col min="9" max="9" width="12.28515625" style="17" customWidth="1"/>
    <col min="10" max="10" width="11.140625" style="17" customWidth="1"/>
    <col min="11" max="11" width="19.5703125" style="17" bestFit="1" customWidth="1"/>
    <col min="12" max="12" width="19.140625" style="17" bestFit="1" customWidth="1"/>
    <col min="13" max="13" width="66.85546875" style="17" bestFit="1" customWidth="1"/>
    <col min="14" max="14" width="19.140625" style="17" bestFit="1" customWidth="1"/>
    <col min="15" max="15" width="54.85546875" style="17" bestFit="1" customWidth="1"/>
    <col min="16" max="16" width="19.140625" style="17" bestFit="1" customWidth="1"/>
    <col min="17" max="17" width="54.85546875" style="17" bestFit="1" customWidth="1"/>
    <col min="18" max="18" width="19.140625" style="17" bestFit="1" customWidth="1"/>
    <col min="19" max="19" width="54.5703125" style="17" bestFit="1" customWidth="1"/>
    <col min="20" max="20" width="13.28515625" style="17" customWidth="1"/>
    <col min="21" max="21" width="24.140625" style="17" bestFit="1" customWidth="1"/>
    <col min="22" max="22" width="57.42578125" style="17" bestFit="1" customWidth="1"/>
    <col min="23" max="23" width="54.85546875" style="17" bestFit="1" customWidth="1"/>
    <col min="24" max="24" width="12" style="17" customWidth="1"/>
    <col min="25" max="25" width="20.7109375" style="17" bestFit="1" customWidth="1"/>
    <col min="26" max="26" width="30.28515625" style="17" bestFit="1" customWidth="1"/>
    <col min="27" max="27" width="19" style="29" bestFit="1" customWidth="1"/>
    <col min="28" max="28" width="20" style="18" bestFit="1" customWidth="1"/>
  </cols>
  <sheetData>
    <row r="1" spans="1:28" x14ac:dyDescent="0.25">
      <c r="A1" s="19" t="s">
        <v>89</v>
      </c>
      <c r="B1" s="19" t="s">
        <v>25</v>
      </c>
      <c r="C1" s="19" t="s">
        <v>26</v>
      </c>
      <c r="D1" s="19" t="s">
        <v>27</v>
      </c>
      <c r="E1" s="19" t="s">
        <v>28</v>
      </c>
      <c r="F1" s="19" t="s">
        <v>29</v>
      </c>
      <c r="G1" s="19" t="s">
        <v>30</v>
      </c>
      <c r="H1" s="19" t="s">
        <v>31</v>
      </c>
      <c r="I1" s="19" t="s">
        <v>32</v>
      </c>
      <c r="J1" s="19" t="s">
        <v>33</v>
      </c>
      <c r="K1" s="19" t="s">
        <v>34</v>
      </c>
      <c r="L1" s="19" t="s">
        <v>35</v>
      </c>
      <c r="M1" s="19" t="s">
        <v>36</v>
      </c>
      <c r="N1" s="19" t="s">
        <v>37</v>
      </c>
      <c r="O1" s="19" t="s">
        <v>38</v>
      </c>
      <c r="P1" s="19" t="s">
        <v>39</v>
      </c>
      <c r="Q1" s="19" t="s">
        <v>40</v>
      </c>
      <c r="R1" s="19" t="s">
        <v>41</v>
      </c>
      <c r="S1" s="19" t="s">
        <v>42</v>
      </c>
      <c r="T1" s="19" t="s">
        <v>43</v>
      </c>
      <c r="U1" s="19" t="s">
        <v>44</v>
      </c>
      <c r="V1" s="19" t="s">
        <v>45</v>
      </c>
      <c r="W1" s="19" t="s">
        <v>46</v>
      </c>
      <c r="X1" s="19" t="s">
        <v>47</v>
      </c>
      <c r="Y1" s="19" t="s">
        <v>48</v>
      </c>
      <c r="Z1" s="19" t="s">
        <v>49</v>
      </c>
      <c r="AA1" s="28" t="s">
        <v>50</v>
      </c>
      <c r="AB1" s="20" t="s">
        <v>51</v>
      </c>
    </row>
    <row r="2" spans="1:28" x14ac:dyDescent="0.25">
      <c r="A2" s="30">
        <v>1</v>
      </c>
      <c r="B2" s="17">
        <v>712112</v>
      </c>
      <c r="C2" s="17" t="s">
        <v>105</v>
      </c>
      <c r="D2" s="17" t="s">
        <v>126</v>
      </c>
      <c r="E2" s="17" t="s">
        <v>106</v>
      </c>
      <c r="F2" s="17" t="s">
        <v>127</v>
      </c>
      <c r="G2" s="17" t="s">
        <v>104</v>
      </c>
      <c r="H2" s="17" t="s">
        <v>52</v>
      </c>
      <c r="I2" s="17">
        <v>20259</v>
      </c>
      <c r="J2" s="17" t="s">
        <v>53</v>
      </c>
      <c r="K2" s="17" t="s">
        <v>62</v>
      </c>
      <c r="L2" s="17" t="s">
        <v>54</v>
      </c>
      <c r="M2" s="17" t="s">
        <v>77</v>
      </c>
      <c r="N2" s="17" t="s">
        <v>20</v>
      </c>
      <c r="O2" s="17" t="s">
        <v>67</v>
      </c>
      <c r="P2" s="17" t="s">
        <v>54</v>
      </c>
      <c r="Q2" s="17" t="s">
        <v>70</v>
      </c>
      <c r="R2" s="17" t="s">
        <v>20</v>
      </c>
      <c r="S2" s="17" t="s">
        <v>67</v>
      </c>
      <c r="T2" s="17">
        <v>301</v>
      </c>
      <c r="U2" s="18">
        <v>0</v>
      </c>
      <c r="V2" s="17" t="s">
        <v>107</v>
      </c>
      <c r="W2" s="17" t="s">
        <v>108</v>
      </c>
      <c r="X2" s="17" t="s">
        <v>59</v>
      </c>
      <c r="Y2" s="17" t="s">
        <v>68</v>
      </c>
      <c r="Z2" s="17" t="s">
        <v>74</v>
      </c>
      <c r="AA2" s="31">
        <v>781097.48334100004</v>
      </c>
      <c r="AB2" s="31">
        <v>2422385.3759599999</v>
      </c>
    </row>
    <row r="3" spans="1:28" x14ac:dyDescent="0.25">
      <c r="A3" s="30">
        <v>2</v>
      </c>
      <c r="B3" s="17">
        <v>712112</v>
      </c>
      <c r="C3" s="17" t="s">
        <v>105</v>
      </c>
      <c r="D3" s="17" t="s">
        <v>126</v>
      </c>
      <c r="E3" s="17" t="s">
        <v>109</v>
      </c>
      <c r="F3" s="17" t="s">
        <v>127</v>
      </c>
      <c r="G3" s="17" t="s">
        <v>104</v>
      </c>
      <c r="H3" s="17" t="s">
        <v>52</v>
      </c>
      <c r="I3" s="17">
        <v>20240</v>
      </c>
      <c r="J3" s="17" t="s">
        <v>53</v>
      </c>
      <c r="K3" s="17" t="s">
        <v>62</v>
      </c>
      <c r="L3" s="17" t="s">
        <v>71</v>
      </c>
      <c r="M3" s="17" t="s">
        <v>73</v>
      </c>
      <c r="N3" s="17" t="s">
        <v>20</v>
      </c>
      <c r="O3" s="17" t="s">
        <v>101</v>
      </c>
      <c r="P3" s="17" t="s">
        <v>20</v>
      </c>
      <c r="Q3" s="17" t="s">
        <v>72</v>
      </c>
      <c r="R3" s="17" t="s">
        <v>20</v>
      </c>
      <c r="S3" s="17" t="s">
        <v>87</v>
      </c>
      <c r="T3" s="17">
        <v>0</v>
      </c>
      <c r="U3" s="18">
        <v>0</v>
      </c>
      <c r="V3" s="17" t="s">
        <v>110</v>
      </c>
      <c r="X3" s="17" t="s">
        <v>59</v>
      </c>
      <c r="Y3" s="17" t="s">
        <v>68</v>
      </c>
      <c r="Z3" s="17" t="s">
        <v>74</v>
      </c>
      <c r="AA3" s="31">
        <v>779762.65978900006</v>
      </c>
      <c r="AB3" s="31">
        <v>2421483.9660499999</v>
      </c>
    </row>
    <row r="4" spans="1:28" x14ac:dyDescent="0.25">
      <c r="A4" s="30">
        <v>3</v>
      </c>
      <c r="B4" s="17">
        <v>712112</v>
      </c>
      <c r="C4" s="17" t="s">
        <v>105</v>
      </c>
      <c r="D4" s="17" t="s">
        <v>126</v>
      </c>
      <c r="E4" s="17" t="s">
        <v>111</v>
      </c>
      <c r="F4" s="17" t="s">
        <v>127</v>
      </c>
      <c r="G4" s="17" t="s">
        <v>104</v>
      </c>
      <c r="H4" s="17" t="s">
        <v>60</v>
      </c>
      <c r="I4" s="17">
        <v>20180</v>
      </c>
      <c r="J4" s="17" t="s">
        <v>53</v>
      </c>
      <c r="K4" s="17" t="s">
        <v>64</v>
      </c>
      <c r="L4" s="17" t="s">
        <v>54</v>
      </c>
      <c r="M4" s="17" t="s">
        <v>76</v>
      </c>
      <c r="N4" s="17" t="s">
        <v>55</v>
      </c>
      <c r="O4" s="17" t="s">
        <v>56</v>
      </c>
      <c r="P4" s="17" t="s">
        <v>54</v>
      </c>
      <c r="Q4" s="17" t="s">
        <v>78</v>
      </c>
      <c r="R4" s="17" t="s">
        <v>54</v>
      </c>
      <c r="S4" s="17" t="s">
        <v>78</v>
      </c>
      <c r="T4" s="17">
        <v>0</v>
      </c>
      <c r="U4" s="18">
        <v>0</v>
      </c>
      <c r="V4" s="17" t="s">
        <v>112</v>
      </c>
      <c r="X4" s="17" t="s">
        <v>66</v>
      </c>
      <c r="Y4" s="17" t="s">
        <v>68</v>
      </c>
      <c r="Z4" s="17" t="s">
        <v>74</v>
      </c>
      <c r="AA4" s="31">
        <v>780854.31665099994</v>
      </c>
      <c r="AB4" s="31">
        <v>2423055.65123</v>
      </c>
    </row>
    <row r="5" spans="1:28" x14ac:dyDescent="0.25">
      <c r="A5" s="30">
        <v>4</v>
      </c>
      <c r="B5" s="17">
        <v>712112</v>
      </c>
      <c r="C5" s="17" t="s">
        <v>105</v>
      </c>
      <c r="D5" s="17" t="s">
        <v>126</v>
      </c>
      <c r="E5" s="17" t="s">
        <v>113</v>
      </c>
      <c r="F5" s="17" t="s">
        <v>127</v>
      </c>
      <c r="G5" s="17" t="s">
        <v>114</v>
      </c>
      <c r="H5" s="17" t="s">
        <v>60</v>
      </c>
      <c r="I5" s="17">
        <v>20000</v>
      </c>
      <c r="J5" s="17" t="s">
        <v>53</v>
      </c>
      <c r="K5" s="17" t="s">
        <v>57</v>
      </c>
      <c r="L5" s="17" t="s">
        <v>20</v>
      </c>
      <c r="M5" s="17" t="s">
        <v>86</v>
      </c>
      <c r="N5" s="17" t="s">
        <v>20</v>
      </c>
      <c r="O5" s="17" t="s">
        <v>58</v>
      </c>
      <c r="P5" s="17" t="s">
        <v>20</v>
      </c>
      <c r="Q5" s="17" t="s">
        <v>80</v>
      </c>
      <c r="R5" s="17" t="s">
        <v>20</v>
      </c>
      <c r="S5" s="17" t="s">
        <v>102</v>
      </c>
      <c r="T5" s="17">
        <v>0</v>
      </c>
      <c r="U5" s="18">
        <v>0</v>
      </c>
      <c r="W5" s="17" t="s">
        <v>115</v>
      </c>
      <c r="X5" s="17" t="s">
        <v>59</v>
      </c>
      <c r="Y5" s="17" t="s">
        <v>68</v>
      </c>
      <c r="Z5" s="17" t="s">
        <v>74</v>
      </c>
      <c r="AA5" s="31">
        <v>779458.26445000002</v>
      </c>
      <c r="AB5" s="31">
        <v>2422409.0020499998</v>
      </c>
    </row>
    <row r="6" spans="1:28" x14ac:dyDescent="0.25">
      <c r="A6" s="30">
        <v>5</v>
      </c>
      <c r="B6" s="17">
        <v>712112</v>
      </c>
      <c r="C6" s="17" t="s">
        <v>105</v>
      </c>
      <c r="D6" s="17" t="s">
        <v>126</v>
      </c>
      <c r="E6" s="17" t="s">
        <v>116</v>
      </c>
      <c r="F6" s="17" t="s">
        <v>127</v>
      </c>
      <c r="G6" s="17" t="s">
        <v>104</v>
      </c>
      <c r="H6" s="17" t="s">
        <v>60</v>
      </c>
      <c r="I6" s="17">
        <v>20000</v>
      </c>
      <c r="J6" s="17" t="s">
        <v>53</v>
      </c>
      <c r="K6" s="17" t="s">
        <v>62</v>
      </c>
      <c r="L6" s="17" t="s">
        <v>20</v>
      </c>
      <c r="M6" s="17" t="s">
        <v>69</v>
      </c>
      <c r="N6" s="17" t="s">
        <v>20</v>
      </c>
      <c r="O6" s="17" t="s">
        <v>75</v>
      </c>
      <c r="P6" s="17" t="s">
        <v>20</v>
      </c>
      <c r="Q6" s="17" t="s">
        <v>83</v>
      </c>
      <c r="R6" s="17" t="s">
        <v>55</v>
      </c>
      <c r="S6" s="17" t="s">
        <v>84</v>
      </c>
      <c r="T6" s="17">
        <v>505</v>
      </c>
      <c r="U6" s="18">
        <v>0</v>
      </c>
      <c r="V6" s="17" t="s">
        <v>117</v>
      </c>
      <c r="W6" s="17" t="s">
        <v>118</v>
      </c>
      <c r="X6" s="17" t="s">
        <v>59</v>
      </c>
      <c r="Y6" s="17" t="s">
        <v>68</v>
      </c>
      <c r="Z6" s="17" t="s">
        <v>74</v>
      </c>
      <c r="AA6" s="31">
        <v>779866.29291700001</v>
      </c>
      <c r="AB6" s="31">
        <v>2422636.43151</v>
      </c>
    </row>
    <row r="7" spans="1:28" x14ac:dyDescent="0.25">
      <c r="A7" s="30">
        <v>6</v>
      </c>
      <c r="B7" s="17">
        <v>712112</v>
      </c>
      <c r="C7" s="17" t="s">
        <v>105</v>
      </c>
      <c r="D7" s="17" t="s">
        <v>126</v>
      </c>
      <c r="E7" s="17" t="s">
        <v>119</v>
      </c>
      <c r="F7" s="17" t="s">
        <v>127</v>
      </c>
      <c r="G7" s="17" t="s">
        <v>120</v>
      </c>
      <c r="H7" s="17" t="s">
        <v>60</v>
      </c>
      <c r="I7" s="17">
        <v>20000</v>
      </c>
      <c r="J7" s="17" t="s">
        <v>53</v>
      </c>
      <c r="K7" s="17" t="s">
        <v>57</v>
      </c>
      <c r="L7" s="17" t="s">
        <v>20</v>
      </c>
      <c r="M7" s="17" t="s">
        <v>79</v>
      </c>
      <c r="N7" s="17" t="s">
        <v>20</v>
      </c>
      <c r="O7" s="17" t="s">
        <v>58</v>
      </c>
      <c r="P7" s="17" t="s">
        <v>20</v>
      </c>
      <c r="Q7" s="17" t="s">
        <v>63</v>
      </c>
      <c r="R7" s="17" t="s">
        <v>54</v>
      </c>
      <c r="S7" s="17" t="s">
        <v>61</v>
      </c>
      <c r="T7" s="17">
        <v>222</v>
      </c>
      <c r="U7" s="18">
        <v>0</v>
      </c>
      <c r="X7" s="17" t="s">
        <v>59</v>
      </c>
      <c r="Y7" s="17" t="s">
        <v>68</v>
      </c>
      <c r="Z7" s="17" t="s">
        <v>74</v>
      </c>
      <c r="AA7" s="31">
        <v>779671.77110300004</v>
      </c>
      <c r="AB7" s="31">
        <v>2422135.6479400001</v>
      </c>
    </row>
    <row r="8" spans="1:28" x14ac:dyDescent="0.25">
      <c r="A8" s="30">
        <v>7</v>
      </c>
      <c r="B8" s="17">
        <v>712112</v>
      </c>
      <c r="C8" s="17" t="s">
        <v>105</v>
      </c>
      <c r="D8" s="17" t="s">
        <v>126</v>
      </c>
      <c r="E8" s="17" t="s">
        <v>121</v>
      </c>
      <c r="F8" s="17" t="s">
        <v>127</v>
      </c>
      <c r="G8" s="17" t="s">
        <v>104</v>
      </c>
      <c r="H8" s="17" t="s">
        <v>60</v>
      </c>
      <c r="I8" s="17">
        <v>20000</v>
      </c>
      <c r="J8" s="17" t="s">
        <v>53</v>
      </c>
      <c r="K8" s="17" t="s">
        <v>57</v>
      </c>
      <c r="L8" s="17" t="s">
        <v>71</v>
      </c>
      <c r="M8" s="17" t="s">
        <v>65</v>
      </c>
      <c r="N8" s="17" t="s">
        <v>54</v>
      </c>
      <c r="O8" s="17" t="s">
        <v>61</v>
      </c>
      <c r="P8" s="17" t="s">
        <v>71</v>
      </c>
      <c r="Q8" s="17" t="s">
        <v>82</v>
      </c>
      <c r="R8" s="17" t="s">
        <v>20</v>
      </c>
      <c r="S8" s="17" t="s">
        <v>103</v>
      </c>
      <c r="T8" s="17">
        <v>107</v>
      </c>
      <c r="U8" s="18">
        <v>0</v>
      </c>
      <c r="V8" s="17" t="s">
        <v>122</v>
      </c>
      <c r="W8" s="17" t="s">
        <v>123</v>
      </c>
      <c r="X8" s="17" t="s">
        <v>59</v>
      </c>
      <c r="Y8" s="17" t="s">
        <v>68</v>
      </c>
      <c r="Z8" s="17" t="s">
        <v>74</v>
      </c>
      <c r="AA8" s="31">
        <v>779449.11855300004</v>
      </c>
      <c r="AB8" s="31">
        <v>2422168.5197200002</v>
      </c>
    </row>
    <row r="9" spans="1:28" x14ac:dyDescent="0.25">
      <c r="A9" s="30">
        <v>8</v>
      </c>
      <c r="B9" s="17">
        <v>712112</v>
      </c>
      <c r="C9" s="17" t="s">
        <v>105</v>
      </c>
      <c r="D9" s="17" t="s">
        <v>126</v>
      </c>
      <c r="E9" s="17" t="s">
        <v>124</v>
      </c>
      <c r="F9" s="17" t="s">
        <v>127</v>
      </c>
      <c r="G9" s="17" t="s">
        <v>124</v>
      </c>
      <c r="H9" s="17" t="s">
        <v>60</v>
      </c>
      <c r="I9" s="17">
        <v>20000</v>
      </c>
      <c r="J9" s="17" t="s">
        <v>53</v>
      </c>
      <c r="K9" s="17" t="s">
        <v>57</v>
      </c>
      <c r="L9" s="17" t="s">
        <v>20</v>
      </c>
      <c r="M9" s="17" t="s">
        <v>81</v>
      </c>
      <c r="N9" s="17" t="s">
        <v>20</v>
      </c>
      <c r="O9" s="17" t="s">
        <v>58</v>
      </c>
      <c r="P9" s="17" t="s">
        <v>20</v>
      </c>
      <c r="Q9" s="17" t="s">
        <v>63</v>
      </c>
      <c r="R9" s="17" t="s">
        <v>20</v>
      </c>
      <c r="S9" s="17" t="s">
        <v>85</v>
      </c>
      <c r="T9" s="17">
        <v>0</v>
      </c>
      <c r="U9" s="18">
        <v>4499186901</v>
      </c>
      <c r="V9" s="17" t="s">
        <v>125</v>
      </c>
      <c r="X9" s="17" t="s">
        <v>59</v>
      </c>
      <c r="Y9" s="17" t="s">
        <v>68</v>
      </c>
      <c r="Z9" s="17" t="s">
        <v>74</v>
      </c>
      <c r="AA9" s="31">
        <v>779517.75720200001</v>
      </c>
      <c r="AB9" s="31">
        <v>2422336.5869100001</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24EU_CULTURA_MUSEO</vt:lpstr>
      <vt:lpstr>BASE DE DATOS_CULTURA_MUSEO</vt:lpstr>
      <vt:lpstr>'24EU_CULTURA_MUSEO'!Área_de_impresión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 lilia garcia</dc:creator>
  <cp:lastModifiedBy>IMP-118-ALGarciaV</cp:lastModifiedBy>
  <cp:lastPrinted>2024-06-10T21:24:02Z</cp:lastPrinted>
  <dcterms:created xsi:type="dcterms:W3CDTF">2024-03-04T20:54:05Z</dcterms:created>
  <dcterms:modified xsi:type="dcterms:W3CDTF">2024-08-12T17:40:51Z</dcterms:modified>
</cp:coreProperties>
</file>