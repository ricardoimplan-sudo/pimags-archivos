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Z:\EQUIPAMIENTO URBANO_CLASIFICADO POR DELEGACION, ZUFO,REFOM\24GASOLINERIA\"/>
    </mc:Choice>
  </mc:AlternateContent>
  <xr:revisionPtr revIDLastSave="0" documentId="13_ncr:1_{D524CB8C-814E-4165-9E49-206CA4AE2653}" xr6:coauthVersionLast="47" xr6:coauthVersionMax="47" xr10:uidLastSave="{00000000-0000-0000-0000-000000000000}"/>
  <bookViews>
    <workbookView xWindow="-21720" yWindow="930" windowWidth="21840" windowHeight="13020" xr2:uid="{00000000-000D-0000-FFFF-FFFF00000000}"/>
  </bookViews>
  <sheets>
    <sheet name="24EU_SU_GASOLINA" sheetId="1" r:id="rId1"/>
    <sheet name="BASE DE DATOS_SU_GASOLINA" sheetId="2" r:id="rId2"/>
  </sheets>
  <definedNames>
    <definedName name="_xlnm.Print_Area" localSheetId="0">'24EU_SU_GASOLINA'!$A$1:$C$35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1" l="1"/>
  <c r="C29" i="1"/>
  <c r="C28" i="1"/>
  <c r="C27" i="1"/>
  <c r="C26" i="1"/>
  <c r="C25" i="1"/>
  <c r="C24" i="1"/>
  <c r="C23" i="1"/>
  <c r="C22" i="1"/>
  <c r="C31" i="1"/>
  <c r="C32" i="1"/>
  <c r="C34" i="1"/>
  <c r="C33" i="1"/>
  <c r="C20" i="1"/>
  <c r="C19" i="1"/>
</calcChain>
</file>

<file path=xl/sharedStrings.xml><?xml version="1.0" encoding="utf-8"?>
<sst xmlns="http://schemas.openxmlformats.org/spreadsheetml/2006/main" count="2194" uniqueCount="646">
  <si>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</si>
  <si>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</si>
  <si>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</si>
  <si>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</si>
  <si>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</si>
  <si>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</si>
  <si>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</si>
  <si>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</si>
  <si>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</si>
  <si>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</si>
  <si>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</si>
  <si>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</si>
  <si>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</si>
  <si>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</si>
  <si>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</si>
  <si>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</si>
  <si>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</si>
  <si>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</si>
  <si>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</si>
  <si>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</si>
  <si>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</si>
  <si>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</si>
  <si>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</si>
  <si>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</si>
  <si>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</si>
  <si>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</si>
  <si>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</si>
  <si>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</si>
  <si>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</si>
  <si>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</si>
  <si>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</si>
  <si>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</si>
  <si>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</si>
  <si>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</si>
  <si>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</si>
  <si>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</si>
  <si>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</si>
  <si>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</si>
  <si>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</si>
  <si>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</si>
  <si>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</si>
  <si>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</si>
  <si>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</si>
  <si>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</si>
  <si>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</si>
  <si>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</si>
  <si>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</si>
  <si>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</si>
  <si>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</si>
  <si>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</si>
  <si>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</si>
  <si>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</si>
  <si>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</si>
  <si>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</si>
  <si>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</si>
  <si>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</si>
  <si>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</si>
  <si>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PRIVADA</t>
  </si>
  <si>
    <t>NINGUNO</t>
  </si>
  <si>
    <t>2019-11</t>
  </si>
  <si>
    <t>6 a 10 personas</t>
  </si>
  <si>
    <t>2014-12</t>
  </si>
  <si>
    <t>2010-07</t>
  </si>
  <si>
    <t>COLONIA</t>
  </si>
  <si>
    <t>FRANCISCO I. MADERO</t>
  </si>
  <si>
    <t>CEDRO</t>
  </si>
  <si>
    <t>11 a 30 personas</t>
  </si>
  <si>
    <t>16 DE SEPTIEMBRE</t>
  </si>
  <si>
    <t>EJIDO</t>
  </si>
  <si>
    <t>31 a 50 personas</t>
  </si>
  <si>
    <t>OTRO(ESPECIFIQUE)</t>
  </si>
  <si>
    <t>2023-11</t>
  </si>
  <si>
    <t>SIN REFERENCIA</t>
  </si>
  <si>
    <t>MANZANO</t>
  </si>
  <si>
    <t>CIRCUITO</t>
  </si>
  <si>
    <t>FRACCIONAMIENTO</t>
  </si>
  <si>
    <t>INDEPENDENCIA</t>
  </si>
  <si>
    <t>CARRETERA</t>
  </si>
  <si>
    <t>LOCALIDAD</t>
  </si>
  <si>
    <t>2020-04</t>
  </si>
  <si>
    <t>CORREGIDORA</t>
  </si>
  <si>
    <t>20 DE NOVIEMBRE</t>
  </si>
  <si>
    <t>MANZANA 800</t>
  </si>
  <si>
    <t>2016-01</t>
  </si>
  <si>
    <t>PLAN DE AYALA</t>
  </si>
  <si>
    <t>2017-11</t>
  </si>
  <si>
    <t>PARQUE INDUSTRIAL</t>
  </si>
  <si>
    <t>2021-05</t>
  </si>
  <si>
    <t>2020-11</t>
  </si>
  <si>
    <t>Sin Referencia</t>
  </si>
  <si>
    <t>OTRO (ESPECIFIQUE)</t>
  </si>
  <si>
    <t>2017-03</t>
  </si>
  <si>
    <t>JOSE SALAS MARTINEZ</t>
  </si>
  <si>
    <t>CAMINO DE TERRACERIA</t>
  </si>
  <si>
    <t>2019-04</t>
  </si>
  <si>
    <t>2016-10</t>
  </si>
  <si>
    <t>Terreno BaldIo</t>
  </si>
  <si>
    <t>AEROPUERTO</t>
  </si>
  <si>
    <t>LIBRAMIENTO SUR</t>
  </si>
  <si>
    <t>PROLONGACION</t>
  </si>
  <si>
    <t>NEVADO DE COLIMA</t>
  </si>
  <si>
    <t>CENTRO PONIENTE</t>
  </si>
  <si>
    <t>(ZUFO)- SAN FRANCISCO</t>
  </si>
  <si>
    <t>BELISARIO DOMINGUEZ</t>
  </si>
  <si>
    <t>BOULEVARD</t>
  </si>
  <si>
    <t>MAHATMA GANDHI</t>
  </si>
  <si>
    <t>AGUASCALIENTES SUR</t>
  </si>
  <si>
    <t>GENERAL FRANCISCO CARRERA TORRES</t>
  </si>
  <si>
    <t>INSURGENTES</t>
  </si>
  <si>
    <t>SIGLO XXI</t>
  </si>
  <si>
    <t>AVENIDA DE LOS MAESTROS</t>
  </si>
  <si>
    <t>POCITOS</t>
  </si>
  <si>
    <t>MORELOS</t>
  </si>
  <si>
    <t>MARIO MORENO</t>
  </si>
  <si>
    <t>2013-07</t>
  </si>
  <si>
    <t>MUJERES ILUSTRES</t>
  </si>
  <si>
    <t>HACIENDA</t>
  </si>
  <si>
    <t>ABRAHAM GONZHLEZ</t>
  </si>
  <si>
    <t>SAN MARCOS</t>
  </si>
  <si>
    <t>AGUASCALIENTES PONIENTE</t>
  </si>
  <si>
    <t>CENTRO ORIENTE</t>
  </si>
  <si>
    <t>(ZUFO)-ARELLANO</t>
  </si>
  <si>
    <t>HVROE DE NACOZARI NORTE</t>
  </si>
  <si>
    <t>ALFREDO LEWIS</t>
  </si>
  <si>
    <t>GENERAL IGNACIO ZARAGOZA</t>
  </si>
  <si>
    <t>PETROLEOS MEXICANOS</t>
  </si>
  <si>
    <t>VASCO DE GAMA</t>
  </si>
  <si>
    <t>LIMA</t>
  </si>
  <si>
    <t>TORONJA</t>
  </si>
  <si>
    <t>AGLAYA</t>
  </si>
  <si>
    <t>BOULEVARD A ZACATECAS</t>
  </si>
  <si>
    <t>AGUASCALIENTES NORTE</t>
  </si>
  <si>
    <t>CANAL INTERCEPTOR</t>
  </si>
  <si>
    <t>Boulevard a Zacatecas</t>
  </si>
  <si>
    <t>SAN GABRIEL</t>
  </si>
  <si>
    <t>FAJA DE ORO</t>
  </si>
  <si>
    <t>UNIVERSIDAD</t>
  </si>
  <si>
    <t>ASIA</t>
  </si>
  <si>
    <t>ARROYO</t>
  </si>
  <si>
    <t>CELSO BERNAL</t>
  </si>
  <si>
    <t>RAFAEL QUEVEDO</t>
  </si>
  <si>
    <t>(ZUFO)-AYUNTAMIENTO</t>
  </si>
  <si>
    <t>CONVENCI N DE 1914 SUR</t>
  </si>
  <si>
    <t>Ninguno</t>
  </si>
  <si>
    <t>JOSE MARIA CHAVEZ</t>
  </si>
  <si>
    <t>PLATEN</t>
  </si>
  <si>
    <t>CONVENCIAN DE 1914 SUR</t>
  </si>
  <si>
    <t>REPLBLICA DE ARGENTINA</t>
  </si>
  <si>
    <t>QUINTA AVENIDA</t>
  </si>
  <si>
    <t>REPLBLICA DE GUATEMALA</t>
  </si>
  <si>
    <t>LICENCIADO JESNS REYES HEROLES</t>
  </si>
  <si>
    <t>CIUDAD</t>
  </si>
  <si>
    <t>(ZUFO)-CENTRO</t>
  </si>
  <si>
    <t>JULIO D</t>
  </si>
  <si>
    <t>Siglo XXI</t>
  </si>
  <si>
    <t>5 DE FEBRERO</t>
  </si>
  <si>
    <t>DELICIAS</t>
  </si>
  <si>
    <t>LA SALUD</t>
  </si>
  <si>
    <t>2012-06</t>
  </si>
  <si>
    <t>CONSTITUCION</t>
  </si>
  <si>
    <t>HVROE DE NACOZARI SUR</t>
  </si>
  <si>
    <t>LICENCIADO ADOLFO LEPEZ MATEOS PONIENTE</t>
  </si>
  <si>
    <t>MINERVA</t>
  </si>
  <si>
    <t>ZACATECAS</t>
  </si>
  <si>
    <t>SANTA ANITA</t>
  </si>
  <si>
    <t>GUADALUPE PERALTA</t>
  </si>
  <si>
    <t>(ZUFO)-DON PASCUAL ORIENTE</t>
  </si>
  <si>
    <t>POLIDUCTO</t>
  </si>
  <si>
    <t>VISTAS DE ORIENTE</t>
  </si>
  <si>
    <t>BOULEVARD A SAN LUIS POTOSI</t>
  </si>
  <si>
    <t>OJOCALIENTE</t>
  </si>
  <si>
    <t>GUADALUPANO</t>
  </si>
  <si>
    <t>(ZUFO)-DON PASCUAL PONIENTE</t>
  </si>
  <si>
    <t>POZO BRAVO</t>
  </si>
  <si>
    <t>FRIDA KALHO</t>
  </si>
  <si>
    <t>PRESIDENTES</t>
  </si>
  <si>
    <t>COMERCIANTES</t>
  </si>
  <si>
    <t>PROSPERIDAD</t>
  </si>
  <si>
    <t>AGUASCALIENTES ORIENTE</t>
  </si>
  <si>
    <t>VISTA HERMOSA</t>
  </si>
  <si>
    <t>MARIANO ESCOBEDO</t>
  </si>
  <si>
    <t>(ZUFO)-EL CEDAZO</t>
  </si>
  <si>
    <t>CHICHIMECO</t>
  </si>
  <si>
    <t>GARABATO</t>
  </si>
  <si>
    <t>22 de Diciembre</t>
  </si>
  <si>
    <t>Mariano Hidalgo</t>
  </si>
  <si>
    <t>Jefes Insurgentes</t>
  </si>
  <si>
    <t>HEROE INMORTAL</t>
  </si>
  <si>
    <t>PRIMERA CONSTITUCION</t>
  </si>
  <si>
    <t>ALBINO GARCIA</t>
  </si>
  <si>
    <t>30 DE SEPTIEMBRE</t>
  </si>
  <si>
    <t>MAYO DE 1812</t>
  </si>
  <si>
    <t>CAUDILLOS</t>
  </si>
  <si>
    <t>HVROE INMORTAL</t>
  </si>
  <si>
    <t>(ZUFO)-FERROCARRIL</t>
  </si>
  <si>
    <t>Felipe Serrano</t>
  </si>
  <si>
    <t>Villaseca</t>
  </si>
  <si>
    <t>ARIES</t>
  </si>
  <si>
    <t>AGUASCALIENTES</t>
  </si>
  <si>
    <t>GABRIELA MISTRAL</t>
  </si>
  <si>
    <t>(ZUFO)-INDUSTRIAL</t>
  </si>
  <si>
    <t>JUAN CARLOS</t>
  </si>
  <si>
    <t>CARRETERA 45</t>
  </si>
  <si>
    <t>3</t>
  </si>
  <si>
    <t>CAMINO A LOS ARELLANO</t>
  </si>
  <si>
    <t>CIUDAD INDUSTRIAL</t>
  </si>
  <si>
    <t>JESLS RIVERA FRANCO</t>
  </si>
  <si>
    <t>LUIS DONALDO COLOSIO</t>
  </si>
  <si>
    <t>2022-11</t>
  </si>
  <si>
    <t>(ZUFO)-LOS PARGA</t>
  </si>
  <si>
    <t>TECNOLAGICO</t>
  </si>
  <si>
    <t>HACIENDA DE OJOCALIENTE</t>
  </si>
  <si>
    <t>(ZUFO)-OJOCALIENTE</t>
  </si>
  <si>
    <t>HACIENDA DE AGOSTADERITO</t>
  </si>
  <si>
    <t>MARIANO SALAS</t>
  </si>
  <si>
    <t>EUGENIO GARZA SADA</t>
  </si>
  <si>
    <t>(ZUFO)-SAN PEDRO NORTE</t>
  </si>
  <si>
    <t>BARDA</t>
  </si>
  <si>
    <t>(ZUFO)-SAN PEDRO SUR</t>
  </si>
  <si>
    <t>JUAN PABLO II</t>
  </si>
  <si>
    <t>TEPEZALA</t>
  </si>
  <si>
    <t>(ZUFO)-UNIVERSIDAD</t>
  </si>
  <si>
    <t>MONTES HIMALAYA</t>
  </si>
  <si>
    <t>SIERRA DE LA CANELA</t>
  </si>
  <si>
    <t>MONTE EVEREST</t>
  </si>
  <si>
    <t>POTREROS</t>
  </si>
  <si>
    <t>VALLE DE GUADALUPE</t>
  </si>
  <si>
    <t>7</t>
  </si>
  <si>
    <t>SIERRA DEL LAUREL</t>
  </si>
  <si>
    <t>MONTE BLANCO</t>
  </si>
  <si>
    <t>NIEOS H</t>
  </si>
  <si>
    <t>JORGE REYNOSO</t>
  </si>
  <si>
    <t>HAROLD R. PAPE</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</si>
  <si>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</si>
  <si>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</si>
  <si>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</si>
  <si>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</si>
  <si>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</si>
  <si>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</si>
  <si>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</si>
  <si>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</si>
  <si>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</si>
  <si>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</si>
  <si>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</si>
  <si>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</si>
  <si>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Barda</t>
  </si>
  <si>
    <t>Aguascalientes Norte</t>
  </si>
  <si>
    <t>PROGRESO</t>
  </si>
  <si>
    <t>LICENCIADO ADOLFO RUrZ CORTINES</t>
  </si>
  <si>
    <t>D MUNICIPIO AGUASCALIENTES</t>
  </si>
  <si>
    <t>Arroyo</t>
  </si>
  <si>
    <t>JOSE DE JESUS RABAGO IBARRA</t>
  </si>
  <si>
    <t>VIADUCTO</t>
  </si>
  <si>
    <t>JOSL DE JESOS RGBAGO IBARRA</t>
  </si>
  <si>
    <t>Agostaderito</t>
  </si>
  <si>
    <t>Fray Pedro de Gante</t>
  </si>
  <si>
    <t>GENERAL MIGUEL BARRAG N</t>
  </si>
  <si>
    <t>CONVENCIpN DE 1914 NORTE</t>
  </si>
  <si>
    <t>LICENCIADO ADOLFO LoPEZ MATEOS PONIENTE</t>
  </si>
  <si>
    <t>CONVENCIpN DE 1914 PONIENTE</t>
  </si>
  <si>
    <t>David Reynoso Flores</t>
  </si>
  <si>
    <t>LICENCIADO ADOLFO LPPEZ MATEOS PONIENTE</t>
  </si>
  <si>
    <t>CONVENCIGN DE 1914 PONIENTE</t>
  </si>
  <si>
    <t>Canal Interceptor</t>
  </si>
  <si>
    <t>MINATITLON</t>
  </si>
  <si>
    <t>CONVENCIpN DE 1914 SUR</t>
  </si>
  <si>
    <t>Convencirn de 1914 Poniente</t>
  </si>
  <si>
    <t>AURELIO GONZDLEZ</t>
  </si>
  <si>
    <t>ROMA</t>
  </si>
  <si>
    <t>Tlaxcala</t>
  </si>
  <si>
    <t>Guanajuato</t>
  </si>
  <si>
    <t>25 de Abril</t>
  </si>
  <si>
    <t>PITLGORAS</t>
  </si>
  <si>
    <t>JOSEFA ORTIZ DE DOMoNGUEZ</t>
  </si>
  <si>
    <t>JardEn del Estudiante</t>
  </si>
  <si>
    <t>Luis Adolfo</t>
  </si>
  <si>
    <t>TORRE EIFFEL</t>
  </si>
  <si>
    <t>EL CHARRO</t>
  </si>
  <si>
    <t>HernEn GonzClez</t>
  </si>
  <si>
    <t>REPLBLICA DEL PERe</t>
  </si>
  <si>
    <t>Jardines de Versalles</t>
  </si>
  <si>
    <t>REp├║blica DE ARGENTINA</t>
  </si>
  <si>
    <t>IGNACIO T. CH VEZ</t>
  </si>
  <si>
    <t>CONVENCIGN DE 1914 SUR</t>
  </si>
  <si>
    <t>Abraham GonzHlez</t>
  </si>
  <si>
    <t>JosL MarDa Chlvez</t>
  </si>
  <si>
    <t>Gabriela Mistral</t>
  </si>
  <si>
    <t>CALZADA</t>
  </si>
  <si>
    <t>Siglo XIX</t>
  </si>
  <si>
    <t>PRECERES DE LA ENSESANZA</t>
  </si>
  <si>
    <t>Vistas de Oriente</t>
  </si>
  <si>
    <t>VISTAS DE ORIENTE 104</t>
  </si>
  <si>
    <t>Poliducto</t>
  </si>
  <si>
    <t>Ojocaliente</t>
  </si>
  <si>
    <t>Esfuerzo Nacional</t>
  </si>
  <si>
    <t>Trocadero</t>
  </si>
  <si>
    <t>EVOLUCIGN</t>
  </si>
  <si>
    <t>30 de Septiembre</t>
  </si>
  <si>
    <t>Amanecer</t>
  </si>
  <si>
    <t>CONVENCIpN DE 1914 ORIENTE</t>
  </si>
  <si>
    <t>HVroe Inmortal</t>
  </si>
  <si>
    <t>Aguascalientes Oriente</t>
  </si>
  <si>
    <t>KABLH</t>
  </si>
  <si>
    <t>TecnolAgico</t>
  </si>
  <si>
    <t>Tokay</t>
  </si>
  <si>
    <t>Lago de Chapala</t>
  </si>
  <si>
    <t>Adoratrices</t>
  </si>
  <si>
    <t>MOSCATEL</t>
  </si>
  <si>
    <t>CONSTITUCIrN</t>
  </si>
  <si>
    <t>Juan Bautista Lasalle</t>
  </si>
  <si>
    <t>Agustinos</t>
  </si>
  <si>
    <t>Camino al CTbano</t>
  </si>
  <si>
    <t>GREGORIO MART NEZ SOTO</t>
  </si>
  <si>
    <t>JosN H. Escobedo</t>
  </si>
  <si>
    <t>sin referencia</t>
  </si>
  <si>
    <t>Ixtlahuatl</t>
  </si>
  <si>
    <t>LAS NORIAS</t>
  </si>
  <si>
    <t>Hacienda de Ojocaliente</t>
  </si>
  <si>
    <t>Hacienda Salto de los Salados</t>
  </si>
  <si>
    <t>Hacienda de Agostaderito</t>
  </si>
  <si>
    <t>Fermin Espinoza Armillita</t>
  </si>
  <si>
    <t>Melisa</t>
  </si>
  <si>
    <t>ABELARDO RODRnGUEZ</t>
  </si>
  <si>
    <t>Cihuatl n</t>
  </si>
  <si>
    <t>INTERIOR SUR</t>
  </si>
  <si>
    <t>ARROYO EL MOLINO</t>
  </si>
  <si>
    <t>Circuito de los Sauces I</t>
  </si>
  <si>
    <t>MisiEn de Santo Tom s</t>
  </si>
  <si>
    <t>MisiEn de Santiago</t>
  </si>
  <si>
    <t>Calzada de la Misi</t>
  </si>
  <si>
    <t>Los Sauces IV</t>
  </si>
  <si>
    <t>Arnulfo M. ValdNs</t>
  </si>
  <si>
    <t>CAÑADA HONDA</t>
  </si>
  <si>
    <t>(REFOM)-CAÑADA</t>
  </si>
  <si>
    <t>(REFOM)-PEÑUELAS</t>
  </si>
  <si>
    <t>PEÑUELAS</t>
  </si>
  <si>
    <t>PASEO DE LA ARBOLEDA</t>
  </si>
  <si>
    <t>SERVICIOS URBANOS</t>
  </si>
  <si>
    <t>LA CLASIFICACIÓN DE ELEMENTOS ESTÁ BASADA EN EL SISTEMA NORMATIVO DE EQUIPAMIENTO URBANO DE LA SEDESOL FEDERAL, SUBSISTEMA SERVICIOS URBANOS. LA INTEGRACIÓN FUE REALIZADA POR EL IMPLAN CON INFORMACIÓN DEL DIRECTORIO ESTADISTICO NACIONAL DE UNIDADES ECONOMICAS (INEGI)</t>
  </si>
  <si>
    <t>XO SERVICIO SA DE CV</t>
  </si>
  <si>
    <t>Comercio al por menor de gasolina y diesel</t>
  </si>
  <si>
    <t>RIVIERS SAN MARCOS</t>
  </si>
  <si>
    <t>ANDRES_YAN90@HOTMAIL.COM</t>
  </si>
  <si>
    <t>GASOLINERIAS OXXO GAS ESTACI</t>
  </si>
  <si>
    <t>SERVICIOS GASOLINEROS DE MEXICO SA DE CV</t>
  </si>
  <si>
    <t>carretera libre aguascalientes _leon km113</t>
  </si>
  <si>
    <t>ATENCIONCLIENTES@OXXOGAS.COM</t>
  </si>
  <si>
    <t>WWW.OXXOGAS.COM</t>
  </si>
  <si>
    <t>SERVICIO AGOSTADERITO</t>
  </si>
  <si>
    <t>SERVICIO AGOSTADERITO S. DE R.L. DE C.V.</t>
  </si>
  <si>
    <t>CARRETERA AGUASCALIENTES - TANQUE DE LOS JIMENEZ KILOMETRO 5 170</t>
  </si>
  <si>
    <t>SERVICIOAGOSTADERITO@LIVE.COM.MX</t>
  </si>
  <si>
    <t>SERVICIO GUTMART</t>
  </si>
  <si>
    <t>SERVICIO GUTMART SA DE CV</t>
  </si>
  <si>
    <t>CARRETERA PANAMERICANA SUR LEON - AGUASCALIENTES KM 117 540</t>
  </si>
  <si>
    <t>CAMINO DE TERRACERIA A EL POTRERILLO</t>
  </si>
  <si>
    <t>SERVICIOGUTMART@GMAIL.COM</t>
  </si>
  <si>
    <t>ESTACI6N MONTORO,</t>
  </si>
  <si>
    <t>ESTACION MONTORO SA DE CV</t>
  </si>
  <si>
    <t>CARRETERA PANAMERICANA AGUASCALIENTES - LEON KM 112.24</t>
  </si>
  <si>
    <t>ESTACION7998@HOTMAIL.COM</t>
  </si>
  <si>
    <t>SUPER SERVICIO DAVILA AEROPUERTO</t>
  </si>
  <si>
    <t>SUPER SERVICIO DAVILA AEROPUERTO SA DE CV</t>
  </si>
  <si>
    <t>CARRETERA 45 SUR KILOMETRO 113500</t>
  </si>
  <si>
    <t>DAVILAGASOLINERA@YAHOO.COM.MX</t>
  </si>
  <si>
    <t>SERVICIO INDEPENDENCIA</t>
  </si>
  <si>
    <t>SERVICIO INDEPENDENCIA SA DE CV</t>
  </si>
  <si>
    <t>GIRODARTE@PAVYMAQ.COM.MX</t>
  </si>
  <si>
    <t>WWW.GRUPOINTERRA.COM.MX</t>
  </si>
  <si>
    <t>RED GASOLIN</t>
  </si>
  <si>
    <t>UNIDAD DE GASOLINERAS SA DE CV</t>
  </si>
  <si>
    <t>FEDERAL LIBRE 45 KM 115</t>
  </si>
  <si>
    <t>CONTACTO@REDGASOLIN.COM.MX</t>
  </si>
  <si>
    <t>WWW.REDGASOLIN.COM.MX</t>
  </si>
  <si>
    <t>COMERCIO AL POR MENOR DE GASOLINA Y DIpSEL</t>
  </si>
  <si>
    <t>CARRETERA A MEXICO KM 107.5</t>
  </si>
  <si>
    <t>GASOLINERAAEROPUERTO@GMAIL.COM</t>
  </si>
  <si>
    <t>OXXO GAS SUC. CARRETERA A MEXICO AGC</t>
  </si>
  <si>
    <t>PUERTO</t>
  </si>
  <si>
    <t>CARRETERA PANAMERICANA SUR</t>
  </si>
  <si>
    <t>MEGA GASOLINERAS GANDHI</t>
  </si>
  <si>
    <t>MEGA GASOLINERAS SA DE CV</t>
  </si>
  <si>
    <t>Cerro Aconcagua</t>
  </si>
  <si>
    <t>Guel Jimonez</t>
  </si>
  <si>
    <t>CAP.GANDHI@MEGAGAS.MX</t>
  </si>
  <si>
    <t>WWW.SHELL.COM.MX</t>
  </si>
  <si>
    <t>ESTACI6N DE SERVICIO E07976</t>
  </si>
  <si>
    <t>PASEOS DE SANTA MONICA</t>
  </si>
  <si>
    <t>SCARRO05@HOTMAIL.COM</t>
  </si>
  <si>
    <t>GASOLINERA SERVICIO VILLAS DEL PILAR</t>
  </si>
  <si>
    <t>SERVICIO VILLA DEL PILAR SA DE CV</t>
  </si>
  <si>
    <t>SERVILLASPILAR@GMAIL.COM</t>
  </si>
  <si>
    <t>SERVICIO LOMAS</t>
  </si>
  <si>
    <t>SERVICIO LOMAS SA DE CV</t>
  </si>
  <si>
    <t>ESTACI6N DE SERVICIO DE GASOLINA E11233</t>
  </si>
  <si>
    <t>MURADAS SA DE CV</t>
  </si>
  <si>
    <t>MVLAGA</t>
  </si>
  <si>
    <t>MURADAS@MEIGASCORP.COM</t>
  </si>
  <si>
    <t>WWW.MEIGASCORP.COM</t>
  </si>
  <si>
    <t>SERVICIOS DE ALBA O</t>
  </si>
  <si>
    <t>SERVICIOS DE ALBA O SA DE CV</t>
  </si>
  <si>
    <t>CONTABILIDAD@GASLAFERIA.COM.MX</t>
  </si>
  <si>
    <t>SERVICIO AVENIDA SA DE CV</t>
  </si>
  <si>
    <t>FERNANDO M. HERN1NDEZ</t>
  </si>
  <si>
    <t>TOTALAVENIDA@GMAIL.COM</t>
  </si>
  <si>
    <t>GASOLINERA MR SERVICIO</t>
  </si>
  <si>
    <t>MR SERVICIO SA DE CV</t>
  </si>
  <si>
    <t>MRSERVICIO16@GMAIL.COM</t>
  </si>
  <si>
    <t>WWW.MRSERVICIO.COM.MX</t>
  </si>
  <si>
    <t>OXXO GAS SUC. NACOZARI AGU</t>
  </si>
  <si>
    <t>CONVENCIpN DE 1914 NORTE HEROES NACOZARI</t>
  </si>
  <si>
    <t>SERVIGAZ ARBOLEDAS SA DE CV</t>
  </si>
  <si>
    <t>DE LA CONVENCIaN NORTE</t>
  </si>
  <si>
    <t>MANUEL GNMEZ MOR N</t>
  </si>
  <si>
    <t>MARGIL DE JESMS</t>
  </si>
  <si>
    <t>SERVIGAZARBOLEDAS@GMAIL.COM</t>
  </si>
  <si>
    <t>WWW.SWERVIGAZARBOLEDAS.COM.MX</t>
  </si>
  <si>
    <t>OXXO GAS SUC. GIACINTI AGU</t>
  </si>
  <si>
    <t>ENERG4A Y SERVICIOS TERRA, S. A. DE C. V.</t>
  </si>
  <si>
    <t>ENERG4A Y SERVICIOS TERRA SA DE CV</t>
  </si>
  <si>
    <t>GCASTORENA@ALTUSENERGY.MX</t>
  </si>
  <si>
    <t>GASOLINERA TERCER ANILLO ESTACION 11508</t>
  </si>
  <si>
    <t>TERCER ANILLO SA DE CV</t>
  </si>
  <si>
    <t>ProlongaciNn Doctor Salvador Quezada Limen</t>
  </si>
  <si>
    <t>ADMINISTRACION@TERCEANILLO.COM</t>
  </si>
  <si>
    <t>OXXO GAS SUC. DEL VALLE</t>
  </si>
  <si>
    <t>OXXO GAS SUC. CONVENCION AGU</t>
  </si>
  <si>
    <t>DE LOS ARELLANO</t>
  </si>
  <si>
    <t>DOCTOR SALVADOR QUEZADA LIM</t>
  </si>
  <si>
    <t>FUEL FLEX</t>
  </si>
  <si>
    <t>Amador Rom n</t>
  </si>
  <si>
    <t>OXXO GAS SUC. JARDINES BJX</t>
  </si>
  <si>
    <t>JosL MarDa Chnvez</t>
  </si>
  <si>
    <t>OXXO GAS SUC. ASUNCION AGU</t>
  </si>
  <si>
    <t>AGUASCALIENTE SUR</t>
  </si>
  <si>
    <t>CAPAGAS</t>
  </si>
  <si>
    <t>CAPAGAS SA DE CV</t>
  </si>
  <si>
    <t>CAPAGAS@ALPEZGAS.COM</t>
  </si>
  <si>
    <t>ESTACION DE SERVICIO HIDROCALIDA SA DE CV</t>
  </si>
  <si>
    <t>CONVENCIDN DE 1914 SUR</t>
  </si>
  <si>
    <t>ESHIDROCALIDA@OUTLOOK.COM</t>
  </si>
  <si>
    <t>BPLASAMERICAS</t>
  </si>
  <si>
    <t>GASOLINERA ASTRA SA DE CV</t>
  </si>
  <si>
    <t>GASOLINERA_ASTRA3@PRODIGY.NET.MX</t>
  </si>
  <si>
    <t>WWW.GASOLINERALACENTRAL.COM.MX</t>
  </si>
  <si>
    <t>SERVICIOS GASOLINEROS EL CASTAuO</t>
  </si>
  <si>
    <t>SERVICIOS GASOLINEROS EL CASTANO SA DE CV</t>
  </si>
  <si>
    <t>A.GASELITE@GMAIL.COM</t>
  </si>
  <si>
    <t>OXXO GAS SUC. GANDHI AGU</t>
  </si>
  <si>
    <t>REp├║blica DE PANAM</t>
  </si>
  <si>
    <t>ATENCIONCLIETES@OXXOGAS.COM</t>
  </si>
  <si>
    <t>SERVICIO AGUITAS</t>
  </si>
  <si>
    <t>SERVICIO AGUITAS SA DE CV</t>
  </si>
  <si>
    <t>GASOLINERA.AGUITAS@GMAIL.COM</t>
  </si>
  <si>
    <t>WWW.SERVICIOBALAGAS</t>
  </si>
  <si>
    <t>MEGA GASOLINERAS VERIFICENTRO</t>
  </si>
  <si>
    <t>Paseo de la Asunci</t>
  </si>
  <si>
    <t>Fray Jun pero Serra</t>
  </si>
  <si>
    <t>CAP.VERIFICENTRO@MEGAGAS.MX</t>
  </si>
  <si>
    <t>WWW.MEGAGAS.COM</t>
  </si>
  <si>
    <t>SERVICIO RINCONADA</t>
  </si>
  <si>
    <t>SERVICIO RINCONADA SA DE CV</t>
  </si>
  <si>
    <t>JFCOAGUILAR@HOTMAIL.COM</t>
  </si>
  <si>
    <t>GASOLINERIA FEMAL</t>
  </si>
  <si>
    <t>FEMAL SA DE CV</t>
  </si>
  <si>
    <t>MARIARUVAL@FEMAL.COM.MX</t>
  </si>
  <si>
    <t>SERVICIO AGUASCALIENTES</t>
  </si>
  <si>
    <t>SERVICIO AGUASCALIENTES SA</t>
  </si>
  <si>
    <t>SERVICIOAGSCREDITO@HOTMAIL.COM</t>
  </si>
  <si>
    <t>SERVICIO LOMAS AGUASCALIENTES</t>
  </si>
  <si>
    <t>SERVICIO LOMAS AGUASCALIENTES SA DE CV</t>
  </si>
  <si>
    <t>ADMINISTRACION@TERCERANILLO.COM</t>
  </si>
  <si>
    <t>SERVICIO MARTIN</t>
  </si>
  <si>
    <t>SERVICIO MARTIN SA DE CV</t>
  </si>
  <si>
    <t>SERVICIO.MARTIN.BARRAGAN@GMAIL.COM</t>
  </si>
  <si>
    <t>GASOLINERA EL TECUAN</t>
  </si>
  <si>
    <t>GASOLINERA EL TECUAN SA DE CV</t>
  </si>
  <si>
    <t>CALLE JOSE MARIA MORELOS Y PAVON</t>
  </si>
  <si>
    <t>CALLE MIGUEL HIDALGO Y COSTILLA</t>
  </si>
  <si>
    <t>MOVIL LINEA VERDE PL-1306</t>
  </si>
  <si>
    <t>VOVIL LINEA VERDE SA</t>
  </si>
  <si>
    <t>Vistas de Oriente 104</t>
  </si>
  <si>
    <t>WWW.REDGASOLIN.COM</t>
  </si>
  <si>
    <t>DALROM</t>
  </si>
  <si>
    <t>SERVICIO CALIPSO SA DE CV</t>
  </si>
  <si>
    <t>11772@ENERSER.MX</t>
  </si>
  <si>
    <t>WWW.ENERSER.COM.MX</t>
  </si>
  <si>
    <t>GASOLINERIA RN GAS</t>
  </si>
  <si>
    <t>RN GAS SA DE CV</t>
  </si>
  <si>
    <t>BERNAB0 DE BALLESTEROS</t>
  </si>
  <si>
    <t>JUAN LAPEZ ELIZALDE</t>
  </si>
  <si>
    <t>RNGASCONT@HOTMAIL.COM</t>
  </si>
  <si>
    <t>ESTACI6N DE SERVICIO  E09559</t>
  </si>
  <si>
    <t>ESLASLOMAS@HOTMAIL.COM</t>
  </si>
  <si>
    <t>GASOLINERA VALERO</t>
  </si>
  <si>
    <t>AGUASCALIENTES DOS MIL SA DE CV</t>
  </si>
  <si>
    <t>ING. MIGUEL oNGEL BARBERENA VEGA</t>
  </si>
  <si>
    <t>GASOLINERIA SERVICIO GUADALUPANO S</t>
  </si>
  <si>
    <t>SERVICIO GUADALUPANO S DE RL DE CV</t>
  </si>
  <si>
    <t>SERVIVIO_GUADALUPANO@YAHOO.COM.MX</t>
  </si>
  <si>
    <t>MARA ESTACION DE SERVICIOS, S.A. DE C.V.</t>
  </si>
  <si>
    <t>MARA ESTACION DE SERVICIOS SA DE CV</t>
  </si>
  <si>
    <t>MARAESTACION@HOTMAIL.COM</t>
  </si>
  <si>
    <t>GASOLINERA TERECAR</t>
  </si>
  <si>
    <t>SUPERSERVICIO TERECAR SA DE CV</t>
  </si>
  <si>
    <t>ELIZABETH.LOPEZ@ROLCAR.COM.MX</t>
  </si>
  <si>
    <t>WWW.TERECAR.COM</t>
  </si>
  <si>
    <t>SERVICIOS GUZM3N</t>
  </si>
  <si>
    <t>SERVICIOS GUZM3N SA</t>
  </si>
  <si>
    <t>SERVICIOSGUZMANSA@YAHOO.COM.MX</t>
  </si>
  <si>
    <t>PEMEX</t>
  </si>
  <si>
    <t>ESTACION 8817 SIGLO 21</t>
  </si>
  <si>
    <t>SERVICIO CALIPSO S DE RL DE CV</t>
  </si>
  <si>
    <t>SMADRIGAL@ENERSER.COM.MX</t>
  </si>
  <si>
    <t>Arqueros</t>
  </si>
  <si>
    <t>Resolana</t>
  </si>
  <si>
    <t>WWW.GRUPOINTERRA.COMN.MX</t>
  </si>
  <si>
    <t>RED TITANIUM</t>
  </si>
  <si>
    <t>RED TITANIUM SA DE CV</t>
  </si>
  <si>
    <t>REDTITANIUMGASOLINERAS@HOTMAIL.COM</t>
  </si>
  <si>
    <t>SERVICIO CALIPSO</t>
  </si>
  <si>
    <t>E8817@ENERSER.MX</t>
  </si>
  <si>
    <t>WWW.ENERSER.COM</t>
  </si>
  <si>
    <t>SERVICIOS, EQUIPAMIENTOS Y DESARROLLOS HIDROCrLIDOS, S. A. DE C. V.</t>
  </si>
  <si>
    <t>SERVICIOS EQUIPAMIENTOS Y DESARROLLOS HIDROCALIDOS</t>
  </si>
  <si>
    <t>INFONAVIT MORELOS</t>
  </si>
  <si>
    <t>GRUPO GASOLINERO FOSELL SA DE CV</t>
  </si>
  <si>
    <t>GRUPO GASOLINERO FOSELL</t>
  </si>
  <si>
    <t>ADMONFOSELL@GMAIL.COM</t>
  </si>
  <si>
    <t>ESTACI6N DE SERVICIO VALERO NACOZARI</t>
  </si>
  <si>
    <t>SERVICIOS Y COMERCIALIZADORA NACIONAL SA DE CV</t>
  </si>
  <si>
    <t>HOROE DE NACOZARI NORTE</t>
  </si>
  <si>
    <t>AGUASCALIENTES@ALPEZGAS.COM</t>
  </si>
  <si>
    <t>OXXO GAS SUC. BOSQUES DEL PRADO AGU</t>
  </si>
  <si>
    <t>SERVICIO CARROBS, S. A. DE C. V.</t>
  </si>
  <si>
    <t>BOULEVARD A ZACATECAS KM 8</t>
  </si>
  <si>
    <t>C?NGEL TALAMANTES PONCE</t>
  </si>
  <si>
    <t>Jacinto Lrpez Bravo</t>
  </si>
  <si>
    <t>SERVICIO IN DEPENCIA</t>
  </si>
  <si>
    <t>Paulino N. MartE</t>
  </si>
  <si>
    <t>GIRODARTE@PAVYMAQ.CO.MX</t>
  </si>
  <si>
    <t>WWWGRUPOINTERRA.COM.MX</t>
  </si>
  <si>
    <t>CORPOGAS HIDROC7LIDO</t>
  </si>
  <si>
    <t>CORPOGAS HIDROCALIDO SA DE CV</t>
  </si>
  <si>
    <t>A ZACATECAS NORTE</t>
  </si>
  <si>
    <t>NIROS HSROES</t>
  </si>
  <si>
    <t>CORPOGASHIDROCALIDO@GMAIL.COM</t>
  </si>
  <si>
    <t>FORMULA GAS</t>
  </si>
  <si>
    <t>FORMULA GAS SA DE CV</t>
  </si>
  <si>
    <t>AVENIDA DE LA CONVENCIdN ORIENTE</t>
  </si>
  <si>
    <t>FORMULAGASCONTABILIDAD@GMAIL.COM</t>
  </si>
  <si>
    <t>Nazario Ortiz Garza</t>
  </si>
  <si>
    <t>GIRODARTE@PAVYMAQ.COM</t>
  </si>
  <si>
    <t>WWW.GRUPOINTERRA.COM</t>
  </si>
  <si>
    <t>GASOLINERA  PL 9298 EXP ES 2015</t>
  </si>
  <si>
    <t>OXXO GAS</t>
  </si>
  <si>
    <t>FEDERAL LIBRE 45 AGUASCALIENTES-ENCARNACIlN DE DlAZ KILnMETRO 5</t>
  </si>
  <si>
    <t>SERVICIOS GASOLINEROS DE MEXICO, S. A. DE C. V.</t>
  </si>
  <si>
    <t>carretera ags _leon</t>
  </si>
  <si>
    <t>SC</t>
  </si>
  <si>
    <t>MEGA GASOLINERAS PANAMERICA</t>
  </si>
  <si>
    <t>CAP.PANAMERICANA@MEGAGAS.MX</t>
  </si>
  <si>
    <t>MULTISERVICIOS ESPECIALIZADOS MORITA</t>
  </si>
  <si>
    <t>MULTISERVICIOS ESPECIALIZADOS MORITA SA DE CV</t>
  </si>
  <si>
    <t>GERENCIA@MORITA.COM.MX</t>
  </si>
  <si>
    <t>GASOLINERA TERECAR CIUDAD INDUSTRIAL</t>
  </si>
  <si>
    <t>ANGEL DORRONSORO G-NDARA</t>
  </si>
  <si>
    <t>ELIZABETH.LOPE3Z@ROLCAR.COM.MX</t>
  </si>
  <si>
    <t>MULTISERVICIOS OTTO</t>
  </si>
  <si>
    <t>MULTISERVICIOS OTTO SA DE CV</t>
  </si>
  <si>
    <t>VILLA OBREG N</t>
  </si>
  <si>
    <t>OPERACIONES@OTTO-GAS.COM</t>
  </si>
  <si>
    <t>WWW.OTTO-GAS.COM</t>
  </si>
  <si>
    <t>COSAGS</t>
  </si>
  <si>
    <t>COSAGS SA DE CV</t>
  </si>
  <si>
    <t>MISIEN DE SAN CRIST</t>
  </si>
  <si>
    <t>MANUELCARDONA88@GMAIL.COM</t>
  </si>
  <si>
    <t>SERVICIO LOMAS AGUASCFALIENTES</t>
  </si>
  <si>
    <t>GERENCIATERCERANILLO@MORITA.COM.MX</t>
  </si>
  <si>
    <t>WWW.MORITA.COM.MX</t>
  </si>
  <si>
    <t>LOS PERALES DE AGUASCALIENTES SA DE CV</t>
  </si>
  <si>
    <t>PERALESAGS@YAHOO.COM.MX</t>
  </si>
  <si>
    <t>WWW.MEIGASCORP.COM.MX</t>
  </si>
  <si>
    <t>RED SIGLO XXI</t>
  </si>
  <si>
    <t>RED SIGLO XXI SA DE CV</t>
  </si>
  <si>
    <t>YOLANDA1970@REDSIGLOXXI.COM</t>
  </si>
  <si>
    <t>PLAZA GAS</t>
  </si>
  <si>
    <t>PLAZA GAS SA DE CV</t>
  </si>
  <si>
    <t>PLAZAAGSSANGABRIEL@GMAIL.COM</t>
  </si>
  <si>
    <t>Prolongacion Avenida Poliducto</t>
  </si>
  <si>
    <t>SERVICIO.MARTIN.XXI@GMAIL.COM</t>
  </si>
  <si>
    <t>MULTISERVICIO LA VILLITA</t>
  </si>
  <si>
    <t>MULTISERVICIO LA VILLITA SA DE CV</t>
  </si>
  <si>
    <t>Camino de Santiago</t>
  </si>
  <si>
    <t>Nanahuatzin</t>
  </si>
  <si>
    <t>GRUPOLAVILLITA@HOTMAIL.COM</t>
  </si>
  <si>
    <t>WWW.LAVILLITA.COM</t>
  </si>
  <si>
    <t>SERVICIO PETROJUELOS</t>
  </si>
  <si>
    <t>SERVICIO PETROJUELOS SA DECV SA DE CV</t>
  </si>
  <si>
    <t>PETROCITY@MPSISTEMAS.COM.MX</t>
  </si>
  <si>
    <t>WWW.PETROCITY.COM.MX</t>
  </si>
  <si>
    <t>PLAZA GAS ES 11043</t>
  </si>
  <si>
    <t>PLAZAGASAGSSANGABRIEL@GMAIL.COM</t>
  </si>
  <si>
    <t>GASOLINERA PAMHER SERVICIOS</t>
  </si>
  <si>
    <t>PAMHER SERVICIO SA DE CV</t>
  </si>
  <si>
    <t>PAMHERGAS@GMAIL.COM</t>
  </si>
  <si>
    <t>WWW.PHAMHER.COM.MX</t>
  </si>
  <si>
    <t>ESTACI6N DE SERVICIO  E10370</t>
  </si>
  <si>
    <t>OPTIMUS ESTACIRN DE SERVICIO SA DE CV</t>
  </si>
  <si>
    <t>GASOLINERAOPTIMUS@HOTMAIL.COM</t>
  </si>
  <si>
    <t>ESTACION DE SERVICIO AUTOMOTRIZ DEL NORTE, S.A. DE C.V.</t>
  </si>
  <si>
    <t>ESTACION DE SERVICIO AUTOMOTRIZ DEL NORTE SA DE CV</t>
  </si>
  <si>
    <t>JAIMEOHDZ@YAHOO.COM.MX</t>
  </si>
  <si>
    <t>OXXO GAS SUC. ZACATECAS AGU</t>
  </si>
  <si>
    <t>TERCER ANILLO</t>
  </si>
  <si>
    <t>GUADALUPE GONZaLEZ</t>
  </si>
  <si>
    <t>WWW.TERCERANILLO.COM.MX</t>
  </si>
  <si>
    <t>OFICINAS</t>
  </si>
  <si>
    <t>OPERADORA DE MINIESTACIONES COMBUSERV SA DE CV</t>
  </si>
  <si>
    <t>Cuarta Privada Pantaledn Valtierra</t>
  </si>
  <si>
    <t>PantalePn Valtierra</t>
  </si>
  <si>
    <t>CMARCO@HIDROSINACOM.MX</t>
  </si>
  <si>
    <t>GASOLINERIA SHELL LAS TROJES</t>
  </si>
  <si>
    <t>SERVICIOLASTROJES@PRODIGY.NET.MX</t>
  </si>
  <si>
    <t>ESTACI6N CUSTODIA</t>
  </si>
  <si>
    <t>ESTACI6N CUSTODIA SA DE CV</t>
  </si>
  <si>
    <t>ES_11007CUSTODIA@TOTALGAS.COM</t>
  </si>
  <si>
    <t>WWW.TOTALGAS.COM.MX</t>
  </si>
  <si>
    <t>El Mezquital</t>
  </si>
  <si>
    <t>Los Mezquitales</t>
  </si>
  <si>
    <t>YOLANDA1907@REDSIGLOXXI.COM</t>
  </si>
  <si>
    <t>SERVICIOS DE COMBUSTIBLES DE OCCIDENTE</t>
  </si>
  <si>
    <t>SERVICIOS DE COMBUSTIBLES DE OCCIDENTE SA DE CV</t>
  </si>
  <si>
    <t>SCO.TORREPLAZAGAS@GMAIL.COM</t>
  </si>
  <si>
    <t>MANUEL J. CLOUTHIER DEL RINCoN</t>
  </si>
  <si>
    <t>ESTACI6N DE SERVICIO E07361</t>
  </si>
  <si>
    <t>TECNOCENTRO DE AGUASCALIENTES SA DE CV</t>
  </si>
  <si>
    <t>GASOLINERA@BDI.COM.MX</t>
  </si>
  <si>
    <t>WWW.TECNOCENTROGALERIAS.COM</t>
  </si>
  <si>
    <t>GASOLINERA REPSOL</t>
  </si>
  <si>
    <t>GRUPO OPERADOR GASOLINERO TSA DEL CENTRO SA DE CV</t>
  </si>
  <si>
    <t>GERENCIA.TSA@OUTLOOK</t>
  </si>
  <si>
    <t>WWW.REPSOL.COM.MX</t>
  </si>
  <si>
    <t>CVE (1-105)</t>
  </si>
  <si>
    <t>UBICACIÓN DE SITIOS DE ESTACIÓN DE GASOLINA</t>
  </si>
  <si>
    <t>EU_ GASOLINA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</si>
</sst>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00"/>
    <numFmt numFmtId="165" formatCode="0.0000"/>
  </numFmts>
  <fonts count="10" x14ac:knownFonts="1">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5">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6" borderId="0" xfId="0" applyNumberFormat="1" applyFill="1" applyAlignment="1">
      <alignment horizontal="center" vertical="center"/>
    </xf>
    <xf numFmtId="165" fontId="0" fillId="0" borderId="0" xfId="0" applyNumberFormat="1"/>
    <xf numFmtId="1" fontId="0" fillId="0" borderId="0" xfId="0" applyNumberFormat="1" applyAlignment="1">
      <alignment horizontal="center" vertical="center"/>
    </xf>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5" formatCode="0.0000"/>
      <alignment horizontal="center" vertical="center" textRotation="0" wrapText="0" indent="0" justifyLastLine="0" shrinkToFit="0" readingOrder="0"/>
    </dxf>
    <dxf>
      <numFmt numFmtId="165" formatCode="0.0000"/>
      <alignment horizontal="center"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alignment horizontal="center" vertical="center" textRotation="0" wrapText="0" indent="0" justifyLastLine="0" shrinkToFit="0" readingOrder="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499532</xdr:colOff>
      <xdr:row>0</xdr:row>
      <xdr:rowOff>42333</xdr:rowOff>
    </xdr:from>
    <xdr:to>
      <xdr:col>2</xdr:col>
      <xdr:colOff>5006974</xdr:colOff>
      <xdr:row>1</xdr:row>
      <xdr:rowOff>556683</xdr:rowOff>
    </xdr:to>
    <xdr:pic>
      <xdr:nvPicPr>
        <xdr:cNvPr id="2" name="Imagen 1">
          <a:extLst>
            <a:ext uri="{FF2B5EF4-FFF2-40B4-BE49-F238E27FC236}">
              <a16:creationId xmlns:a16="http://schemas.microsoft.com/office/drawing/2014/main" id="{D6CD98E2-AFD0-465A-9679-4C9AFD8BD0F1}"/>
            </a:ext>
          </a:extLst>
        </xdr:cNvPr>
        <xdr:cNvPicPr>
          <a:picLocks noChangeAspect="1"/>
        </xdr:cNvPicPr>
      </xdr:nvPicPr>
      <xdr:blipFill>
        <a:blip xmlns:r="http://schemas.openxmlformats.org/officeDocument/2006/relationships" r:embed="rId1"/>
        <a:stretch>
          <a:fillRect/>
        </a:stretch>
      </xdr:blipFill>
      <xdr:spPr>
        <a:xfrm>
          <a:off x="647699" y="42333"/>
          <a:ext cx="6613525" cy="11493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BASTO" displayName="ABASTO" ref="A1:AB106" totalsRowShown="0" headerRowDxfId="28">
  <autoFilter ref="A1:AB106" xr:uid="{00000000-0009-0000-0100-000001000000}"/>
  <tableColumns count="28">
    <tableColumn id="1" xr3:uid="{00000000-0010-0000-0000-000001000000}" name="CVE" dataDxfId="27"/>
    <tableColumn id="2" xr3:uid="{00000000-0010-0000-0000-000002000000}" name="CVE_ACT" dataDxfId="26"/>
    <tableColumn id="3" xr3:uid="{00000000-0010-0000-0000-000003000000}" name="TIPO_ACTIV" dataDxfId="25"/>
    <tableColumn id="4" xr3:uid="{00000000-0010-0000-0000-000004000000}" name="PUB_O_PRIV" dataDxfId="24"/>
    <tableColumn id="5" xr3:uid="{00000000-0010-0000-0000-000005000000}" name="NOMBRE_EST" dataDxfId="23"/>
    <tableColumn id="6" xr3:uid="{00000000-0010-0000-0000-000006000000}" name="NOMBRE_ACT" dataDxfId="22"/>
    <tableColumn id="7" xr3:uid="{00000000-0010-0000-0000-000007000000}" name="RAZ_SOC" dataDxfId="21"/>
    <tableColumn id="8" xr3:uid="{00000000-0010-0000-0000-000008000000}" name="TIP_ASEN" dataDxfId="20"/>
    <tableColumn id="9" xr3:uid="{00000000-0010-0000-0000-000009000000}" name="COD_POST" dataDxfId="19"/>
    <tableColumn id="10" xr3:uid="{00000000-0010-0000-0000-00000A000000}" name="TIP_U_EC" dataDxfId="18"/>
    <tableColumn id="11" xr3:uid="{00000000-0010-0000-0000-00000B000000}" name="per_ocu" dataDxfId="17"/>
    <tableColumn id="12" xr3:uid="{00000000-0010-0000-0000-00000C000000}" name="tipo_vial" dataDxfId="16"/>
    <tableColumn id="13" xr3:uid="{00000000-0010-0000-0000-00000D000000}" name="nom_vial" dataDxfId="15"/>
    <tableColumn id="14" xr3:uid="{00000000-0010-0000-0000-00000E000000}" name="tipo_v_e_1" dataDxfId="14"/>
    <tableColumn id="15" xr3:uid="{00000000-0010-0000-0000-00000F000000}" name="nom_v_e_1" dataDxfId="13"/>
    <tableColumn id="16" xr3:uid="{00000000-0010-0000-0000-000010000000}" name="tipo_v_e_2" dataDxfId="12"/>
    <tableColumn id="17" xr3:uid="{00000000-0010-0000-0000-000011000000}" name="nom_v_e_2" dataDxfId="11"/>
    <tableColumn id="18" xr3:uid="{00000000-0010-0000-0000-000012000000}" name="tipo_v_e_3" dataDxfId="10"/>
    <tableColumn id="19" xr3:uid="{00000000-0010-0000-0000-000013000000}" name="nom_v_e_3" dataDxfId="9"/>
    <tableColumn id="20" xr3:uid="{00000000-0010-0000-0000-000014000000}" name="numero_ext" dataDxfId="8"/>
    <tableColumn id="21" xr3:uid="{00000000-0010-0000-0000-000015000000}" name="telefono" dataDxfId="7"/>
    <tableColumn id="22" xr3:uid="{00000000-0010-0000-0000-000016000000}" name="correoelec" dataDxfId="6"/>
    <tableColumn id="23" xr3:uid="{00000000-0010-0000-0000-000017000000}" name="www" dataDxfId="5"/>
    <tableColumn id="24" xr3:uid="{00000000-0010-0000-0000-000018000000}" name="fecha_alta" dataDxfId="4"/>
    <tableColumn id="25" xr3:uid="{00000000-0010-0000-0000-000019000000}" name="DELEGACION" dataDxfId="3"/>
    <tableColumn id="26" xr3:uid="{00000000-0010-0000-0000-00001A000000}" name="ZUFO_REFOM" dataDxfId="2"/>
    <tableColumn id="27" xr3:uid="{00000000-0010-0000-0000-00001B000000}" name="X" dataDxfId="1"/>
    <tableColumn id="28" xr3:uid="{00000000-0010-0000-0000-00001C000000}"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0"/>
  <sheetViews>
    <sheetView tabSelected="1" view="pageBreakPreview" zoomScale="85" zoomScaleNormal="85" zoomScaleSheetLayoutView="85" workbookViewId="0">
      <selection activeCell="C6" sqref="C6"/>
    </sheetView>
  </sheetViews>
  <sheetFormatPr baseColWidth="10" defaultRowHeight="15" x14ac:dyDescent="0.2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x14ac:dyDescent="0.25">
      <c r="B1" s="31"/>
      <c r="C1" s="31"/>
    </row>
    <row r="2" spans="2:4" ht="50.25" customHeight="1" thickBot="1" x14ac:dyDescent="0.3">
      <c r="B2" s="31"/>
      <c r="C2" s="31"/>
    </row>
    <row r="3" spans="2:4" ht="18.75" thickBot="1" x14ac:dyDescent="0.3">
      <c r="B3" s="32" t="s">
        <v>644</v>
      </c>
      <c r="C3" s="33"/>
    </row>
    <row r="4" spans="2:4" x14ac:dyDescent="0.25">
      <c r="B4" s="8"/>
      <c r="C4" s="8"/>
    </row>
    <row r="5" spans="2:4" ht="15.75" x14ac:dyDescent="0.25">
      <c r="B5" s="34" t="s">
        <v>0</v>
      </c>
      <c r="C5" s="34"/>
      <c r="D5" s="9"/>
    </row>
    <row r="6" spans="2:4" x14ac:dyDescent="0.25">
      <c r="B6" s="10" t="s">
        <v>2</v>
      </c>
      <c r="C6" s="11" t="s">
        <v>645</v>
      </c>
    </row>
    <row r="7" spans="2:4" ht="24.75" customHeight="1" x14ac:dyDescent="0.25">
      <c r="B7" s="10" t="s">
        <v>3</v>
      </c>
      <c r="C7" s="12" t="s">
        <v>1</v>
      </c>
    </row>
    <row r="8" spans="2:4" x14ac:dyDescent="0.25">
      <c r="B8" s="10" t="s">
        <v>4</v>
      </c>
      <c r="C8" s="11" t="s">
        <v>5</v>
      </c>
    </row>
    <row r="9" spans="2:4" x14ac:dyDescent="0.25">
      <c r="B9" s="10" t="s">
        <v>6</v>
      </c>
      <c r="C9" s="11" t="s">
        <v>7</v>
      </c>
    </row>
    <row r="10" spans="2:4" x14ac:dyDescent="0.25">
      <c r="B10" s="10" t="s">
        <v>8</v>
      </c>
      <c r="C10" s="11" t="s">
        <v>235</v>
      </c>
    </row>
    <row r="11" spans="2:4" x14ac:dyDescent="0.25">
      <c r="B11" s="10" t="s">
        <v>9</v>
      </c>
      <c r="C11" s="11" t="s">
        <v>234</v>
      </c>
    </row>
    <row r="12" spans="2:4" x14ac:dyDescent="0.25">
      <c r="B12" s="10" t="s">
        <v>10</v>
      </c>
      <c r="C12" s="11" t="s">
        <v>11</v>
      </c>
    </row>
    <row r="13" spans="2:4" ht="39" x14ac:dyDescent="0.25">
      <c r="B13" s="13" t="s">
        <v>12</v>
      </c>
      <c r="C13" s="12" t="s">
        <v>338</v>
      </c>
    </row>
    <row r="14" spans="2:4" x14ac:dyDescent="0.25">
      <c r="B14" s="8"/>
      <c r="C14" s="8"/>
    </row>
    <row r="15" spans="2:4" ht="16.5" thickBot="1" x14ac:dyDescent="0.3">
      <c r="B15" s="34" t="s">
        <v>13</v>
      </c>
      <c r="C15" s="34"/>
    </row>
    <row r="16" spans="2:4" ht="18" x14ac:dyDescent="0.25">
      <c r="B16" s="14" t="s">
        <v>14</v>
      </c>
      <c r="C16" s="15" t="s">
        <v>15</v>
      </c>
    </row>
    <row r="17" spans="2:12" x14ac:dyDescent="0.25">
      <c r="B17" s="1" t="s">
        <v>16</v>
      </c>
      <c r="C17" s="2" t="s">
        <v>198</v>
      </c>
    </row>
    <row r="18" spans="2:12" x14ac:dyDescent="0.25">
      <c r="B18" s="1" t="s">
        <v>17</v>
      </c>
      <c r="C18" s="3" t="s">
        <v>198</v>
      </c>
      <c r="G18"/>
      <c r="H18"/>
      <c r="I18"/>
      <c r="J18"/>
      <c r="K18"/>
    </row>
    <row r="19" spans="2:12" x14ac:dyDescent="0.25">
      <c r="B19" s="1" t="s">
        <v>18</v>
      </c>
      <c r="C19" s="3" t="str">
        <f>VLOOKUP($C$21,ABASTO[#All],25,FALSE)</f>
        <v>POCITOS</v>
      </c>
      <c r="G19" s="23"/>
      <c r="H19" s="23"/>
      <c r="I19" s="24"/>
      <c r="J19" s="24"/>
      <c r="K19" s="25"/>
      <c r="L19" s="16"/>
    </row>
    <row r="20" spans="2:12" x14ac:dyDescent="0.25">
      <c r="B20" s="1" t="s">
        <v>236</v>
      </c>
      <c r="C20" s="3" t="str">
        <f>VLOOKUP($C$21,ABASTO[#All],26,FALSE)</f>
        <v>(ZUFO)-UNIVERSIDAD</v>
      </c>
      <c r="G20" s="25"/>
      <c r="H20" s="16"/>
      <c r="I20" s="25"/>
      <c r="J20" s="25"/>
      <c r="K20" s="25"/>
      <c r="L20" s="16"/>
    </row>
    <row r="21" spans="2:12" ht="19.5" x14ac:dyDescent="0.25">
      <c r="B21" s="26" t="s">
        <v>643</v>
      </c>
      <c r="C21" s="27">
        <v>105</v>
      </c>
      <c r="G21" s="25"/>
      <c r="H21" s="25"/>
      <c r="I21" s="25"/>
      <c r="J21" s="25"/>
      <c r="K21" s="25"/>
      <c r="L21" s="16"/>
    </row>
    <row r="22" spans="2:12" x14ac:dyDescent="0.25">
      <c r="B22" s="1" t="s">
        <v>237</v>
      </c>
      <c r="C22" s="21" t="str">
        <f>VLOOKUP($C$21,ABASTO[#All],5,FALSE)</f>
        <v>GASOLINERA REPSOL</v>
      </c>
      <c r="G22"/>
      <c r="H22"/>
      <c r="I22"/>
      <c r="J22"/>
      <c r="K22"/>
    </row>
    <row r="23" spans="2:12" x14ac:dyDescent="0.25">
      <c r="B23" s="4" t="s">
        <v>238</v>
      </c>
      <c r="C23" s="21" t="str">
        <f>VLOOKUP($C$21,ABASTO[#All],6,FALSE)</f>
        <v>Comercio al por menor de gasolina y diesel</v>
      </c>
    </row>
    <row r="24" spans="2:12" x14ac:dyDescent="0.25">
      <c r="B24" s="1" t="s">
        <v>19</v>
      </c>
      <c r="C24" s="21">
        <f>VLOOKUP($C$21,ABASTO[#All],2,FALSE)</f>
        <v>468411</v>
      </c>
    </row>
    <row r="25" spans="2:12" x14ac:dyDescent="0.25">
      <c r="B25" s="5" t="s">
        <v>239</v>
      </c>
      <c r="C25" s="21" t="str">
        <f>VLOOKUP($C$21,ABASTO[#All],4,FALSE)</f>
        <v>PRIVADO</v>
      </c>
    </row>
    <row r="26" spans="2:12" x14ac:dyDescent="0.25">
      <c r="B26" s="1" t="s">
        <v>240</v>
      </c>
      <c r="C26" s="21" t="str">
        <f>VLOOKUP($C$21,ABASTO[#All],11,FALSE)</f>
        <v>0 a 5 personas</v>
      </c>
    </row>
    <row r="27" spans="2:12" x14ac:dyDescent="0.25">
      <c r="B27" s="4" t="s">
        <v>241</v>
      </c>
      <c r="C27" s="21" t="str">
        <f>VLOOKUP($C$21,ABASTO[#All],8,FALSE)</f>
        <v>FRACCIONAMIENTO</v>
      </c>
    </row>
    <row r="28" spans="2:12" x14ac:dyDescent="0.25">
      <c r="B28" s="1" t="s">
        <v>243</v>
      </c>
      <c r="C28" s="21" t="str">
        <f>VLOOKUP($C$21,ABASTO[#All],13,FALSE)</f>
        <v>MONTE BLANCO</v>
      </c>
    </row>
    <row r="29" spans="2:12" x14ac:dyDescent="0.25">
      <c r="B29" s="1" t="s">
        <v>242</v>
      </c>
      <c r="C29" s="21" t="str">
        <f>VLOOKUP($C$21,ABASTO[#All],12,FALSE)</f>
        <v>CALLE</v>
      </c>
    </row>
    <row r="30" spans="2:12" x14ac:dyDescent="0.25">
      <c r="B30" s="4" t="s">
        <v>244</v>
      </c>
      <c r="C30" s="21" t="str">
        <f>VLOOKUP($C$21,ABASTO[#All],22,FALSE)</f>
        <v>GERENCIA.TSA@OUTLOOK</v>
      </c>
    </row>
    <row r="31" spans="2:12" x14ac:dyDescent="0.25">
      <c r="B31" s="1" t="s">
        <v>21</v>
      </c>
      <c r="C31" s="21">
        <f>VLOOKUP($C$21,ABASTO[#All],20,FALSE)</f>
        <v>604</v>
      </c>
    </row>
    <row r="32" spans="2:12" x14ac:dyDescent="0.25">
      <c r="B32" s="4" t="s">
        <v>24</v>
      </c>
      <c r="C32" s="21">
        <f>VLOOKUP($C$21,ABASTO[#All],21,FALSE)</f>
        <v>0</v>
      </c>
    </row>
    <row r="33" spans="1:3" x14ac:dyDescent="0.25">
      <c r="B33" s="1" t="s">
        <v>22</v>
      </c>
      <c r="C33" s="21">
        <f>VLOOKUP($C$21,ABASTO[#All],27,FALSE)</f>
        <v>778766.08093399997</v>
      </c>
    </row>
    <row r="34" spans="1:3" ht="15.75" thickBot="1" x14ac:dyDescent="0.3">
      <c r="B34" s="6" t="s">
        <v>23</v>
      </c>
      <c r="C34" s="21">
        <f>VLOOKUP($C$21,ABASTO[#All],28,FALSE)</f>
        <v>2427065.7130499999</v>
      </c>
    </row>
    <row r="37" spans="1:3" x14ac:dyDescent="0.25">
      <c r="A37" s="16"/>
      <c r="B37" s="16"/>
      <c r="C37" s="16"/>
    </row>
    <row r="38" spans="1:3" x14ac:dyDescent="0.25">
      <c r="A38" s="16"/>
      <c r="B38" s="22"/>
      <c r="C38" s="16"/>
    </row>
    <row r="39" spans="1:3" x14ac:dyDescent="0.25">
      <c r="A39" s="16"/>
      <c r="B39" s="16"/>
      <c r="C39" s="16"/>
    </row>
    <row r="40" spans="1:3" x14ac:dyDescent="0.25">
      <c r="A40" s="16"/>
      <c r="B40" s="16"/>
      <c r="C40" s="16"/>
    </row>
  </sheetData>
  <dataConsolidate/>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'BASE DE DATOS_SU_GASOLINA'!$A$2:$A$106</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6"/>
  <sheetViews>
    <sheetView zoomScale="85" zoomScaleNormal="85" workbookViewId="0">
      <selection activeCell="A2" sqref="A2:XFD106"/>
    </sheetView>
  </sheetViews>
  <sheetFormatPr baseColWidth="10" defaultRowHeight="15" x14ac:dyDescent="0.25"/>
  <cols>
    <col min="1" max="1" width="6.42578125" style="17" customWidth="1"/>
    <col min="2" max="2" width="10.5703125" style="17" customWidth="1"/>
    <col min="3" max="3" width="17.7109375" style="17" bestFit="1"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29" bestFit="1" customWidth="1"/>
    <col min="28" max="28" width="20" style="18" bestFit="1" customWidth="1"/>
  </cols>
  <sheetData>
    <row r="1" spans="1:28" x14ac:dyDescent="0.25">
      <c r="A1" s="19" t="s">
        <v>233</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8" t="s">
        <v>50</v>
      </c>
      <c r="AB1" s="20" t="s">
        <v>51</v>
      </c>
    </row>
    <row r="2" spans="1:28" x14ac:dyDescent="0.25">
      <c r="A2" s="30">
        <v>1</v>
      </c>
      <c r="B2" s="17">
        <v>468411</v>
      </c>
      <c r="C2" s="17" t="s">
        <v>337</v>
      </c>
      <c r="D2" s="17" t="s">
        <v>52</v>
      </c>
      <c r="E2" s="17" t="s">
        <v>339</v>
      </c>
      <c r="F2" s="17" t="s">
        <v>340</v>
      </c>
      <c r="G2" s="17" t="s">
        <v>339</v>
      </c>
      <c r="H2" s="17" t="s">
        <v>78</v>
      </c>
      <c r="I2" s="17">
        <v>20324</v>
      </c>
      <c r="J2" s="17" t="s">
        <v>54</v>
      </c>
      <c r="K2" s="17" t="s">
        <v>66</v>
      </c>
      <c r="L2" s="17" t="s">
        <v>77</v>
      </c>
      <c r="M2" s="17" t="s">
        <v>341</v>
      </c>
      <c r="N2" s="17" t="s">
        <v>90</v>
      </c>
      <c r="O2" s="17" t="s">
        <v>93</v>
      </c>
      <c r="P2" s="17" t="s">
        <v>90</v>
      </c>
      <c r="Q2" s="17" t="s">
        <v>72</v>
      </c>
      <c r="R2" s="17" t="s">
        <v>90</v>
      </c>
      <c r="S2" s="17" t="s">
        <v>82</v>
      </c>
      <c r="T2" s="17">
        <v>16</v>
      </c>
      <c r="U2" s="18">
        <v>0</v>
      </c>
      <c r="V2" s="17" t="s">
        <v>342</v>
      </c>
      <c r="X2" s="17" t="s">
        <v>94</v>
      </c>
      <c r="Y2" s="17" t="s">
        <v>332</v>
      </c>
      <c r="Z2" s="17" t="s">
        <v>333</v>
      </c>
      <c r="AA2" s="29">
        <v>794726.29902999999</v>
      </c>
      <c r="AB2" s="29">
        <v>2436578.94062</v>
      </c>
    </row>
    <row r="3" spans="1:28" x14ac:dyDescent="0.25">
      <c r="A3" s="30">
        <v>2</v>
      </c>
      <c r="B3" s="17">
        <v>468411</v>
      </c>
      <c r="C3" s="17" t="s">
        <v>337</v>
      </c>
      <c r="D3" s="17" t="s">
        <v>52</v>
      </c>
      <c r="E3" s="17" t="s">
        <v>343</v>
      </c>
      <c r="F3" s="17" t="s">
        <v>340</v>
      </c>
      <c r="G3" s="17" t="s">
        <v>344</v>
      </c>
      <c r="H3" s="17" t="s">
        <v>97</v>
      </c>
      <c r="I3" s="17">
        <v>20357</v>
      </c>
      <c r="J3" s="17" t="s">
        <v>54</v>
      </c>
      <c r="K3" s="17" t="s">
        <v>66</v>
      </c>
      <c r="L3" s="17" t="s">
        <v>77</v>
      </c>
      <c r="M3" s="17" t="s">
        <v>345</v>
      </c>
      <c r="N3" s="17" t="s">
        <v>20</v>
      </c>
      <c r="O3" s="17" t="s">
        <v>58</v>
      </c>
      <c r="P3" s="17" t="s">
        <v>77</v>
      </c>
      <c r="Q3" s="17" t="s">
        <v>58</v>
      </c>
      <c r="R3" s="17" t="s">
        <v>90</v>
      </c>
      <c r="S3" s="17" t="s">
        <v>58</v>
      </c>
      <c r="T3" s="17">
        <v>0</v>
      </c>
      <c r="U3" s="18">
        <v>0</v>
      </c>
      <c r="V3" s="17" t="s">
        <v>346</v>
      </c>
      <c r="W3" s="17" t="s">
        <v>347</v>
      </c>
      <c r="X3" s="17" t="s">
        <v>61</v>
      </c>
      <c r="Y3" s="17" t="s">
        <v>335</v>
      </c>
      <c r="Z3" s="17" t="s">
        <v>334</v>
      </c>
      <c r="AA3" s="29">
        <v>781583.12460900005</v>
      </c>
      <c r="AB3" s="29">
        <v>2405451.3525700001</v>
      </c>
    </row>
    <row r="4" spans="1:28" x14ac:dyDescent="0.25">
      <c r="A4" s="30">
        <v>3</v>
      </c>
      <c r="B4" s="17">
        <v>468411</v>
      </c>
      <c r="C4" s="17" t="s">
        <v>337</v>
      </c>
      <c r="D4" s="17" t="s">
        <v>52</v>
      </c>
      <c r="E4" s="17" t="s">
        <v>348</v>
      </c>
      <c r="F4" s="17" t="s">
        <v>340</v>
      </c>
      <c r="G4" s="17" t="s">
        <v>349</v>
      </c>
      <c r="H4" s="17" t="s">
        <v>63</v>
      </c>
      <c r="I4" s="17">
        <v>20341</v>
      </c>
      <c r="J4" s="17" t="s">
        <v>54</v>
      </c>
      <c r="K4" s="17" t="s">
        <v>60</v>
      </c>
      <c r="L4" s="17" t="s">
        <v>77</v>
      </c>
      <c r="M4" s="17" t="s">
        <v>350</v>
      </c>
      <c r="N4" s="17" t="s">
        <v>90</v>
      </c>
      <c r="O4" s="17" t="s">
        <v>93</v>
      </c>
      <c r="P4" s="17" t="s">
        <v>90</v>
      </c>
      <c r="Q4" s="17" t="s">
        <v>93</v>
      </c>
      <c r="R4" s="17" t="s">
        <v>90</v>
      </c>
      <c r="S4" s="17" t="s">
        <v>82</v>
      </c>
      <c r="T4" s="17">
        <v>0</v>
      </c>
      <c r="U4" s="18">
        <v>0</v>
      </c>
      <c r="V4" s="17" t="s">
        <v>351</v>
      </c>
      <c r="X4" s="17" t="s">
        <v>94</v>
      </c>
      <c r="Y4" s="17" t="s">
        <v>335</v>
      </c>
      <c r="Z4" s="17" t="s">
        <v>334</v>
      </c>
      <c r="AA4" s="29">
        <v>774529.63417099998</v>
      </c>
      <c r="AB4" s="29">
        <v>2414256.5520299999</v>
      </c>
    </row>
    <row r="5" spans="1:28" x14ac:dyDescent="0.25">
      <c r="A5" s="30">
        <v>4</v>
      </c>
      <c r="B5" s="17">
        <v>468411</v>
      </c>
      <c r="C5" s="17" t="s">
        <v>337</v>
      </c>
      <c r="D5" s="17" t="s">
        <v>52</v>
      </c>
      <c r="E5" s="17" t="s">
        <v>352</v>
      </c>
      <c r="F5" s="17" t="s">
        <v>340</v>
      </c>
      <c r="G5" s="17" t="s">
        <v>353</v>
      </c>
      <c r="H5" s="17" t="s">
        <v>63</v>
      </c>
      <c r="I5" s="17">
        <v>20345</v>
      </c>
      <c r="J5" s="17" t="s">
        <v>54</v>
      </c>
      <c r="K5" s="17" t="s">
        <v>66</v>
      </c>
      <c r="L5" s="17" t="s">
        <v>77</v>
      </c>
      <c r="M5" s="17" t="s">
        <v>354</v>
      </c>
      <c r="N5" s="17" t="s">
        <v>90</v>
      </c>
      <c r="O5" s="17" t="s">
        <v>355</v>
      </c>
      <c r="P5" s="17" t="s">
        <v>90</v>
      </c>
      <c r="Q5" s="17" t="s">
        <v>98</v>
      </c>
      <c r="R5" s="17" t="s">
        <v>90</v>
      </c>
      <c r="S5" s="17" t="s">
        <v>82</v>
      </c>
      <c r="T5" s="17">
        <v>0</v>
      </c>
      <c r="U5" s="18">
        <v>0</v>
      </c>
      <c r="V5" s="17" t="s">
        <v>356</v>
      </c>
      <c r="X5" s="17" t="s">
        <v>94</v>
      </c>
      <c r="Y5" s="17" t="s">
        <v>335</v>
      </c>
      <c r="Z5" s="17" t="s">
        <v>334</v>
      </c>
      <c r="AA5" s="29">
        <v>781263.54955999996</v>
      </c>
      <c r="AB5" s="29">
        <v>2410720.6819600002</v>
      </c>
    </row>
    <row r="6" spans="1:28" x14ac:dyDescent="0.25">
      <c r="A6" s="30">
        <v>5</v>
      </c>
      <c r="B6" s="17">
        <v>468411</v>
      </c>
      <c r="C6" s="17" t="s">
        <v>337</v>
      </c>
      <c r="D6" s="17" t="s">
        <v>52</v>
      </c>
      <c r="E6" s="17" t="s">
        <v>357</v>
      </c>
      <c r="F6" s="17" t="s">
        <v>340</v>
      </c>
      <c r="G6" s="17" t="s">
        <v>358</v>
      </c>
      <c r="H6" s="17" t="s">
        <v>68</v>
      </c>
      <c r="I6" s="17">
        <v>20340</v>
      </c>
      <c r="J6" s="17" t="s">
        <v>54</v>
      </c>
      <c r="K6" s="17" t="s">
        <v>66</v>
      </c>
      <c r="L6" s="17" t="s">
        <v>77</v>
      </c>
      <c r="M6" s="17" t="s">
        <v>359</v>
      </c>
      <c r="N6" s="17" t="s">
        <v>90</v>
      </c>
      <c r="O6" s="17" t="s">
        <v>58</v>
      </c>
      <c r="P6" s="17" t="s">
        <v>90</v>
      </c>
      <c r="Q6" s="17" t="s">
        <v>58</v>
      </c>
      <c r="R6" s="17" t="s">
        <v>90</v>
      </c>
      <c r="S6" s="17" t="s">
        <v>82</v>
      </c>
      <c r="T6" s="17">
        <v>0</v>
      </c>
      <c r="U6" s="18">
        <v>0</v>
      </c>
      <c r="V6" s="17" t="s">
        <v>360</v>
      </c>
      <c r="X6" s="17" t="s">
        <v>94</v>
      </c>
      <c r="Y6" s="17" t="s">
        <v>335</v>
      </c>
      <c r="Z6" s="17" t="s">
        <v>334</v>
      </c>
      <c r="AA6" s="29">
        <v>781583.12667899998</v>
      </c>
      <c r="AB6" s="29">
        <v>2405451.3526099999</v>
      </c>
    </row>
    <row r="7" spans="1:28" x14ac:dyDescent="0.25">
      <c r="A7" s="30">
        <v>6</v>
      </c>
      <c r="B7" s="17">
        <v>468411</v>
      </c>
      <c r="C7" s="17" t="s">
        <v>337</v>
      </c>
      <c r="D7" s="17" t="s">
        <v>52</v>
      </c>
      <c r="E7" s="17" t="s">
        <v>361</v>
      </c>
      <c r="F7" s="17" t="s">
        <v>340</v>
      </c>
      <c r="G7" s="17" t="s">
        <v>362</v>
      </c>
      <c r="H7" s="17" t="s">
        <v>68</v>
      </c>
      <c r="I7" s="17">
        <v>20340</v>
      </c>
      <c r="J7" s="17" t="s">
        <v>54</v>
      </c>
      <c r="K7" s="17" t="s">
        <v>66</v>
      </c>
      <c r="L7" s="17" t="s">
        <v>77</v>
      </c>
      <c r="M7" s="17" t="s">
        <v>363</v>
      </c>
      <c r="O7" s="17" t="s">
        <v>92</v>
      </c>
      <c r="Q7" s="17" t="s">
        <v>72</v>
      </c>
      <c r="S7" s="17" t="s">
        <v>82</v>
      </c>
      <c r="T7" s="17">
        <v>0</v>
      </c>
      <c r="U7" s="18">
        <v>0</v>
      </c>
      <c r="V7" s="17" t="s">
        <v>364</v>
      </c>
      <c r="X7" s="17" t="s">
        <v>94</v>
      </c>
      <c r="Y7" s="17" t="s">
        <v>335</v>
      </c>
      <c r="Z7" s="17" t="s">
        <v>334</v>
      </c>
      <c r="AA7" s="29">
        <v>781780.11410799995</v>
      </c>
      <c r="AB7" s="29">
        <v>2406216.6348100002</v>
      </c>
    </row>
    <row r="8" spans="1:28" x14ac:dyDescent="0.25">
      <c r="A8" s="30">
        <v>7</v>
      </c>
      <c r="B8" s="17">
        <v>468411</v>
      </c>
      <c r="C8" s="17" t="s">
        <v>337</v>
      </c>
      <c r="D8" s="17" t="s">
        <v>52</v>
      </c>
      <c r="E8" s="17" t="s">
        <v>365</v>
      </c>
      <c r="F8" s="17" t="s">
        <v>340</v>
      </c>
      <c r="G8" s="17" t="s">
        <v>366</v>
      </c>
      <c r="H8" s="17" t="s">
        <v>78</v>
      </c>
      <c r="I8" s="17">
        <v>20345</v>
      </c>
      <c r="J8" s="17" t="s">
        <v>54</v>
      </c>
      <c r="K8" s="17" t="s">
        <v>66</v>
      </c>
      <c r="L8" s="17" t="s">
        <v>70</v>
      </c>
      <c r="M8" s="17" t="s">
        <v>58</v>
      </c>
      <c r="N8" s="17" t="s">
        <v>70</v>
      </c>
      <c r="O8" s="17" t="s">
        <v>58</v>
      </c>
      <c r="P8" s="17" t="s">
        <v>70</v>
      </c>
      <c r="Q8" s="17" t="s">
        <v>58</v>
      </c>
      <c r="R8" s="17" t="s">
        <v>70</v>
      </c>
      <c r="S8" s="17" t="s">
        <v>58</v>
      </c>
      <c r="T8" s="17">
        <v>2</v>
      </c>
      <c r="U8" s="18">
        <v>0</v>
      </c>
      <c r="V8" s="17" t="s">
        <v>367</v>
      </c>
      <c r="W8" s="17" t="s">
        <v>368</v>
      </c>
      <c r="X8" s="17" t="s">
        <v>71</v>
      </c>
      <c r="Y8" s="17" t="s">
        <v>335</v>
      </c>
      <c r="Z8" s="17" t="s">
        <v>334</v>
      </c>
      <c r="AA8" s="29">
        <v>781586.19339499995</v>
      </c>
      <c r="AB8" s="29">
        <v>2409003.16609</v>
      </c>
    </row>
    <row r="9" spans="1:28" x14ac:dyDescent="0.25">
      <c r="A9" s="30">
        <v>8</v>
      </c>
      <c r="B9" s="17">
        <v>468411</v>
      </c>
      <c r="C9" s="17" t="s">
        <v>337</v>
      </c>
      <c r="D9" s="17" t="s">
        <v>52</v>
      </c>
      <c r="E9" s="17" t="s">
        <v>369</v>
      </c>
      <c r="F9" s="17" t="s">
        <v>340</v>
      </c>
      <c r="G9" s="17" t="s">
        <v>370</v>
      </c>
      <c r="H9" s="17" t="s">
        <v>78</v>
      </c>
      <c r="I9" s="17">
        <v>20392</v>
      </c>
      <c r="J9" s="17" t="s">
        <v>54</v>
      </c>
      <c r="K9" s="17" t="s">
        <v>66</v>
      </c>
      <c r="L9" s="17" t="s">
        <v>70</v>
      </c>
      <c r="M9" s="17" t="s">
        <v>371</v>
      </c>
      <c r="N9" s="17" t="s">
        <v>70</v>
      </c>
      <c r="O9" s="17" t="s">
        <v>58</v>
      </c>
      <c r="P9" s="17" t="s">
        <v>70</v>
      </c>
      <c r="Q9" s="17" t="s">
        <v>58</v>
      </c>
      <c r="R9" s="17" t="s">
        <v>70</v>
      </c>
      <c r="S9" s="17" t="s">
        <v>58</v>
      </c>
      <c r="T9" s="17">
        <v>0</v>
      </c>
      <c r="U9" s="18">
        <v>0</v>
      </c>
      <c r="V9" s="17" t="s">
        <v>372</v>
      </c>
      <c r="W9" s="17" t="s">
        <v>373</v>
      </c>
      <c r="X9" s="17" t="s">
        <v>61</v>
      </c>
      <c r="Y9" s="17" t="s">
        <v>335</v>
      </c>
      <c r="Z9" s="17" t="s">
        <v>334</v>
      </c>
      <c r="AA9" s="29">
        <v>781588.182302</v>
      </c>
      <c r="AB9" s="29">
        <v>2408454.9352500001</v>
      </c>
    </row>
    <row r="10" spans="1:28" x14ac:dyDescent="0.25">
      <c r="A10" s="30">
        <v>9</v>
      </c>
      <c r="B10" s="17">
        <v>468411</v>
      </c>
      <c r="C10" s="17" t="s">
        <v>337</v>
      </c>
      <c r="D10" s="17" t="s">
        <v>52</v>
      </c>
      <c r="E10" s="17" t="s">
        <v>374</v>
      </c>
      <c r="F10" s="17" t="s">
        <v>340</v>
      </c>
      <c r="G10" s="17" t="s">
        <v>249</v>
      </c>
      <c r="H10" s="17" t="s">
        <v>78</v>
      </c>
      <c r="I10" s="17">
        <v>20348</v>
      </c>
      <c r="J10" s="17" t="s">
        <v>54</v>
      </c>
      <c r="K10" s="17" t="s">
        <v>55</v>
      </c>
      <c r="L10" s="17" t="s">
        <v>77</v>
      </c>
      <c r="M10" s="17" t="s">
        <v>375</v>
      </c>
      <c r="O10" s="17" t="s">
        <v>314</v>
      </c>
      <c r="Q10" s="17" t="s">
        <v>314</v>
      </c>
      <c r="S10" s="17" t="s">
        <v>82</v>
      </c>
      <c r="T10" s="17">
        <v>0</v>
      </c>
      <c r="U10" s="18">
        <v>0</v>
      </c>
      <c r="V10" s="17" t="s">
        <v>376</v>
      </c>
      <c r="X10" s="17" t="s">
        <v>59</v>
      </c>
      <c r="Y10" s="17" t="s">
        <v>335</v>
      </c>
      <c r="Z10" s="17" t="s">
        <v>334</v>
      </c>
      <c r="AA10" s="29">
        <v>780713.58497800003</v>
      </c>
      <c r="AB10" s="29">
        <v>2400008.2766100001</v>
      </c>
    </row>
    <row r="11" spans="1:28" x14ac:dyDescent="0.25">
      <c r="A11" s="30">
        <v>10</v>
      </c>
      <c r="B11" s="17">
        <v>468411</v>
      </c>
      <c r="C11" s="17" t="s">
        <v>337</v>
      </c>
      <c r="D11" s="17" t="s">
        <v>52</v>
      </c>
      <c r="E11" s="17" t="s">
        <v>377</v>
      </c>
      <c r="F11" s="17" t="s">
        <v>340</v>
      </c>
      <c r="G11" s="17" t="s">
        <v>344</v>
      </c>
      <c r="H11" s="17" t="s">
        <v>378</v>
      </c>
      <c r="I11" s="17">
        <v>20345</v>
      </c>
      <c r="J11" s="17" t="s">
        <v>54</v>
      </c>
      <c r="K11" s="17" t="s">
        <v>66</v>
      </c>
      <c r="L11" s="17" t="s">
        <v>77</v>
      </c>
      <c r="M11" s="17" t="s">
        <v>379</v>
      </c>
      <c r="O11" s="17" t="s">
        <v>58</v>
      </c>
      <c r="Q11" s="17" t="s">
        <v>58</v>
      </c>
      <c r="S11" s="17" t="s">
        <v>58</v>
      </c>
      <c r="T11" s="17">
        <v>121</v>
      </c>
      <c r="U11" s="18">
        <v>0</v>
      </c>
      <c r="V11" s="17" t="s">
        <v>346</v>
      </c>
      <c r="W11" s="17" t="s">
        <v>347</v>
      </c>
      <c r="X11" s="17" t="s">
        <v>61</v>
      </c>
      <c r="Y11" s="17" t="s">
        <v>335</v>
      </c>
      <c r="Z11" s="17" t="s">
        <v>334</v>
      </c>
      <c r="AA11" s="29">
        <v>781295.37389199995</v>
      </c>
      <c r="AB11" s="29">
        <v>2410683.76639</v>
      </c>
    </row>
    <row r="12" spans="1:28" x14ac:dyDescent="0.25">
      <c r="A12" s="30">
        <v>11</v>
      </c>
      <c r="B12" s="17">
        <v>468411</v>
      </c>
      <c r="C12" s="17" t="s">
        <v>337</v>
      </c>
      <c r="D12" s="17" t="s">
        <v>52</v>
      </c>
      <c r="E12" s="17" t="s">
        <v>380</v>
      </c>
      <c r="F12" s="17" t="s">
        <v>340</v>
      </c>
      <c r="G12" s="17" t="s">
        <v>381</v>
      </c>
      <c r="H12" s="17" t="s">
        <v>63</v>
      </c>
      <c r="I12" s="17">
        <v>20280</v>
      </c>
      <c r="J12" s="17" t="s">
        <v>54</v>
      </c>
      <c r="K12" s="17" t="s">
        <v>55</v>
      </c>
      <c r="L12" s="17" t="s">
        <v>56</v>
      </c>
      <c r="M12" s="17" t="s">
        <v>105</v>
      </c>
      <c r="N12" s="17" t="s">
        <v>20</v>
      </c>
      <c r="O12" s="17" t="s">
        <v>382</v>
      </c>
      <c r="P12" s="17" t="s">
        <v>20</v>
      </c>
      <c r="Q12" s="17" t="s">
        <v>383</v>
      </c>
      <c r="R12" s="17" t="s">
        <v>20</v>
      </c>
      <c r="S12" s="17" t="s">
        <v>143</v>
      </c>
      <c r="T12" s="17">
        <v>100</v>
      </c>
      <c r="U12" s="18">
        <v>0</v>
      </c>
      <c r="V12" s="17" t="s">
        <v>384</v>
      </c>
      <c r="W12" s="17" t="s">
        <v>385</v>
      </c>
      <c r="X12" s="17" t="s">
        <v>208</v>
      </c>
      <c r="Y12" s="17" t="s">
        <v>108</v>
      </c>
      <c r="Z12" s="17" t="s">
        <v>102</v>
      </c>
      <c r="AA12" s="29">
        <v>779740.51878299995</v>
      </c>
      <c r="AB12" s="29">
        <v>2416602.11626</v>
      </c>
    </row>
    <row r="13" spans="1:28" x14ac:dyDescent="0.25">
      <c r="A13" s="30">
        <v>12</v>
      </c>
      <c r="B13" s="17">
        <v>468411</v>
      </c>
      <c r="C13" s="17" t="s">
        <v>337</v>
      </c>
      <c r="D13" s="17" t="s">
        <v>52</v>
      </c>
      <c r="E13" s="17" t="s">
        <v>386</v>
      </c>
      <c r="F13" s="17" t="s">
        <v>340</v>
      </c>
      <c r="G13" s="17" t="s">
        <v>344</v>
      </c>
      <c r="H13" s="17" t="s">
        <v>75</v>
      </c>
      <c r="I13" s="17">
        <v>0</v>
      </c>
      <c r="J13" s="17" t="s">
        <v>54</v>
      </c>
      <c r="K13" s="17" t="s">
        <v>69</v>
      </c>
      <c r="L13" s="17" t="s">
        <v>56</v>
      </c>
      <c r="M13" s="17" t="s">
        <v>109</v>
      </c>
      <c r="N13" s="17" t="s">
        <v>20</v>
      </c>
      <c r="O13" s="17" t="s">
        <v>387</v>
      </c>
      <c r="P13" s="17" t="s">
        <v>20</v>
      </c>
      <c r="Q13" s="17" t="s">
        <v>58</v>
      </c>
      <c r="R13" s="17" t="s">
        <v>20</v>
      </c>
      <c r="S13" s="17" t="s">
        <v>138</v>
      </c>
      <c r="T13" s="17">
        <v>3805</v>
      </c>
      <c r="U13" s="18">
        <v>0</v>
      </c>
      <c r="V13" s="17" t="s">
        <v>388</v>
      </c>
      <c r="X13" s="17" t="s">
        <v>61</v>
      </c>
      <c r="Y13" s="17" t="s">
        <v>108</v>
      </c>
      <c r="Z13" s="17" t="s">
        <v>102</v>
      </c>
      <c r="AA13" s="29">
        <v>777409.90189099999</v>
      </c>
      <c r="AB13" s="29">
        <v>2417886.7965600002</v>
      </c>
    </row>
    <row r="14" spans="1:28" x14ac:dyDescent="0.25">
      <c r="A14" s="30">
        <v>13</v>
      </c>
      <c r="B14" s="17">
        <v>468411</v>
      </c>
      <c r="C14" s="17" t="s">
        <v>337</v>
      </c>
      <c r="D14" s="17" t="s">
        <v>52</v>
      </c>
      <c r="E14" s="17" t="s">
        <v>389</v>
      </c>
      <c r="F14" s="17" t="s">
        <v>340</v>
      </c>
      <c r="G14" s="17" t="s">
        <v>390</v>
      </c>
      <c r="H14" s="17" t="s">
        <v>75</v>
      </c>
      <c r="I14" s="17">
        <v>20286</v>
      </c>
      <c r="J14" s="17" t="s">
        <v>54</v>
      </c>
      <c r="K14" s="17" t="s">
        <v>66</v>
      </c>
      <c r="L14" s="17" t="s">
        <v>56</v>
      </c>
      <c r="M14" s="17" t="s">
        <v>109</v>
      </c>
      <c r="N14" s="17" t="s">
        <v>57</v>
      </c>
      <c r="O14" s="17" t="s">
        <v>58</v>
      </c>
      <c r="P14" s="17" t="s">
        <v>20</v>
      </c>
      <c r="Q14" s="17" t="s">
        <v>113</v>
      </c>
      <c r="R14" s="17" t="s">
        <v>90</v>
      </c>
      <c r="S14" s="17" t="s">
        <v>58</v>
      </c>
      <c r="T14" s="17">
        <v>3242</v>
      </c>
      <c r="U14" s="18">
        <v>0</v>
      </c>
      <c r="V14" s="17" t="s">
        <v>391</v>
      </c>
      <c r="X14" s="17" t="s">
        <v>62</v>
      </c>
      <c r="Y14" s="17" t="s">
        <v>108</v>
      </c>
      <c r="Z14" s="17" t="s">
        <v>102</v>
      </c>
      <c r="AA14" s="29">
        <v>778251.86450699996</v>
      </c>
      <c r="AB14" s="29">
        <v>2418106.4433499998</v>
      </c>
    </row>
    <row r="15" spans="1:28" x14ac:dyDescent="0.25">
      <c r="A15" s="30">
        <v>14</v>
      </c>
      <c r="B15" s="17">
        <v>468411</v>
      </c>
      <c r="C15" s="17" t="s">
        <v>337</v>
      </c>
      <c r="D15" s="17" t="s">
        <v>52</v>
      </c>
      <c r="E15" s="17" t="s">
        <v>392</v>
      </c>
      <c r="F15" s="17" t="s">
        <v>340</v>
      </c>
      <c r="G15" s="17" t="s">
        <v>393</v>
      </c>
      <c r="H15" s="17" t="s">
        <v>75</v>
      </c>
      <c r="I15" s="17">
        <v>20286</v>
      </c>
      <c r="J15" s="17" t="s">
        <v>54</v>
      </c>
      <c r="K15" s="17" t="s">
        <v>66</v>
      </c>
      <c r="L15" s="17" t="s">
        <v>56</v>
      </c>
      <c r="M15" s="17" t="s">
        <v>109</v>
      </c>
      <c r="N15" s="17" t="s">
        <v>20</v>
      </c>
      <c r="O15" s="17" t="s">
        <v>251</v>
      </c>
      <c r="P15" s="17" t="s">
        <v>20</v>
      </c>
      <c r="Q15" s="17" t="s">
        <v>103</v>
      </c>
      <c r="R15" s="17" t="s">
        <v>20</v>
      </c>
      <c r="S15" s="17" t="s">
        <v>253</v>
      </c>
      <c r="T15" s="17">
        <v>3171</v>
      </c>
      <c r="U15" s="18">
        <v>0</v>
      </c>
      <c r="X15" s="17" t="s">
        <v>71</v>
      </c>
      <c r="Y15" s="17" t="s">
        <v>108</v>
      </c>
      <c r="Z15" s="17" t="s">
        <v>102</v>
      </c>
      <c r="AA15" s="29">
        <v>778296.78857400001</v>
      </c>
      <c r="AB15" s="29">
        <v>2418164.5553299999</v>
      </c>
    </row>
    <row r="16" spans="1:28" x14ac:dyDescent="0.25">
      <c r="A16" s="30">
        <v>15</v>
      </c>
      <c r="B16" s="17">
        <v>468411</v>
      </c>
      <c r="C16" s="17" t="s">
        <v>337</v>
      </c>
      <c r="D16" s="17" t="s">
        <v>52</v>
      </c>
      <c r="E16" s="17" t="s">
        <v>369</v>
      </c>
      <c r="F16" s="17" t="s">
        <v>340</v>
      </c>
      <c r="G16" s="17" t="s">
        <v>370</v>
      </c>
      <c r="H16" s="17" t="s">
        <v>63</v>
      </c>
      <c r="I16" s="17">
        <v>20210</v>
      </c>
      <c r="J16" s="17" t="s">
        <v>54</v>
      </c>
      <c r="K16" s="17" t="s">
        <v>66</v>
      </c>
      <c r="L16" s="17" t="s">
        <v>56</v>
      </c>
      <c r="M16" s="17" t="s">
        <v>110</v>
      </c>
      <c r="N16" s="17" t="s">
        <v>20</v>
      </c>
      <c r="O16" s="17" t="s">
        <v>255</v>
      </c>
      <c r="P16" s="17" t="s">
        <v>20</v>
      </c>
      <c r="Q16" s="17" t="s">
        <v>254</v>
      </c>
      <c r="R16" s="17" t="s">
        <v>57</v>
      </c>
      <c r="S16" s="17" t="s">
        <v>143</v>
      </c>
      <c r="T16" s="17">
        <v>2703</v>
      </c>
      <c r="U16" s="18">
        <v>0</v>
      </c>
      <c r="V16" s="17" t="s">
        <v>372</v>
      </c>
      <c r="W16" s="17" t="s">
        <v>373</v>
      </c>
      <c r="X16" s="17" t="s">
        <v>62</v>
      </c>
      <c r="Y16" s="17" t="s">
        <v>118</v>
      </c>
      <c r="Z16" s="17" t="s">
        <v>102</v>
      </c>
      <c r="AA16" s="29">
        <v>777391.10388499999</v>
      </c>
      <c r="AB16" s="29">
        <v>2419322.8460400002</v>
      </c>
    </row>
    <row r="17" spans="1:28" x14ac:dyDescent="0.25">
      <c r="A17" s="30">
        <v>16</v>
      </c>
      <c r="B17" s="17">
        <v>468411</v>
      </c>
      <c r="C17" s="17" t="s">
        <v>337</v>
      </c>
      <c r="D17" s="17" t="s">
        <v>52</v>
      </c>
      <c r="E17" s="17" t="s">
        <v>394</v>
      </c>
      <c r="F17" s="17" t="s">
        <v>340</v>
      </c>
      <c r="G17" s="17" t="s">
        <v>395</v>
      </c>
      <c r="H17" s="17" t="s">
        <v>75</v>
      </c>
      <c r="I17" s="17">
        <v>20210</v>
      </c>
      <c r="J17" s="17" t="s">
        <v>54</v>
      </c>
      <c r="K17" s="17" t="s">
        <v>66</v>
      </c>
      <c r="L17" s="17" t="s">
        <v>56</v>
      </c>
      <c r="M17" s="17" t="s">
        <v>119</v>
      </c>
      <c r="N17" s="17" t="s">
        <v>56</v>
      </c>
      <c r="O17" s="17" t="s">
        <v>396</v>
      </c>
      <c r="P17" s="17" t="s">
        <v>20</v>
      </c>
      <c r="Q17" s="17" t="s">
        <v>58</v>
      </c>
      <c r="R17" s="17" t="s">
        <v>104</v>
      </c>
      <c r="S17" s="17" t="s">
        <v>119</v>
      </c>
      <c r="T17" s="17">
        <v>0</v>
      </c>
      <c r="U17" s="18">
        <v>0</v>
      </c>
      <c r="V17" s="17" t="s">
        <v>397</v>
      </c>
      <c r="W17" s="17" t="s">
        <v>398</v>
      </c>
      <c r="X17" s="17" t="s">
        <v>62</v>
      </c>
      <c r="Y17" s="17" t="s">
        <v>118</v>
      </c>
      <c r="Z17" s="17" t="s">
        <v>102</v>
      </c>
      <c r="AA17" s="29">
        <v>777253.14248200005</v>
      </c>
      <c r="AB17" s="29">
        <v>2419966.3367400002</v>
      </c>
    </row>
    <row r="18" spans="1:28" x14ac:dyDescent="0.25">
      <c r="A18" s="30">
        <v>17</v>
      </c>
      <c r="B18" s="17">
        <v>468411</v>
      </c>
      <c r="C18" s="17" t="s">
        <v>337</v>
      </c>
      <c r="D18" s="17" t="s">
        <v>52</v>
      </c>
      <c r="E18" s="17" t="s">
        <v>399</v>
      </c>
      <c r="F18" s="17" t="s">
        <v>340</v>
      </c>
      <c r="G18" s="17" t="s">
        <v>400</v>
      </c>
      <c r="H18" s="17" t="s">
        <v>75</v>
      </c>
      <c r="I18" s="17">
        <v>20210</v>
      </c>
      <c r="J18" s="17" t="s">
        <v>54</v>
      </c>
      <c r="K18" s="17" t="s">
        <v>66</v>
      </c>
      <c r="L18" s="17" t="s">
        <v>56</v>
      </c>
      <c r="M18" s="17" t="s">
        <v>259</v>
      </c>
      <c r="N18" s="17" t="s">
        <v>56</v>
      </c>
      <c r="O18" s="17" t="s">
        <v>261</v>
      </c>
      <c r="P18" s="17" t="s">
        <v>20</v>
      </c>
      <c r="Q18" s="17" t="s">
        <v>73</v>
      </c>
      <c r="R18" s="17" t="s">
        <v>20</v>
      </c>
      <c r="S18" s="17" t="s">
        <v>128</v>
      </c>
      <c r="T18" s="17">
        <v>410</v>
      </c>
      <c r="U18" s="18">
        <v>0</v>
      </c>
      <c r="V18" s="17" t="s">
        <v>401</v>
      </c>
      <c r="X18" s="17" t="s">
        <v>94</v>
      </c>
      <c r="Y18" s="17" t="s">
        <v>101</v>
      </c>
      <c r="Z18" s="17" t="s">
        <v>121</v>
      </c>
      <c r="AA18" s="29">
        <v>777767.66215700004</v>
      </c>
      <c r="AB18" s="29">
        <v>2421300.7968799998</v>
      </c>
    </row>
    <row r="19" spans="1:28" x14ac:dyDescent="0.25">
      <c r="A19" s="30">
        <v>18</v>
      </c>
      <c r="B19" s="17">
        <v>468411</v>
      </c>
      <c r="C19" s="17" t="s">
        <v>337</v>
      </c>
      <c r="D19" s="17" t="s">
        <v>52</v>
      </c>
      <c r="E19" s="17" t="s">
        <v>402</v>
      </c>
      <c r="F19" s="17" t="s">
        <v>340</v>
      </c>
      <c r="G19" s="17" t="s">
        <v>402</v>
      </c>
      <c r="H19" s="17" t="s">
        <v>63</v>
      </c>
      <c r="I19" s="17">
        <v>20020</v>
      </c>
      <c r="J19" s="17" t="s">
        <v>54</v>
      </c>
      <c r="K19" s="17" t="s">
        <v>66</v>
      </c>
      <c r="L19" s="17" t="s">
        <v>56</v>
      </c>
      <c r="M19" s="17" t="s">
        <v>257</v>
      </c>
      <c r="N19" s="17" t="s">
        <v>20</v>
      </c>
      <c r="O19" s="17" t="s">
        <v>137</v>
      </c>
      <c r="P19" s="17" t="s">
        <v>20</v>
      </c>
      <c r="Q19" s="17" t="s">
        <v>403</v>
      </c>
      <c r="R19" s="17" t="s">
        <v>20</v>
      </c>
      <c r="S19" s="17" t="s">
        <v>123</v>
      </c>
      <c r="T19" s="17">
        <v>117</v>
      </c>
      <c r="U19" s="18">
        <v>0</v>
      </c>
      <c r="V19" s="17" t="s">
        <v>404</v>
      </c>
      <c r="X19" s="17" t="s">
        <v>62</v>
      </c>
      <c r="Y19" s="17" t="s">
        <v>111</v>
      </c>
      <c r="Z19" s="17" t="s">
        <v>121</v>
      </c>
      <c r="AA19" s="29">
        <v>778468.97614599997</v>
      </c>
      <c r="AB19" s="29">
        <v>2423880.98771</v>
      </c>
    </row>
    <row r="20" spans="1:28" x14ac:dyDescent="0.25">
      <c r="A20" s="30">
        <v>19</v>
      </c>
      <c r="B20" s="17">
        <v>468411</v>
      </c>
      <c r="C20" s="17" t="s">
        <v>337</v>
      </c>
      <c r="D20" s="17" t="s">
        <v>52</v>
      </c>
      <c r="E20" s="17" t="s">
        <v>405</v>
      </c>
      <c r="F20" s="17" t="s">
        <v>340</v>
      </c>
      <c r="G20" s="17" t="s">
        <v>406</v>
      </c>
      <c r="H20" s="17" t="s">
        <v>63</v>
      </c>
      <c r="I20" s="17">
        <v>20040</v>
      </c>
      <c r="J20" s="17" t="s">
        <v>54</v>
      </c>
      <c r="K20" s="17" t="s">
        <v>66</v>
      </c>
      <c r="L20" s="17" t="s">
        <v>56</v>
      </c>
      <c r="M20" s="17" t="s">
        <v>259</v>
      </c>
      <c r="N20" s="17" t="s">
        <v>20</v>
      </c>
      <c r="O20" s="17" t="s">
        <v>140</v>
      </c>
      <c r="P20" s="17" t="s">
        <v>20</v>
      </c>
      <c r="Q20" s="17" t="s">
        <v>267</v>
      </c>
      <c r="R20" s="17" t="s">
        <v>56</v>
      </c>
      <c r="S20" s="17" t="s">
        <v>262</v>
      </c>
      <c r="T20" s="17">
        <v>1507</v>
      </c>
      <c r="U20" s="18">
        <v>0</v>
      </c>
      <c r="V20" s="17" t="s">
        <v>407</v>
      </c>
      <c r="W20" s="17" t="s">
        <v>408</v>
      </c>
      <c r="X20" s="17" t="s">
        <v>95</v>
      </c>
      <c r="Y20" s="17" t="s">
        <v>111</v>
      </c>
      <c r="Z20" s="17" t="s">
        <v>121</v>
      </c>
      <c r="AA20" s="29">
        <v>777708.11662099999</v>
      </c>
      <c r="AB20" s="29">
        <v>2423374.0084500001</v>
      </c>
    </row>
    <row r="21" spans="1:28" x14ac:dyDescent="0.25">
      <c r="A21" s="30">
        <v>20</v>
      </c>
      <c r="B21" s="17">
        <v>468411</v>
      </c>
      <c r="C21" s="17" t="s">
        <v>337</v>
      </c>
      <c r="D21" s="17" t="s">
        <v>52</v>
      </c>
      <c r="E21" s="17" t="s">
        <v>409</v>
      </c>
      <c r="F21" s="17" t="s">
        <v>340</v>
      </c>
      <c r="G21" s="17" t="s">
        <v>344</v>
      </c>
      <c r="H21" s="17" t="s">
        <v>63</v>
      </c>
      <c r="I21" s="17">
        <v>20140</v>
      </c>
      <c r="J21" s="17" t="s">
        <v>54</v>
      </c>
      <c r="K21" s="17" t="s">
        <v>66</v>
      </c>
      <c r="L21" s="17" t="s">
        <v>56</v>
      </c>
      <c r="M21" s="17" t="s">
        <v>410</v>
      </c>
      <c r="N21" s="17" t="s">
        <v>56</v>
      </c>
      <c r="O21" s="17" t="s">
        <v>122</v>
      </c>
      <c r="P21" s="17" t="s">
        <v>20</v>
      </c>
      <c r="Q21" s="17" t="s">
        <v>81</v>
      </c>
      <c r="R21" s="17" t="s">
        <v>20</v>
      </c>
      <c r="S21" s="17" t="s">
        <v>139</v>
      </c>
      <c r="T21" s="17">
        <v>406</v>
      </c>
      <c r="U21" s="18">
        <v>0</v>
      </c>
      <c r="V21" s="17" t="s">
        <v>346</v>
      </c>
      <c r="W21" s="17" t="s">
        <v>347</v>
      </c>
      <c r="X21" s="17" t="s">
        <v>62</v>
      </c>
      <c r="Y21" s="17" t="s">
        <v>111</v>
      </c>
      <c r="Z21" s="17" t="s">
        <v>121</v>
      </c>
      <c r="AA21" s="29">
        <v>780119.20666899998</v>
      </c>
      <c r="AB21" s="29">
        <v>2424430.0218699998</v>
      </c>
    </row>
    <row r="22" spans="1:28" x14ac:dyDescent="0.25">
      <c r="A22" s="30">
        <v>21</v>
      </c>
      <c r="B22" s="17">
        <v>468411</v>
      </c>
      <c r="C22" s="17" t="s">
        <v>337</v>
      </c>
      <c r="D22" s="17" t="s">
        <v>52</v>
      </c>
      <c r="E22" s="17" t="s">
        <v>411</v>
      </c>
      <c r="F22" s="17" t="s">
        <v>340</v>
      </c>
      <c r="G22" s="17" t="s">
        <v>411</v>
      </c>
      <c r="H22" s="17" t="s">
        <v>75</v>
      </c>
      <c r="I22" s="17">
        <v>20020</v>
      </c>
      <c r="J22" s="17" t="s">
        <v>54</v>
      </c>
      <c r="K22" s="17" t="s">
        <v>66</v>
      </c>
      <c r="L22" s="17" t="s">
        <v>56</v>
      </c>
      <c r="M22" s="17" t="s">
        <v>412</v>
      </c>
      <c r="N22" s="17" t="s">
        <v>56</v>
      </c>
      <c r="O22" s="17" t="s">
        <v>413</v>
      </c>
      <c r="P22" s="17" t="s">
        <v>57</v>
      </c>
      <c r="Q22" s="17" t="s">
        <v>58</v>
      </c>
      <c r="R22" s="17" t="s">
        <v>20</v>
      </c>
      <c r="S22" s="17" t="s">
        <v>414</v>
      </c>
      <c r="T22" s="17">
        <v>1201</v>
      </c>
      <c r="U22" s="18">
        <v>0</v>
      </c>
      <c r="V22" s="17" t="s">
        <v>415</v>
      </c>
      <c r="W22" s="17" t="s">
        <v>416</v>
      </c>
      <c r="X22" s="17" t="s">
        <v>94</v>
      </c>
      <c r="Y22" s="17" t="s">
        <v>111</v>
      </c>
      <c r="Z22" s="17" t="s">
        <v>121</v>
      </c>
      <c r="AA22" s="29">
        <v>778861.78278999997</v>
      </c>
      <c r="AB22" s="29">
        <v>2424037.7633000002</v>
      </c>
    </row>
    <row r="23" spans="1:28" x14ac:dyDescent="0.25">
      <c r="A23" s="30">
        <v>22</v>
      </c>
      <c r="B23" s="17">
        <v>468411</v>
      </c>
      <c r="C23" s="17" t="s">
        <v>337</v>
      </c>
      <c r="D23" s="17" t="s">
        <v>52</v>
      </c>
      <c r="E23" s="17" t="s">
        <v>417</v>
      </c>
      <c r="F23" s="17" t="s">
        <v>340</v>
      </c>
      <c r="G23" s="17" t="s">
        <v>344</v>
      </c>
      <c r="H23" s="17" t="s">
        <v>75</v>
      </c>
      <c r="I23" s="17">
        <v>20137</v>
      </c>
      <c r="J23" s="17" t="s">
        <v>54</v>
      </c>
      <c r="K23" s="17" t="s">
        <v>66</v>
      </c>
      <c r="L23" s="17" t="s">
        <v>104</v>
      </c>
      <c r="M23" s="17" t="s">
        <v>163</v>
      </c>
      <c r="N23" s="17" t="s">
        <v>104</v>
      </c>
      <c r="O23" s="17" t="s">
        <v>129</v>
      </c>
      <c r="P23" s="17" t="s">
        <v>20</v>
      </c>
      <c r="Q23" s="17" t="s">
        <v>135</v>
      </c>
      <c r="R23" s="17" t="s">
        <v>20</v>
      </c>
      <c r="S23" s="17" t="s">
        <v>264</v>
      </c>
      <c r="T23" s="17">
        <v>304</v>
      </c>
      <c r="U23" s="18">
        <v>0</v>
      </c>
      <c r="V23" s="17" t="s">
        <v>346</v>
      </c>
      <c r="W23" s="17" t="s">
        <v>347</v>
      </c>
      <c r="X23" s="17" t="s">
        <v>61</v>
      </c>
      <c r="Y23" s="17" t="s">
        <v>111</v>
      </c>
      <c r="Z23" s="17" t="s">
        <v>121</v>
      </c>
      <c r="AA23" s="29">
        <v>779723.96192100004</v>
      </c>
      <c r="AB23" s="29">
        <v>2424887.82124</v>
      </c>
    </row>
    <row r="24" spans="1:28" x14ac:dyDescent="0.25">
      <c r="A24" s="30">
        <v>23</v>
      </c>
      <c r="B24" s="17">
        <v>468411</v>
      </c>
      <c r="C24" s="17" t="s">
        <v>337</v>
      </c>
      <c r="D24" s="17" t="s">
        <v>52</v>
      </c>
      <c r="E24" s="17" t="s">
        <v>418</v>
      </c>
      <c r="F24" s="17" t="s">
        <v>340</v>
      </c>
      <c r="G24" s="17" t="s">
        <v>419</v>
      </c>
      <c r="H24" s="17" t="s">
        <v>75</v>
      </c>
      <c r="I24" s="17">
        <v>20130</v>
      </c>
      <c r="J24" s="17" t="s">
        <v>54</v>
      </c>
      <c r="K24" s="17" t="s">
        <v>66</v>
      </c>
      <c r="L24" s="17" t="s">
        <v>56</v>
      </c>
      <c r="M24" s="17" t="s">
        <v>76</v>
      </c>
      <c r="N24" s="17" t="s">
        <v>99</v>
      </c>
      <c r="O24" s="17" t="s">
        <v>220</v>
      </c>
      <c r="P24" s="17" t="s">
        <v>56</v>
      </c>
      <c r="Q24" s="17" t="s">
        <v>132</v>
      </c>
      <c r="R24" s="17" t="s">
        <v>20</v>
      </c>
      <c r="S24" s="17" t="s">
        <v>65</v>
      </c>
      <c r="T24" s="17">
        <v>1402</v>
      </c>
      <c r="U24" s="18">
        <v>0</v>
      </c>
      <c r="V24" s="17" t="s">
        <v>420</v>
      </c>
      <c r="X24" s="17" t="s">
        <v>94</v>
      </c>
      <c r="Y24" s="17" t="s">
        <v>111</v>
      </c>
      <c r="Z24" s="17" t="s">
        <v>121</v>
      </c>
      <c r="AA24" s="29">
        <v>779270.72898000001</v>
      </c>
      <c r="AB24" s="29">
        <v>2425042.1205500001</v>
      </c>
    </row>
    <row r="25" spans="1:28" x14ac:dyDescent="0.25">
      <c r="A25" s="30">
        <v>24</v>
      </c>
      <c r="B25" s="17">
        <v>468411</v>
      </c>
      <c r="C25" s="17" t="s">
        <v>337</v>
      </c>
      <c r="D25" s="17" t="s">
        <v>52</v>
      </c>
      <c r="E25" s="17" t="s">
        <v>421</v>
      </c>
      <c r="F25" s="17" t="s">
        <v>340</v>
      </c>
      <c r="G25" s="17" t="s">
        <v>422</v>
      </c>
      <c r="H25" s="17" t="s">
        <v>63</v>
      </c>
      <c r="I25" s="17">
        <v>20040</v>
      </c>
      <c r="J25" s="17" t="s">
        <v>54</v>
      </c>
      <c r="K25" s="17" t="s">
        <v>60</v>
      </c>
      <c r="L25" s="17" t="s">
        <v>56</v>
      </c>
      <c r="M25" s="17" t="s">
        <v>119</v>
      </c>
      <c r="N25" s="17" t="s">
        <v>56</v>
      </c>
      <c r="O25" s="17" t="s">
        <v>423</v>
      </c>
      <c r="P25" s="17" t="s">
        <v>20</v>
      </c>
      <c r="Q25" s="17" t="s">
        <v>269</v>
      </c>
      <c r="R25" s="17" t="s">
        <v>20</v>
      </c>
      <c r="S25" s="17" t="s">
        <v>270</v>
      </c>
      <c r="T25" s="17">
        <v>1399</v>
      </c>
      <c r="U25" s="18">
        <v>0</v>
      </c>
      <c r="V25" s="17" t="s">
        <v>424</v>
      </c>
      <c r="X25" s="17" t="s">
        <v>61</v>
      </c>
      <c r="Y25" s="17" t="s">
        <v>118</v>
      </c>
      <c r="Z25" s="17" t="s">
        <v>121</v>
      </c>
      <c r="AA25" s="29">
        <v>777220.65661900002</v>
      </c>
      <c r="AB25" s="29">
        <v>2422622.7437999998</v>
      </c>
    </row>
    <row r="26" spans="1:28" x14ac:dyDescent="0.25">
      <c r="A26" s="30">
        <v>25</v>
      </c>
      <c r="B26" s="17">
        <v>468411</v>
      </c>
      <c r="C26" s="17" t="s">
        <v>337</v>
      </c>
      <c r="D26" s="17" t="s">
        <v>52</v>
      </c>
      <c r="E26" s="17" t="s">
        <v>425</v>
      </c>
      <c r="F26" s="17" t="s">
        <v>340</v>
      </c>
      <c r="G26" s="17" t="s">
        <v>344</v>
      </c>
      <c r="H26" s="17" t="s">
        <v>63</v>
      </c>
      <c r="I26" s="17">
        <v>20080</v>
      </c>
      <c r="J26" s="17" t="s">
        <v>54</v>
      </c>
      <c r="K26" s="17" t="s">
        <v>66</v>
      </c>
      <c r="L26" s="17" t="s">
        <v>20</v>
      </c>
      <c r="M26" s="17" t="s">
        <v>268</v>
      </c>
      <c r="N26" s="17" t="s">
        <v>20</v>
      </c>
      <c r="O26" s="17" t="s">
        <v>119</v>
      </c>
      <c r="P26" s="17" t="s">
        <v>56</v>
      </c>
      <c r="Q26" s="17" t="s">
        <v>161</v>
      </c>
      <c r="R26" s="17" t="s">
        <v>56</v>
      </c>
      <c r="S26" s="17" t="s">
        <v>161</v>
      </c>
      <c r="T26" s="17">
        <v>242</v>
      </c>
      <c r="U26" s="18">
        <v>0</v>
      </c>
      <c r="V26" s="17" t="s">
        <v>346</v>
      </c>
      <c r="W26" s="17" t="s">
        <v>347</v>
      </c>
      <c r="X26" s="17" t="s">
        <v>62</v>
      </c>
      <c r="Y26" s="17" t="s">
        <v>118</v>
      </c>
      <c r="Z26" s="17" t="s">
        <v>121</v>
      </c>
      <c r="AA26" s="29">
        <v>777150.46490699996</v>
      </c>
      <c r="AB26" s="29">
        <v>2421076.12629</v>
      </c>
    </row>
    <row r="27" spans="1:28" x14ac:dyDescent="0.25">
      <c r="A27" s="30">
        <v>26</v>
      </c>
      <c r="B27" s="17">
        <v>468411</v>
      </c>
      <c r="C27" s="17" t="s">
        <v>337</v>
      </c>
      <c r="D27" s="17" t="s">
        <v>52</v>
      </c>
      <c r="E27" s="17" t="s">
        <v>426</v>
      </c>
      <c r="F27" s="17" t="s">
        <v>340</v>
      </c>
      <c r="G27" s="17" t="s">
        <v>344</v>
      </c>
      <c r="H27" s="17" t="s">
        <v>63</v>
      </c>
      <c r="I27" s="17">
        <v>20060</v>
      </c>
      <c r="J27" s="17" t="s">
        <v>54</v>
      </c>
      <c r="K27" s="17" t="s">
        <v>66</v>
      </c>
      <c r="L27" s="17" t="s">
        <v>56</v>
      </c>
      <c r="M27" s="17" t="s">
        <v>259</v>
      </c>
      <c r="N27" s="17" t="s">
        <v>56</v>
      </c>
      <c r="O27" s="17" t="s">
        <v>427</v>
      </c>
      <c r="P27" s="17" t="s">
        <v>77</v>
      </c>
      <c r="Q27" s="17" t="s">
        <v>428</v>
      </c>
      <c r="R27" s="17" t="s">
        <v>20</v>
      </c>
      <c r="S27" s="17" t="s">
        <v>179</v>
      </c>
      <c r="T27" s="17">
        <v>1402</v>
      </c>
      <c r="U27" s="18">
        <v>0</v>
      </c>
      <c r="V27" s="17" t="s">
        <v>346</v>
      </c>
      <c r="W27" s="17" t="s">
        <v>347</v>
      </c>
      <c r="X27" s="17" t="s">
        <v>62</v>
      </c>
      <c r="Y27" s="17" t="s">
        <v>118</v>
      </c>
      <c r="Z27" s="17" t="s">
        <v>121</v>
      </c>
      <c r="AA27" s="29">
        <v>777683.55149099999</v>
      </c>
      <c r="AB27" s="29">
        <v>2422614.8832100001</v>
      </c>
    </row>
    <row r="28" spans="1:28" x14ac:dyDescent="0.25">
      <c r="A28" s="30">
        <v>27</v>
      </c>
      <c r="B28" s="17">
        <v>468411</v>
      </c>
      <c r="C28" s="17" t="s">
        <v>337</v>
      </c>
      <c r="D28" s="17" t="s">
        <v>52</v>
      </c>
      <c r="E28" s="17" t="s">
        <v>429</v>
      </c>
      <c r="F28" s="17" t="s">
        <v>340</v>
      </c>
      <c r="H28" s="17" t="s">
        <v>63</v>
      </c>
      <c r="I28" s="17">
        <v>20070</v>
      </c>
      <c r="J28" s="17" t="s">
        <v>54</v>
      </c>
      <c r="K28" s="17" t="s">
        <v>55</v>
      </c>
      <c r="L28" s="17" t="s">
        <v>56</v>
      </c>
      <c r="M28" s="17" t="s">
        <v>266</v>
      </c>
      <c r="N28" s="17" t="s">
        <v>20</v>
      </c>
      <c r="O28" s="17" t="s">
        <v>430</v>
      </c>
      <c r="P28" s="17" t="s">
        <v>20</v>
      </c>
      <c r="Q28" s="17" t="s">
        <v>271</v>
      </c>
      <c r="R28" s="17" t="s">
        <v>20</v>
      </c>
      <c r="S28" s="17" t="s">
        <v>260</v>
      </c>
      <c r="T28" s="17">
        <v>2375</v>
      </c>
      <c r="U28" s="18">
        <v>0</v>
      </c>
      <c r="X28" s="17" t="s">
        <v>88</v>
      </c>
      <c r="Y28" s="17" t="s">
        <v>118</v>
      </c>
      <c r="Z28" s="17" t="s">
        <v>121</v>
      </c>
      <c r="AA28" s="29">
        <v>777733.29297399998</v>
      </c>
      <c r="AB28" s="29">
        <v>2422206.5535800001</v>
      </c>
    </row>
    <row r="29" spans="1:28" x14ac:dyDescent="0.25">
      <c r="A29" s="30">
        <v>28</v>
      </c>
      <c r="B29" s="17">
        <v>468411</v>
      </c>
      <c r="C29" s="17" t="s">
        <v>337</v>
      </c>
      <c r="D29" s="17" t="s">
        <v>52</v>
      </c>
      <c r="E29" s="17" t="s">
        <v>431</v>
      </c>
      <c r="F29" s="17" t="s">
        <v>340</v>
      </c>
      <c r="G29" s="17" t="s">
        <v>344</v>
      </c>
      <c r="H29" s="17" t="s">
        <v>75</v>
      </c>
      <c r="I29" s="17">
        <v>20270</v>
      </c>
      <c r="J29" s="17" t="s">
        <v>54</v>
      </c>
      <c r="K29" s="17" t="s">
        <v>66</v>
      </c>
      <c r="L29" s="17" t="s">
        <v>104</v>
      </c>
      <c r="M29" s="17" t="s">
        <v>432</v>
      </c>
      <c r="N29" s="17" t="s">
        <v>20</v>
      </c>
      <c r="O29" s="17" t="s">
        <v>278</v>
      </c>
      <c r="P29" s="17" t="s">
        <v>20</v>
      </c>
      <c r="Q29" s="17" t="s">
        <v>274</v>
      </c>
      <c r="R29" s="17" t="s">
        <v>20</v>
      </c>
      <c r="S29" s="17" t="s">
        <v>275</v>
      </c>
      <c r="T29" s="17">
        <v>1108</v>
      </c>
      <c r="U29" s="18">
        <v>0</v>
      </c>
      <c r="V29" s="17" t="s">
        <v>346</v>
      </c>
      <c r="W29" s="17" t="s">
        <v>347</v>
      </c>
      <c r="X29" s="17" t="s">
        <v>62</v>
      </c>
      <c r="Y29" s="17" t="s">
        <v>120</v>
      </c>
      <c r="Z29" s="17" t="s">
        <v>141</v>
      </c>
      <c r="AA29" s="29">
        <v>779599.07279400004</v>
      </c>
      <c r="AB29" s="29">
        <v>2420681.4781399998</v>
      </c>
    </row>
    <row r="30" spans="1:28" x14ac:dyDescent="0.25">
      <c r="A30" s="30">
        <v>29</v>
      </c>
      <c r="B30" s="17">
        <v>468411</v>
      </c>
      <c r="C30" s="17" t="s">
        <v>337</v>
      </c>
      <c r="D30" s="17" t="s">
        <v>52</v>
      </c>
      <c r="E30" s="17" t="s">
        <v>433</v>
      </c>
      <c r="F30" s="17" t="s">
        <v>340</v>
      </c>
      <c r="G30" s="17" t="s">
        <v>344</v>
      </c>
      <c r="H30" s="17" t="s">
        <v>63</v>
      </c>
      <c r="I30" s="17">
        <v>20289</v>
      </c>
      <c r="J30" s="17" t="s">
        <v>54</v>
      </c>
      <c r="K30" s="17" t="s">
        <v>66</v>
      </c>
      <c r="L30" s="17" t="s">
        <v>56</v>
      </c>
      <c r="M30" s="17" t="s">
        <v>198</v>
      </c>
      <c r="N30" s="17" t="s">
        <v>77</v>
      </c>
      <c r="O30" s="17" t="s">
        <v>100</v>
      </c>
      <c r="P30" s="17" t="s">
        <v>56</v>
      </c>
      <c r="Q30" s="17" t="s">
        <v>106</v>
      </c>
      <c r="R30" s="17" t="s">
        <v>56</v>
      </c>
      <c r="S30" s="17" t="s">
        <v>434</v>
      </c>
      <c r="T30" s="17">
        <v>3402</v>
      </c>
      <c r="U30" s="18">
        <v>0</v>
      </c>
      <c r="V30" s="17" t="s">
        <v>346</v>
      </c>
      <c r="W30" s="17" t="s">
        <v>347</v>
      </c>
      <c r="X30" s="17" t="s">
        <v>62</v>
      </c>
      <c r="Y30" s="17" t="s">
        <v>101</v>
      </c>
      <c r="Z30" s="17" t="s">
        <v>141</v>
      </c>
      <c r="AA30" s="29">
        <v>779131.24287099997</v>
      </c>
      <c r="AB30" s="29">
        <v>2419726.74315</v>
      </c>
    </row>
    <row r="31" spans="1:28" x14ac:dyDescent="0.25">
      <c r="A31" s="30">
        <v>30</v>
      </c>
      <c r="B31" s="17">
        <v>468411</v>
      </c>
      <c r="C31" s="17" t="s">
        <v>337</v>
      </c>
      <c r="D31" s="17" t="s">
        <v>52</v>
      </c>
      <c r="E31" s="17" t="s">
        <v>435</v>
      </c>
      <c r="F31" s="17" t="s">
        <v>340</v>
      </c>
      <c r="G31" s="17" t="s">
        <v>436</v>
      </c>
      <c r="H31" s="17" t="s">
        <v>75</v>
      </c>
      <c r="I31" s="17">
        <v>20230</v>
      </c>
      <c r="J31" s="17" t="s">
        <v>54</v>
      </c>
      <c r="K31" s="17" t="s">
        <v>66</v>
      </c>
      <c r="L31" s="17" t="s">
        <v>56</v>
      </c>
      <c r="M31" s="17" t="s">
        <v>148</v>
      </c>
      <c r="N31" s="17" t="s">
        <v>20</v>
      </c>
      <c r="O31" s="17" t="s">
        <v>149</v>
      </c>
      <c r="P31" s="17" t="s">
        <v>56</v>
      </c>
      <c r="Q31" s="17" t="s">
        <v>146</v>
      </c>
      <c r="R31" s="17" t="s">
        <v>20</v>
      </c>
      <c r="S31" s="17" t="s">
        <v>147</v>
      </c>
      <c r="T31" s="17">
        <v>602</v>
      </c>
      <c r="U31" s="18">
        <v>0</v>
      </c>
      <c r="V31" s="17" t="s">
        <v>437</v>
      </c>
      <c r="X31" s="17" t="s">
        <v>71</v>
      </c>
      <c r="Y31" s="17" t="s">
        <v>101</v>
      </c>
      <c r="Z31" s="17" t="s">
        <v>141</v>
      </c>
      <c r="AA31" s="29">
        <v>779213.82761100004</v>
      </c>
      <c r="AB31" s="29">
        <v>2420395.3074099999</v>
      </c>
    </row>
    <row r="32" spans="1:28" x14ac:dyDescent="0.25">
      <c r="A32" s="30">
        <v>31</v>
      </c>
      <c r="B32" s="17">
        <v>468411</v>
      </c>
      <c r="C32" s="17" t="s">
        <v>337</v>
      </c>
      <c r="D32" s="17" t="s">
        <v>52</v>
      </c>
      <c r="E32" s="17" t="s">
        <v>438</v>
      </c>
      <c r="F32" s="17" t="s">
        <v>340</v>
      </c>
      <c r="G32" s="17" t="s">
        <v>438</v>
      </c>
      <c r="H32" s="17" t="s">
        <v>75</v>
      </c>
      <c r="I32" s="17">
        <v>20230</v>
      </c>
      <c r="J32" s="17" t="s">
        <v>54</v>
      </c>
      <c r="K32" s="17" t="s">
        <v>66</v>
      </c>
      <c r="L32" s="17" t="s">
        <v>20</v>
      </c>
      <c r="M32" s="17" t="s">
        <v>279</v>
      </c>
      <c r="N32" s="17" t="s">
        <v>20</v>
      </c>
      <c r="O32" s="17" t="s">
        <v>127</v>
      </c>
      <c r="P32" s="17" t="s">
        <v>56</v>
      </c>
      <c r="Q32" s="17" t="s">
        <v>110</v>
      </c>
      <c r="R32" s="17" t="s">
        <v>56</v>
      </c>
      <c r="S32" s="17" t="s">
        <v>439</v>
      </c>
      <c r="T32" s="17">
        <v>205</v>
      </c>
      <c r="U32" s="18">
        <v>0</v>
      </c>
      <c r="V32" s="17" t="s">
        <v>440</v>
      </c>
      <c r="X32" s="17" t="s">
        <v>94</v>
      </c>
      <c r="Y32" s="17" t="s">
        <v>101</v>
      </c>
      <c r="Z32" s="17" t="s">
        <v>141</v>
      </c>
      <c r="AA32" s="29">
        <v>779145.42368799995</v>
      </c>
      <c r="AB32" s="29">
        <v>2420233.6101099998</v>
      </c>
    </row>
    <row r="33" spans="1:28" x14ac:dyDescent="0.25">
      <c r="A33" s="30">
        <v>32</v>
      </c>
      <c r="B33" s="17">
        <v>468411</v>
      </c>
      <c r="C33" s="17" t="s">
        <v>337</v>
      </c>
      <c r="D33" s="17" t="s">
        <v>52</v>
      </c>
      <c r="E33" s="17" t="s">
        <v>441</v>
      </c>
      <c r="F33" s="17" t="s">
        <v>340</v>
      </c>
      <c r="G33" s="17" t="s">
        <v>442</v>
      </c>
      <c r="H33" s="17" t="s">
        <v>75</v>
      </c>
      <c r="I33" s="17">
        <v>20230</v>
      </c>
      <c r="J33" s="17" t="s">
        <v>54</v>
      </c>
      <c r="K33" s="17" t="s">
        <v>66</v>
      </c>
      <c r="L33" s="17" t="s">
        <v>56</v>
      </c>
      <c r="M33" s="17" t="s">
        <v>265</v>
      </c>
      <c r="N33" s="17" t="s">
        <v>20</v>
      </c>
      <c r="O33" s="17" t="s">
        <v>145</v>
      </c>
      <c r="P33" s="17" t="s">
        <v>20</v>
      </c>
      <c r="Q33" s="17" t="s">
        <v>272</v>
      </c>
      <c r="R33" s="17" t="s">
        <v>20</v>
      </c>
      <c r="S33" s="17" t="s">
        <v>149</v>
      </c>
      <c r="T33" s="17">
        <v>600</v>
      </c>
      <c r="U33" s="18">
        <v>0</v>
      </c>
      <c r="V33" s="17" t="s">
        <v>443</v>
      </c>
      <c r="W33" s="17" t="s">
        <v>444</v>
      </c>
      <c r="X33" s="17" t="s">
        <v>114</v>
      </c>
      <c r="Y33" s="17" t="s">
        <v>101</v>
      </c>
      <c r="Z33" s="17" t="s">
        <v>141</v>
      </c>
      <c r="AA33" s="29">
        <v>778942.63867799996</v>
      </c>
      <c r="AB33" s="29">
        <v>2420486.4543400002</v>
      </c>
    </row>
    <row r="34" spans="1:28" x14ac:dyDescent="0.25">
      <c r="A34" s="30">
        <v>33</v>
      </c>
      <c r="B34" s="17">
        <v>468411</v>
      </c>
      <c r="C34" s="17" t="s">
        <v>337</v>
      </c>
      <c r="D34" s="17" t="s">
        <v>52</v>
      </c>
      <c r="E34" s="17" t="s">
        <v>445</v>
      </c>
      <c r="F34" s="17" t="s">
        <v>340</v>
      </c>
      <c r="G34" s="17" t="s">
        <v>446</v>
      </c>
      <c r="H34" s="17" t="s">
        <v>75</v>
      </c>
      <c r="I34" s="17">
        <v>20229</v>
      </c>
      <c r="J34" s="17" t="s">
        <v>54</v>
      </c>
      <c r="K34" s="17" t="s">
        <v>66</v>
      </c>
      <c r="L34" s="17" t="s">
        <v>56</v>
      </c>
      <c r="M34" s="17" t="s">
        <v>259</v>
      </c>
      <c r="N34" s="17" t="s">
        <v>104</v>
      </c>
      <c r="O34" s="17" t="s">
        <v>277</v>
      </c>
      <c r="P34" s="17" t="s">
        <v>56</v>
      </c>
      <c r="Q34" s="17" t="s">
        <v>282</v>
      </c>
      <c r="R34" s="17" t="s">
        <v>20</v>
      </c>
      <c r="S34" s="17" t="s">
        <v>276</v>
      </c>
      <c r="T34" s="17">
        <v>1125</v>
      </c>
      <c r="U34" s="18">
        <v>0</v>
      </c>
      <c r="V34" s="17" t="s">
        <v>447</v>
      </c>
      <c r="X34" s="17" t="s">
        <v>85</v>
      </c>
      <c r="Y34" s="17" t="s">
        <v>101</v>
      </c>
      <c r="Z34" s="17" t="s">
        <v>141</v>
      </c>
      <c r="AA34" s="29">
        <v>777923.57615400001</v>
      </c>
      <c r="AB34" s="29">
        <v>2420916.0972500001</v>
      </c>
    </row>
    <row r="35" spans="1:28" x14ac:dyDescent="0.25">
      <c r="A35" s="30">
        <v>34</v>
      </c>
      <c r="B35" s="17">
        <v>468411</v>
      </c>
      <c r="C35" s="17" t="s">
        <v>337</v>
      </c>
      <c r="D35" s="17" t="s">
        <v>52</v>
      </c>
      <c r="E35" s="17" t="s">
        <v>448</v>
      </c>
      <c r="F35" s="17" t="s">
        <v>340</v>
      </c>
      <c r="G35" s="17" t="s">
        <v>344</v>
      </c>
      <c r="H35" s="17" t="s">
        <v>75</v>
      </c>
      <c r="I35" s="17">
        <v>20280</v>
      </c>
      <c r="J35" s="17" t="s">
        <v>54</v>
      </c>
      <c r="K35" s="17" t="s">
        <v>66</v>
      </c>
      <c r="L35" s="17" t="s">
        <v>56</v>
      </c>
      <c r="M35" s="17" t="s">
        <v>105</v>
      </c>
      <c r="N35" s="17" t="s">
        <v>56</v>
      </c>
      <c r="O35" s="17" t="s">
        <v>283</v>
      </c>
      <c r="P35" s="17" t="s">
        <v>56</v>
      </c>
      <c r="Q35" s="17" t="s">
        <v>449</v>
      </c>
      <c r="R35" s="17" t="s">
        <v>56</v>
      </c>
      <c r="S35" s="17" t="s">
        <v>281</v>
      </c>
      <c r="T35" s="17">
        <v>719</v>
      </c>
      <c r="U35" s="18">
        <v>0</v>
      </c>
      <c r="V35" s="17" t="s">
        <v>450</v>
      </c>
      <c r="W35" s="17" t="s">
        <v>347</v>
      </c>
      <c r="X35" s="17" t="s">
        <v>91</v>
      </c>
      <c r="Y35" s="17" t="s">
        <v>101</v>
      </c>
      <c r="Z35" s="17" t="s">
        <v>141</v>
      </c>
      <c r="AA35" s="29">
        <v>779479.74045599997</v>
      </c>
      <c r="AB35" s="29">
        <v>2420461.88381</v>
      </c>
    </row>
    <row r="36" spans="1:28" x14ac:dyDescent="0.25">
      <c r="A36" s="30">
        <v>35</v>
      </c>
      <c r="B36" s="17">
        <v>468411</v>
      </c>
      <c r="C36" s="17" t="s">
        <v>337</v>
      </c>
      <c r="D36" s="17" t="s">
        <v>52</v>
      </c>
      <c r="E36" s="17" t="s">
        <v>451</v>
      </c>
      <c r="F36" s="17" t="s">
        <v>340</v>
      </c>
      <c r="G36" s="17" t="s">
        <v>452</v>
      </c>
      <c r="H36" s="17" t="s">
        <v>75</v>
      </c>
      <c r="I36" s="17">
        <v>20285</v>
      </c>
      <c r="J36" s="17" t="s">
        <v>54</v>
      </c>
      <c r="K36" s="17" t="s">
        <v>66</v>
      </c>
      <c r="L36" s="17" t="s">
        <v>56</v>
      </c>
      <c r="M36" s="17" t="s">
        <v>106</v>
      </c>
      <c r="N36" s="17" t="s">
        <v>20</v>
      </c>
      <c r="O36" s="17" t="s">
        <v>107</v>
      </c>
      <c r="P36" s="17" t="s">
        <v>20</v>
      </c>
      <c r="Q36" s="17" t="s">
        <v>103</v>
      </c>
      <c r="R36" s="17" t="s">
        <v>20</v>
      </c>
      <c r="S36" s="17" t="s">
        <v>150</v>
      </c>
      <c r="T36" s="17">
        <v>102</v>
      </c>
      <c r="U36" s="18">
        <v>0</v>
      </c>
      <c r="V36" s="17" t="s">
        <v>453</v>
      </c>
      <c r="W36" s="17" t="s">
        <v>454</v>
      </c>
      <c r="X36" s="17" t="s">
        <v>62</v>
      </c>
      <c r="Y36" s="17" t="s">
        <v>101</v>
      </c>
      <c r="Z36" s="17" t="s">
        <v>141</v>
      </c>
      <c r="AA36" s="29">
        <v>778359.49233100004</v>
      </c>
      <c r="AB36" s="29">
        <v>2419589.2932500001</v>
      </c>
    </row>
    <row r="37" spans="1:28" x14ac:dyDescent="0.25">
      <c r="A37" s="30">
        <v>36</v>
      </c>
      <c r="B37" s="17">
        <v>468411</v>
      </c>
      <c r="C37" s="17" t="s">
        <v>337</v>
      </c>
      <c r="D37" s="17" t="s">
        <v>52</v>
      </c>
      <c r="E37" s="17" t="s">
        <v>455</v>
      </c>
      <c r="F37" s="17" t="s">
        <v>340</v>
      </c>
      <c r="H37" s="17" t="s">
        <v>75</v>
      </c>
      <c r="I37" s="17">
        <v>20235</v>
      </c>
      <c r="J37" s="17" t="s">
        <v>54</v>
      </c>
      <c r="K37" s="17" t="s">
        <v>66</v>
      </c>
      <c r="L37" s="17" t="s">
        <v>56</v>
      </c>
      <c r="M37" s="17" t="s">
        <v>106</v>
      </c>
      <c r="N37" s="17" t="s">
        <v>99</v>
      </c>
      <c r="O37" s="17" t="s">
        <v>456</v>
      </c>
      <c r="P37" s="17" t="s">
        <v>20</v>
      </c>
      <c r="Q37" s="17" t="s">
        <v>457</v>
      </c>
      <c r="R37" s="17" t="s">
        <v>70</v>
      </c>
      <c r="S37" s="17" t="s">
        <v>58</v>
      </c>
      <c r="T37" s="17">
        <v>3401</v>
      </c>
      <c r="U37" s="18">
        <v>0</v>
      </c>
      <c r="V37" s="17" t="s">
        <v>458</v>
      </c>
      <c r="W37" s="17" t="s">
        <v>459</v>
      </c>
      <c r="X37" s="17" t="s">
        <v>59</v>
      </c>
      <c r="Y37" s="17" t="s">
        <v>101</v>
      </c>
      <c r="Z37" s="17" t="s">
        <v>141</v>
      </c>
      <c r="AA37" s="29">
        <v>779164.42180500005</v>
      </c>
      <c r="AB37" s="29">
        <v>2419757.9366199998</v>
      </c>
    </row>
    <row r="38" spans="1:28" x14ac:dyDescent="0.25">
      <c r="A38" s="30">
        <v>37</v>
      </c>
      <c r="B38" s="17">
        <v>468411</v>
      </c>
      <c r="C38" s="17" t="s">
        <v>337</v>
      </c>
      <c r="D38" s="17" t="s">
        <v>52</v>
      </c>
      <c r="E38" s="17" t="s">
        <v>460</v>
      </c>
      <c r="F38" s="17" t="s">
        <v>340</v>
      </c>
      <c r="G38" s="17" t="s">
        <v>461</v>
      </c>
      <c r="H38" s="17" t="s">
        <v>63</v>
      </c>
      <c r="I38" s="17">
        <v>20180</v>
      </c>
      <c r="J38" s="17" t="s">
        <v>54</v>
      </c>
      <c r="K38" s="17" t="s">
        <v>66</v>
      </c>
      <c r="L38" s="17" t="s">
        <v>56</v>
      </c>
      <c r="M38" s="17" t="s">
        <v>105</v>
      </c>
      <c r="N38" s="17" t="s">
        <v>56</v>
      </c>
      <c r="O38" s="17" t="s">
        <v>154</v>
      </c>
      <c r="P38" s="17" t="s">
        <v>20</v>
      </c>
      <c r="Q38" s="17" t="s">
        <v>284</v>
      </c>
      <c r="R38" s="17" t="s">
        <v>104</v>
      </c>
      <c r="S38" s="17" t="s">
        <v>285</v>
      </c>
      <c r="T38" s="17">
        <v>402</v>
      </c>
      <c r="U38" s="18">
        <v>0</v>
      </c>
      <c r="V38" s="17" t="s">
        <v>462</v>
      </c>
      <c r="X38" s="17" t="s">
        <v>62</v>
      </c>
      <c r="Y38" s="17" t="s">
        <v>115</v>
      </c>
      <c r="Z38" s="17" t="s">
        <v>141</v>
      </c>
      <c r="AA38" s="29">
        <v>779709.41530300002</v>
      </c>
      <c r="AB38" s="29">
        <v>2418453.8605399998</v>
      </c>
    </row>
    <row r="39" spans="1:28" x14ac:dyDescent="0.25">
      <c r="A39" s="30">
        <v>38</v>
      </c>
      <c r="B39" s="17">
        <v>468411</v>
      </c>
      <c r="C39" s="17" t="s">
        <v>337</v>
      </c>
      <c r="D39" s="17" t="s">
        <v>52</v>
      </c>
      <c r="E39" s="17" t="s">
        <v>463</v>
      </c>
      <c r="F39" s="17" t="s">
        <v>340</v>
      </c>
      <c r="G39" s="17" t="s">
        <v>464</v>
      </c>
      <c r="H39" s="17" t="s">
        <v>75</v>
      </c>
      <c r="I39" s="17">
        <v>20280</v>
      </c>
      <c r="J39" s="17" t="s">
        <v>54</v>
      </c>
      <c r="K39" s="17" t="s">
        <v>66</v>
      </c>
      <c r="L39" s="17" t="s">
        <v>104</v>
      </c>
      <c r="M39" s="17" t="s">
        <v>144</v>
      </c>
      <c r="N39" s="17" t="s">
        <v>20</v>
      </c>
      <c r="O39" s="17" t="s">
        <v>117</v>
      </c>
      <c r="P39" s="17" t="s">
        <v>56</v>
      </c>
      <c r="Q39" s="17" t="s">
        <v>109</v>
      </c>
      <c r="R39" s="17" t="s">
        <v>56</v>
      </c>
      <c r="S39" s="17" t="s">
        <v>105</v>
      </c>
      <c r="T39" s="17">
        <v>1907</v>
      </c>
      <c r="U39" s="18">
        <v>0</v>
      </c>
      <c r="V39" s="17" t="s">
        <v>465</v>
      </c>
      <c r="X39" s="17" t="s">
        <v>62</v>
      </c>
      <c r="Y39" s="17" t="s">
        <v>115</v>
      </c>
      <c r="Z39" s="17" t="s">
        <v>141</v>
      </c>
      <c r="AA39" s="29">
        <v>779935.20362299995</v>
      </c>
      <c r="AB39" s="29">
        <v>2418370.7939300002</v>
      </c>
    </row>
    <row r="40" spans="1:28" x14ac:dyDescent="0.25">
      <c r="A40" s="30">
        <v>39</v>
      </c>
      <c r="B40" s="17">
        <v>468411</v>
      </c>
      <c r="C40" s="17" t="s">
        <v>337</v>
      </c>
      <c r="D40" s="17" t="s">
        <v>52</v>
      </c>
      <c r="E40" s="17" t="s">
        <v>466</v>
      </c>
      <c r="F40" s="17" t="s">
        <v>340</v>
      </c>
      <c r="G40" s="17" t="s">
        <v>467</v>
      </c>
      <c r="H40" s="17" t="s">
        <v>53</v>
      </c>
      <c r="I40" s="17">
        <v>20240</v>
      </c>
      <c r="J40" s="17" t="s">
        <v>54</v>
      </c>
      <c r="K40" s="17" t="s">
        <v>66</v>
      </c>
      <c r="L40" s="17" t="s">
        <v>56</v>
      </c>
      <c r="M40" s="17" t="s">
        <v>160</v>
      </c>
      <c r="N40" s="17" t="s">
        <v>56</v>
      </c>
      <c r="O40" s="17" t="s">
        <v>142</v>
      </c>
      <c r="P40" s="17" t="s">
        <v>20</v>
      </c>
      <c r="Q40" s="17" t="s">
        <v>157</v>
      </c>
      <c r="R40" s="17" t="s">
        <v>20</v>
      </c>
      <c r="S40" s="17" t="s">
        <v>156</v>
      </c>
      <c r="T40" s="17">
        <v>1410</v>
      </c>
      <c r="U40" s="18">
        <v>0</v>
      </c>
      <c r="V40" s="17" t="s">
        <v>468</v>
      </c>
      <c r="X40" s="17" t="s">
        <v>62</v>
      </c>
      <c r="Y40" s="17" t="s">
        <v>120</v>
      </c>
      <c r="Z40" s="17" t="s">
        <v>152</v>
      </c>
      <c r="AA40" s="29">
        <v>780920.67584799998</v>
      </c>
      <c r="AB40" s="29">
        <v>2420600.1921700002</v>
      </c>
    </row>
    <row r="41" spans="1:28" x14ac:dyDescent="0.25">
      <c r="A41" s="30">
        <v>40</v>
      </c>
      <c r="B41" s="17">
        <v>468411</v>
      </c>
      <c r="C41" s="17" t="s">
        <v>337</v>
      </c>
      <c r="D41" s="17" t="s">
        <v>52</v>
      </c>
      <c r="E41" s="17" t="s">
        <v>469</v>
      </c>
      <c r="F41" s="17" t="s">
        <v>340</v>
      </c>
      <c r="G41" s="17" t="s">
        <v>470</v>
      </c>
      <c r="H41" s="17" t="s">
        <v>53</v>
      </c>
      <c r="I41" s="17">
        <v>20240</v>
      </c>
      <c r="J41" s="17" t="s">
        <v>54</v>
      </c>
      <c r="K41" s="17" t="s">
        <v>66</v>
      </c>
      <c r="L41" s="17" t="s">
        <v>56</v>
      </c>
      <c r="M41" s="17" t="s">
        <v>258</v>
      </c>
      <c r="N41" s="17" t="s">
        <v>20</v>
      </c>
      <c r="O41" s="17" t="s">
        <v>273</v>
      </c>
      <c r="P41" s="17" t="s">
        <v>56</v>
      </c>
      <c r="Q41" s="17" t="s">
        <v>67</v>
      </c>
      <c r="R41" s="17" t="s">
        <v>20</v>
      </c>
      <c r="S41" s="17" t="s">
        <v>155</v>
      </c>
      <c r="T41" s="17">
        <v>428</v>
      </c>
      <c r="U41" s="18">
        <v>0</v>
      </c>
      <c r="V41" s="17" t="s">
        <v>471</v>
      </c>
      <c r="X41" s="17" t="s">
        <v>85</v>
      </c>
      <c r="Y41" s="17" t="s">
        <v>120</v>
      </c>
      <c r="Z41" s="17" t="s">
        <v>152</v>
      </c>
      <c r="AA41" s="29">
        <v>779930.09731099999</v>
      </c>
      <c r="AB41" s="29">
        <v>2421912.6995600001</v>
      </c>
    </row>
    <row r="42" spans="1:28" x14ac:dyDescent="0.25">
      <c r="A42" s="30">
        <v>41</v>
      </c>
      <c r="B42" s="17">
        <v>468411</v>
      </c>
      <c r="C42" s="17" t="s">
        <v>337</v>
      </c>
      <c r="D42" s="17" t="s">
        <v>52</v>
      </c>
      <c r="E42" s="17" t="s">
        <v>472</v>
      </c>
      <c r="F42" s="17" t="s">
        <v>340</v>
      </c>
      <c r="G42" s="17" t="s">
        <v>473</v>
      </c>
      <c r="H42" s="17" t="s">
        <v>63</v>
      </c>
      <c r="I42" s="17">
        <v>20000</v>
      </c>
      <c r="J42" s="17" t="s">
        <v>54</v>
      </c>
      <c r="K42" s="17" t="s">
        <v>66</v>
      </c>
      <c r="L42" s="17" t="s">
        <v>20</v>
      </c>
      <c r="M42" s="17" t="s">
        <v>256</v>
      </c>
      <c r="N42" s="17" t="s">
        <v>20</v>
      </c>
      <c r="O42" s="17" t="s">
        <v>162</v>
      </c>
      <c r="P42" s="17" t="s">
        <v>20</v>
      </c>
      <c r="Q42" s="17" t="s">
        <v>126</v>
      </c>
      <c r="R42" s="17" t="s">
        <v>20</v>
      </c>
      <c r="S42" s="17" t="s">
        <v>162</v>
      </c>
      <c r="T42" s="17">
        <v>457</v>
      </c>
      <c r="U42" s="18">
        <v>0</v>
      </c>
      <c r="V42" s="17" t="s">
        <v>474</v>
      </c>
      <c r="X42" s="17" t="s">
        <v>62</v>
      </c>
      <c r="Y42" s="17" t="s">
        <v>120</v>
      </c>
      <c r="Z42" s="17" t="s">
        <v>152</v>
      </c>
      <c r="AA42" s="29">
        <v>780124.74281299999</v>
      </c>
      <c r="AB42" s="29">
        <v>2423063.5294599999</v>
      </c>
    </row>
    <row r="43" spans="1:28" x14ac:dyDescent="0.25">
      <c r="A43" s="30">
        <v>42</v>
      </c>
      <c r="B43" s="17">
        <v>468411</v>
      </c>
      <c r="C43" s="17" t="s">
        <v>337</v>
      </c>
      <c r="D43" s="17" t="s">
        <v>52</v>
      </c>
      <c r="E43" s="17" t="s">
        <v>475</v>
      </c>
      <c r="F43" s="17" t="s">
        <v>340</v>
      </c>
      <c r="G43" s="17" t="s">
        <v>476</v>
      </c>
      <c r="H43" s="17" t="s">
        <v>63</v>
      </c>
      <c r="I43" s="17">
        <v>20000</v>
      </c>
      <c r="J43" s="17" t="s">
        <v>54</v>
      </c>
      <c r="K43" s="17" t="s">
        <v>60</v>
      </c>
      <c r="L43" s="17" t="s">
        <v>56</v>
      </c>
      <c r="M43" s="17" t="s">
        <v>64</v>
      </c>
      <c r="N43" s="17" t="s">
        <v>20</v>
      </c>
      <c r="O43" s="17" t="s">
        <v>477</v>
      </c>
      <c r="P43" s="17" t="s">
        <v>20</v>
      </c>
      <c r="Q43" s="17" t="s">
        <v>478</v>
      </c>
      <c r="R43" s="17" t="s">
        <v>20</v>
      </c>
      <c r="S43" s="17" t="s">
        <v>203</v>
      </c>
      <c r="T43" s="17">
        <v>222</v>
      </c>
      <c r="U43" s="18">
        <v>0</v>
      </c>
      <c r="X43" s="17" t="s">
        <v>59</v>
      </c>
      <c r="Y43" s="17" t="s">
        <v>120</v>
      </c>
      <c r="Z43" s="17" t="s">
        <v>152</v>
      </c>
      <c r="AA43" s="29">
        <v>779634.04652800004</v>
      </c>
      <c r="AB43" s="29">
        <v>2422206.22774</v>
      </c>
    </row>
    <row r="44" spans="1:28" x14ac:dyDescent="0.25">
      <c r="A44" s="30">
        <v>43</v>
      </c>
      <c r="B44" s="17">
        <v>468411</v>
      </c>
      <c r="C44" s="17" t="s">
        <v>337</v>
      </c>
      <c r="D44" s="17" t="s">
        <v>52</v>
      </c>
      <c r="E44" s="17" t="s">
        <v>479</v>
      </c>
      <c r="F44" s="17" t="s">
        <v>340</v>
      </c>
      <c r="G44" s="17" t="s">
        <v>480</v>
      </c>
      <c r="H44" s="17" t="s">
        <v>75</v>
      </c>
      <c r="I44" s="17">
        <v>20196</v>
      </c>
      <c r="J44" s="17" t="s">
        <v>54</v>
      </c>
      <c r="K44" s="17" t="s">
        <v>66</v>
      </c>
      <c r="L44" s="17" t="s">
        <v>56</v>
      </c>
      <c r="M44" s="17" t="s">
        <v>134</v>
      </c>
      <c r="N44" s="17" t="s">
        <v>56</v>
      </c>
      <c r="O44" s="17" t="s">
        <v>167</v>
      </c>
      <c r="P44" s="17" t="s">
        <v>56</v>
      </c>
      <c r="Q44" s="17" t="s">
        <v>168</v>
      </c>
      <c r="R44" s="17" t="s">
        <v>57</v>
      </c>
      <c r="S44" s="17" t="s">
        <v>291</v>
      </c>
      <c r="T44" s="17">
        <v>102</v>
      </c>
      <c r="U44" s="18">
        <v>0</v>
      </c>
      <c r="X44" s="17" t="s">
        <v>71</v>
      </c>
      <c r="Y44" s="17" t="s">
        <v>165</v>
      </c>
      <c r="Z44" s="17" t="s">
        <v>166</v>
      </c>
      <c r="AA44" s="29">
        <v>785045.29830799997</v>
      </c>
      <c r="AB44" s="29">
        <v>2421586.2434100001</v>
      </c>
    </row>
    <row r="45" spans="1:28" x14ac:dyDescent="0.25">
      <c r="A45" s="30">
        <v>44</v>
      </c>
      <c r="B45" s="17">
        <v>468411</v>
      </c>
      <c r="C45" s="17" t="s">
        <v>337</v>
      </c>
      <c r="D45" s="17" t="s">
        <v>52</v>
      </c>
      <c r="E45" s="17" t="s">
        <v>369</v>
      </c>
      <c r="F45" s="17" t="s">
        <v>340</v>
      </c>
      <c r="G45" s="17" t="s">
        <v>370</v>
      </c>
      <c r="H45" s="17" t="s">
        <v>75</v>
      </c>
      <c r="I45" s="17">
        <v>20196</v>
      </c>
      <c r="J45" s="17" t="s">
        <v>54</v>
      </c>
      <c r="K45" s="17" t="s">
        <v>66</v>
      </c>
      <c r="L45" s="17" t="s">
        <v>56</v>
      </c>
      <c r="M45" s="17" t="s">
        <v>134</v>
      </c>
      <c r="N45" s="17" t="s">
        <v>56</v>
      </c>
      <c r="O45" s="17" t="s">
        <v>290</v>
      </c>
      <c r="P45" s="17" t="s">
        <v>56</v>
      </c>
      <c r="Q45" s="17" t="s">
        <v>292</v>
      </c>
      <c r="R45" s="17" t="s">
        <v>57</v>
      </c>
      <c r="S45" s="17" t="s">
        <v>481</v>
      </c>
      <c r="T45" s="17">
        <v>102</v>
      </c>
      <c r="U45" s="18">
        <v>0</v>
      </c>
      <c r="V45" s="17" t="s">
        <v>372</v>
      </c>
      <c r="W45" s="17" t="s">
        <v>482</v>
      </c>
      <c r="X45" s="17" t="s">
        <v>83</v>
      </c>
      <c r="Y45" s="17" t="s">
        <v>165</v>
      </c>
      <c r="Z45" s="17" t="s">
        <v>166</v>
      </c>
      <c r="AA45" s="29">
        <v>784962.39799299999</v>
      </c>
      <c r="AB45" s="29">
        <v>2421532.1923099998</v>
      </c>
    </row>
    <row r="46" spans="1:28" x14ac:dyDescent="0.25">
      <c r="A46" s="30">
        <v>45</v>
      </c>
      <c r="B46" s="17">
        <v>468411</v>
      </c>
      <c r="C46" s="17" t="s">
        <v>337</v>
      </c>
      <c r="D46" s="17" t="s">
        <v>52</v>
      </c>
      <c r="E46" s="17" t="s">
        <v>483</v>
      </c>
      <c r="F46" s="17" t="s">
        <v>340</v>
      </c>
      <c r="G46" s="17" t="s">
        <v>484</v>
      </c>
      <c r="H46" s="17" t="s">
        <v>75</v>
      </c>
      <c r="I46" s="17">
        <v>20196</v>
      </c>
      <c r="J46" s="17" t="s">
        <v>54</v>
      </c>
      <c r="K46" s="17" t="s">
        <v>66</v>
      </c>
      <c r="L46" s="17" t="s">
        <v>20</v>
      </c>
      <c r="M46" s="17" t="s">
        <v>58</v>
      </c>
      <c r="N46" s="17" t="s">
        <v>56</v>
      </c>
      <c r="O46" s="17" t="s">
        <v>109</v>
      </c>
      <c r="P46" s="17" t="s">
        <v>90</v>
      </c>
      <c r="Q46" s="17" t="s">
        <v>58</v>
      </c>
      <c r="R46" s="17" t="s">
        <v>90</v>
      </c>
      <c r="S46" s="17" t="s">
        <v>138</v>
      </c>
      <c r="T46" s="17">
        <v>707</v>
      </c>
      <c r="U46" s="18">
        <v>0</v>
      </c>
      <c r="V46" s="17" t="s">
        <v>485</v>
      </c>
      <c r="W46" s="17" t="s">
        <v>486</v>
      </c>
      <c r="X46" s="17" t="s">
        <v>61</v>
      </c>
      <c r="Y46" s="17" t="s">
        <v>170</v>
      </c>
      <c r="Z46" s="17" t="s">
        <v>166</v>
      </c>
      <c r="AA46" s="29">
        <v>784846.43281899998</v>
      </c>
      <c r="AB46" s="29">
        <v>2421426.4349000002</v>
      </c>
    </row>
    <row r="47" spans="1:28" x14ac:dyDescent="0.25">
      <c r="A47" s="30">
        <v>46</v>
      </c>
      <c r="B47" s="17">
        <v>468411</v>
      </c>
      <c r="C47" s="17" t="s">
        <v>337</v>
      </c>
      <c r="D47" s="17" t="s">
        <v>52</v>
      </c>
      <c r="E47" s="17" t="s">
        <v>487</v>
      </c>
      <c r="F47" s="17" t="s">
        <v>340</v>
      </c>
      <c r="G47" s="17" t="s">
        <v>488</v>
      </c>
      <c r="H47" s="17" t="s">
        <v>75</v>
      </c>
      <c r="I47" s="17">
        <v>20126</v>
      </c>
      <c r="J47" s="17" t="s">
        <v>54</v>
      </c>
      <c r="K47" s="17" t="s">
        <v>66</v>
      </c>
      <c r="L47" s="17" t="s">
        <v>20</v>
      </c>
      <c r="M47" s="17" t="s">
        <v>489</v>
      </c>
      <c r="N47" s="17" t="s">
        <v>56</v>
      </c>
      <c r="O47" s="17" t="s">
        <v>490</v>
      </c>
      <c r="P47" s="17" t="s">
        <v>20</v>
      </c>
      <c r="Q47" s="17" t="s">
        <v>109</v>
      </c>
      <c r="R47" s="17" t="s">
        <v>20</v>
      </c>
      <c r="S47" s="17" t="s">
        <v>58</v>
      </c>
      <c r="T47" s="17">
        <v>124</v>
      </c>
      <c r="U47" s="18">
        <v>0</v>
      </c>
      <c r="V47" s="17" t="s">
        <v>491</v>
      </c>
      <c r="X47" s="17" t="s">
        <v>62</v>
      </c>
      <c r="Y47" s="17" t="s">
        <v>173</v>
      </c>
      <c r="Z47" s="17" t="s">
        <v>172</v>
      </c>
      <c r="AA47" s="29">
        <v>782742.19350499997</v>
      </c>
      <c r="AB47" s="29">
        <v>2427033.0652800002</v>
      </c>
    </row>
    <row r="48" spans="1:28" x14ac:dyDescent="0.25">
      <c r="A48" s="30">
        <v>47</v>
      </c>
      <c r="B48" s="17">
        <v>468411</v>
      </c>
      <c r="C48" s="17" t="s">
        <v>337</v>
      </c>
      <c r="D48" s="17" t="s">
        <v>52</v>
      </c>
      <c r="E48" s="17" t="s">
        <v>492</v>
      </c>
      <c r="F48" s="17" t="s">
        <v>340</v>
      </c>
      <c r="H48" s="17" t="s">
        <v>75</v>
      </c>
      <c r="I48" s="17">
        <v>20175</v>
      </c>
      <c r="J48" s="17" t="s">
        <v>54</v>
      </c>
      <c r="K48" s="17" t="s">
        <v>66</v>
      </c>
      <c r="L48" s="17" t="s">
        <v>20</v>
      </c>
      <c r="M48" s="17" t="s">
        <v>58</v>
      </c>
      <c r="N48" s="17" t="s">
        <v>56</v>
      </c>
      <c r="O48" s="17" t="s">
        <v>109</v>
      </c>
      <c r="P48" s="17" t="s">
        <v>20</v>
      </c>
      <c r="Q48" s="17" t="s">
        <v>58</v>
      </c>
      <c r="R48" s="17" t="s">
        <v>20</v>
      </c>
      <c r="S48" s="17" t="s">
        <v>174</v>
      </c>
      <c r="T48" s="17">
        <v>2829</v>
      </c>
      <c r="U48" s="18">
        <v>0</v>
      </c>
      <c r="V48" s="17" t="s">
        <v>493</v>
      </c>
      <c r="X48" s="17" t="s">
        <v>61</v>
      </c>
      <c r="Y48" s="17" t="s">
        <v>173</v>
      </c>
      <c r="Z48" s="17" t="s">
        <v>172</v>
      </c>
      <c r="AA48" s="29">
        <v>782921.72850900004</v>
      </c>
      <c r="AB48" s="29">
        <v>2426399.5789600001</v>
      </c>
    </row>
    <row r="49" spans="1:28" x14ac:dyDescent="0.25">
      <c r="A49" s="30">
        <v>48</v>
      </c>
      <c r="B49" s="17">
        <v>468411</v>
      </c>
      <c r="C49" s="17" t="s">
        <v>337</v>
      </c>
      <c r="D49" s="17" t="s">
        <v>52</v>
      </c>
      <c r="E49" s="17" t="s">
        <v>494</v>
      </c>
      <c r="F49" s="17" t="s">
        <v>340</v>
      </c>
      <c r="G49" s="17" t="s">
        <v>495</v>
      </c>
      <c r="H49" s="17" t="s">
        <v>63</v>
      </c>
      <c r="I49" s="17">
        <v>20199</v>
      </c>
      <c r="J49" s="17" t="s">
        <v>54</v>
      </c>
      <c r="K49" s="17" t="s">
        <v>66</v>
      </c>
      <c r="L49" s="17" t="s">
        <v>56</v>
      </c>
      <c r="M49" s="17" t="s">
        <v>109</v>
      </c>
      <c r="N49" s="17" t="s">
        <v>20</v>
      </c>
      <c r="O49" s="17" t="s">
        <v>177</v>
      </c>
      <c r="P49" s="17" t="s">
        <v>20</v>
      </c>
      <c r="Q49" s="17" t="s">
        <v>496</v>
      </c>
      <c r="R49" s="17" t="s">
        <v>20</v>
      </c>
      <c r="S49" s="17" t="s">
        <v>296</v>
      </c>
      <c r="T49" s="17">
        <v>420</v>
      </c>
      <c r="U49" s="18">
        <v>0</v>
      </c>
      <c r="X49" s="17" t="s">
        <v>71</v>
      </c>
      <c r="Y49" s="17" t="s">
        <v>164</v>
      </c>
      <c r="Z49" s="17" t="s">
        <v>172</v>
      </c>
      <c r="AA49" s="29">
        <v>783775.76584300003</v>
      </c>
      <c r="AB49" s="29">
        <v>2423952.0991400001</v>
      </c>
    </row>
    <row r="50" spans="1:28" x14ac:dyDescent="0.25">
      <c r="A50" s="30">
        <v>49</v>
      </c>
      <c r="B50" s="17">
        <v>468411</v>
      </c>
      <c r="C50" s="17" t="s">
        <v>337</v>
      </c>
      <c r="D50" s="17" t="s">
        <v>52</v>
      </c>
      <c r="E50" s="17" t="s">
        <v>497</v>
      </c>
      <c r="F50" s="17" t="s">
        <v>340</v>
      </c>
      <c r="G50" s="17" t="s">
        <v>498</v>
      </c>
      <c r="H50" s="17" t="s">
        <v>63</v>
      </c>
      <c r="I50" s="17">
        <v>20169</v>
      </c>
      <c r="J50" s="17" t="s">
        <v>54</v>
      </c>
      <c r="K50" s="17" t="s">
        <v>66</v>
      </c>
      <c r="L50" s="17" t="s">
        <v>104</v>
      </c>
      <c r="M50" s="17" t="s">
        <v>171</v>
      </c>
      <c r="N50" s="17" t="s">
        <v>104</v>
      </c>
      <c r="O50" s="17" t="s">
        <v>72</v>
      </c>
      <c r="P50" s="17" t="s">
        <v>56</v>
      </c>
      <c r="Q50" s="17" t="s">
        <v>109</v>
      </c>
      <c r="R50" s="17" t="s">
        <v>104</v>
      </c>
      <c r="S50" s="17" t="s">
        <v>171</v>
      </c>
      <c r="T50" s="17">
        <v>1310</v>
      </c>
      <c r="U50" s="18">
        <v>0</v>
      </c>
      <c r="V50" s="17" t="s">
        <v>499</v>
      </c>
      <c r="X50" s="17" t="s">
        <v>61</v>
      </c>
      <c r="Y50" s="17" t="s">
        <v>164</v>
      </c>
      <c r="Z50" s="17" t="s">
        <v>172</v>
      </c>
      <c r="AA50" s="29">
        <v>783478.16547999997</v>
      </c>
      <c r="AB50" s="29">
        <v>2425163.0061599999</v>
      </c>
    </row>
    <row r="51" spans="1:28" x14ac:dyDescent="0.25">
      <c r="A51" s="30">
        <v>50</v>
      </c>
      <c r="B51" s="17">
        <v>468411</v>
      </c>
      <c r="C51" s="17" t="s">
        <v>337</v>
      </c>
      <c r="D51" s="17" t="s">
        <v>52</v>
      </c>
      <c r="E51" s="17" t="s">
        <v>500</v>
      </c>
      <c r="F51" s="17" t="s">
        <v>340</v>
      </c>
      <c r="G51" s="17" t="s">
        <v>501</v>
      </c>
      <c r="H51" s="17" t="s">
        <v>75</v>
      </c>
      <c r="I51" s="17">
        <v>20164</v>
      </c>
      <c r="J51" s="17" t="s">
        <v>54</v>
      </c>
      <c r="K51" s="17" t="s">
        <v>66</v>
      </c>
      <c r="L51" s="17" t="s">
        <v>56</v>
      </c>
      <c r="M51" s="17" t="s">
        <v>178</v>
      </c>
      <c r="N51" s="17" t="s">
        <v>20</v>
      </c>
      <c r="O51" s="17" t="s">
        <v>58</v>
      </c>
      <c r="P51" s="17" t="s">
        <v>20</v>
      </c>
      <c r="Q51" s="17" t="s">
        <v>175</v>
      </c>
      <c r="R51" s="17" t="s">
        <v>20</v>
      </c>
      <c r="S51" s="17" t="s">
        <v>176</v>
      </c>
      <c r="T51" s="17">
        <v>2074</v>
      </c>
      <c r="U51" s="18">
        <v>0</v>
      </c>
      <c r="V51" s="17" t="s">
        <v>502</v>
      </c>
      <c r="X51" s="17" t="s">
        <v>62</v>
      </c>
      <c r="Y51" s="17" t="s">
        <v>164</v>
      </c>
      <c r="Z51" s="17" t="s">
        <v>172</v>
      </c>
      <c r="AA51" s="29">
        <v>782746.33974299999</v>
      </c>
      <c r="AB51" s="29">
        <v>2423395.1436800002</v>
      </c>
    </row>
    <row r="52" spans="1:28" x14ac:dyDescent="0.25">
      <c r="A52" s="30">
        <v>51</v>
      </c>
      <c r="B52" s="17">
        <v>468411</v>
      </c>
      <c r="C52" s="17" t="s">
        <v>337</v>
      </c>
      <c r="D52" s="17" t="s">
        <v>52</v>
      </c>
      <c r="E52" s="17" t="s">
        <v>503</v>
      </c>
      <c r="F52" s="17" t="s">
        <v>340</v>
      </c>
      <c r="G52" s="17" t="s">
        <v>504</v>
      </c>
      <c r="H52" s="17" t="s">
        <v>75</v>
      </c>
      <c r="I52" s="17">
        <v>20199</v>
      </c>
      <c r="J52" s="17" t="s">
        <v>54</v>
      </c>
      <c r="K52" s="17" t="s">
        <v>66</v>
      </c>
      <c r="L52" s="17" t="s">
        <v>56</v>
      </c>
      <c r="M52" s="17" t="s">
        <v>109</v>
      </c>
      <c r="N52" s="17" t="s">
        <v>20</v>
      </c>
      <c r="O52" s="17" t="s">
        <v>294</v>
      </c>
      <c r="P52" s="17" t="s">
        <v>20</v>
      </c>
      <c r="Q52" s="17" t="s">
        <v>295</v>
      </c>
      <c r="R52" s="17" t="s">
        <v>20</v>
      </c>
      <c r="S52" s="17" t="s">
        <v>280</v>
      </c>
      <c r="T52" s="17">
        <v>120</v>
      </c>
      <c r="U52" s="18">
        <v>0</v>
      </c>
      <c r="V52" s="17" t="s">
        <v>505</v>
      </c>
      <c r="W52" s="17" t="s">
        <v>506</v>
      </c>
      <c r="X52" s="17" t="s">
        <v>62</v>
      </c>
      <c r="Y52" s="17" t="s">
        <v>164</v>
      </c>
      <c r="Z52" s="17" t="s">
        <v>172</v>
      </c>
      <c r="AA52" s="29">
        <v>783754.26496099995</v>
      </c>
      <c r="AB52" s="29">
        <v>2423535.3687800001</v>
      </c>
    </row>
    <row r="53" spans="1:28" x14ac:dyDescent="0.25">
      <c r="A53" s="30">
        <v>52</v>
      </c>
      <c r="B53" s="17">
        <v>468411</v>
      </c>
      <c r="C53" s="17" t="s">
        <v>337</v>
      </c>
      <c r="D53" s="17" t="s">
        <v>52</v>
      </c>
      <c r="E53" s="17" t="s">
        <v>507</v>
      </c>
      <c r="F53" s="17" t="s">
        <v>340</v>
      </c>
      <c r="G53" s="17" t="s">
        <v>508</v>
      </c>
      <c r="H53" s="17" t="s">
        <v>63</v>
      </c>
      <c r="I53" s="17">
        <v>20250</v>
      </c>
      <c r="J53" s="17" t="s">
        <v>54</v>
      </c>
      <c r="K53" s="17" t="s">
        <v>66</v>
      </c>
      <c r="L53" s="17" t="s">
        <v>56</v>
      </c>
      <c r="M53" s="17" t="s">
        <v>160</v>
      </c>
      <c r="N53" s="17" t="s">
        <v>20</v>
      </c>
      <c r="O53" s="17" t="s">
        <v>182</v>
      </c>
      <c r="P53" s="17" t="s">
        <v>20</v>
      </c>
      <c r="Q53" s="17" t="s">
        <v>116</v>
      </c>
      <c r="R53" s="17" t="s">
        <v>20</v>
      </c>
      <c r="S53" s="17" t="s">
        <v>183</v>
      </c>
      <c r="T53" s="17">
        <v>704</v>
      </c>
      <c r="U53" s="18">
        <v>0</v>
      </c>
      <c r="V53" s="17" t="s">
        <v>509</v>
      </c>
      <c r="X53" s="17" t="s">
        <v>62</v>
      </c>
      <c r="Y53" s="17" t="s">
        <v>120</v>
      </c>
      <c r="Z53" s="17" t="s">
        <v>181</v>
      </c>
      <c r="AA53" s="29">
        <v>780943.28240000003</v>
      </c>
      <c r="AB53" s="29">
        <v>2421705.4877300002</v>
      </c>
    </row>
    <row r="54" spans="1:28" x14ac:dyDescent="0.25">
      <c r="A54" s="30">
        <v>53</v>
      </c>
      <c r="B54" s="17">
        <v>468411</v>
      </c>
      <c r="C54" s="17" t="s">
        <v>337</v>
      </c>
      <c r="D54" s="17" t="s">
        <v>52</v>
      </c>
      <c r="E54" s="17" t="s">
        <v>510</v>
      </c>
      <c r="F54" s="17" t="s">
        <v>340</v>
      </c>
      <c r="G54" s="17" t="s">
        <v>125</v>
      </c>
      <c r="H54" s="17" t="s">
        <v>151</v>
      </c>
      <c r="I54" s="17">
        <v>20298</v>
      </c>
      <c r="J54" s="17" t="s">
        <v>54</v>
      </c>
      <c r="K54" s="17" t="s">
        <v>66</v>
      </c>
      <c r="L54" s="17" t="s">
        <v>56</v>
      </c>
      <c r="M54" s="17" t="s">
        <v>187</v>
      </c>
      <c r="N54" s="17" t="s">
        <v>20</v>
      </c>
      <c r="O54" s="17" t="s">
        <v>189</v>
      </c>
      <c r="P54" s="17" t="s">
        <v>20</v>
      </c>
      <c r="Q54" s="17" t="s">
        <v>188</v>
      </c>
      <c r="R54" s="17" t="s">
        <v>20</v>
      </c>
      <c r="S54" s="17" t="s">
        <v>188</v>
      </c>
      <c r="T54" s="17">
        <v>502</v>
      </c>
      <c r="U54" s="18">
        <v>4491844607</v>
      </c>
      <c r="X54" s="17" t="s">
        <v>87</v>
      </c>
      <c r="Y54" s="17" t="s">
        <v>112</v>
      </c>
      <c r="Z54" s="17" t="s">
        <v>181</v>
      </c>
      <c r="AA54" s="29">
        <v>782233.50839199999</v>
      </c>
      <c r="AB54" s="29">
        <v>2419307.1390300002</v>
      </c>
    </row>
    <row r="55" spans="1:28" x14ac:dyDescent="0.25">
      <c r="A55" s="30">
        <v>54</v>
      </c>
      <c r="B55" s="17">
        <v>468411</v>
      </c>
      <c r="C55" s="17" t="s">
        <v>337</v>
      </c>
      <c r="D55" s="17" t="s">
        <v>52</v>
      </c>
      <c r="E55" s="17" t="s">
        <v>511</v>
      </c>
      <c r="F55" s="17" t="s">
        <v>340</v>
      </c>
      <c r="G55" s="17" t="s">
        <v>512</v>
      </c>
      <c r="H55" s="17" t="s">
        <v>63</v>
      </c>
      <c r="I55" s="17">
        <v>20298</v>
      </c>
      <c r="J55" s="17" t="s">
        <v>54</v>
      </c>
      <c r="K55" s="17" t="s">
        <v>60</v>
      </c>
      <c r="L55" s="17" t="s">
        <v>56</v>
      </c>
      <c r="M55" s="17" t="s">
        <v>109</v>
      </c>
      <c r="N55" s="17" t="s">
        <v>20</v>
      </c>
      <c r="O55" s="17" t="s">
        <v>297</v>
      </c>
      <c r="P55" s="17" t="s">
        <v>56</v>
      </c>
      <c r="Q55" s="17" t="s">
        <v>300</v>
      </c>
      <c r="R55" s="17" t="s">
        <v>70</v>
      </c>
      <c r="S55" s="17" t="s">
        <v>58</v>
      </c>
      <c r="T55" s="17">
        <v>101</v>
      </c>
      <c r="U55" s="18">
        <v>0</v>
      </c>
      <c r="V55" s="17" t="s">
        <v>513</v>
      </c>
      <c r="X55" s="17" t="s">
        <v>71</v>
      </c>
      <c r="Y55" s="17" t="s">
        <v>112</v>
      </c>
      <c r="Z55" s="17" t="s">
        <v>181</v>
      </c>
      <c r="AA55" s="29">
        <v>782204.94932200003</v>
      </c>
      <c r="AB55" s="29">
        <v>2418936.44973</v>
      </c>
    </row>
    <row r="56" spans="1:28" x14ac:dyDescent="0.25">
      <c r="A56" s="30">
        <v>55</v>
      </c>
      <c r="B56" s="17">
        <v>468411</v>
      </c>
      <c r="C56" s="17" t="s">
        <v>337</v>
      </c>
      <c r="D56" s="17" t="s">
        <v>52</v>
      </c>
      <c r="E56" s="17" t="s">
        <v>365</v>
      </c>
      <c r="F56" s="17" t="s">
        <v>340</v>
      </c>
      <c r="G56" s="17" t="s">
        <v>366</v>
      </c>
      <c r="H56" s="17" t="s">
        <v>63</v>
      </c>
      <c r="I56" s="17">
        <v>20270</v>
      </c>
      <c r="J56" s="17" t="s">
        <v>54</v>
      </c>
      <c r="K56" s="17" t="s">
        <v>66</v>
      </c>
      <c r="L56" s="17" t="s">
        <v>56</v>
      </c>
      <c r="M56" s="17" t="s">
        <v>106</v>
      </c>
      <c r="N56" s="17" t="s">
        <v>20</v>
      </c>
      <c r="O56" s="17" t="s">
        <v>298</v>
      </c>
      <c r="P56" s="17" t="s">
        <v>56</v>
      </c>
      <c r="Q56" s="17" t="s">
        <v>514</v>
      </c>
      <c r="R56" s="17" t="s">
        <v>20</v>
      </c>
      <c r="S56" s="17" t="s">
        <v>515</v>
      </c>
      <c r="T56" s="17">
        <v>200</v>
      </c>
      <c r="U56" s="18">
        <v>0</v>
      </c>
      <c r="V56" s="17" t="s">
        <v>367</v>
      </c>
      <c r="W56" s="17" t="s">
        <v>516</v>
      </c>
      <c r="X56" s="17" t="s">
        <v>71</v>
      </c>
      <c r="Y56" s="17" t="s">
        <v>112</v>
      </c>
      <c r="Z56" s="17" t="s">
        <v>181</v>
      </c>
      <c r="AA56" s="29">
        <v>782267.977725</v>
      </c>
      <c r="AB56" s="29">
        <v>2419858.2391300001</v>
      </c>
    </row>
    <row r="57" spans="1:28" x14ac:dyDescent="0.25">
      <c r="A57" s="30">
        <v>56</v>
      </c>
      <c r="B57" s="17">
        <v>468411</v>
      </c>
      <c r="C57" s="17" t="s">
        <v>337</v>
      </c>
      <c r="D57" s="17" t="s">
        <v>52</v>
      </c>
      <c r="E57" s="17" t="s">
        <v>517</v>
      </c>
      <c r="F57" s="17" t="s">
        <v>340</v>
      </c>
      <c r="G57" s="17" t="s">
        <v>518</v>
      </c>
      <c r="H57" s="17" t="s">
        <v>75</v>
      </c>
      <c r="I57" s="17">
        <v>20298</v>
      </c>
      <c r="J57" s="17" t="s">
        <v>54</v>
      </c>
      <c r="K57" s="17" t="s">
        <v>66</v>
      </c>
      <c r="L57" s="17" t="s">
        <v>56</v>
      </c>
      <c r="M57" s="17" t="s">
        <v>106</v>
      </c>
      <c r="N57" s="17" t="s">
        <v>20</v>
      </c>
      <c r="O57" s="17" t="s">
        <v>80</v>
      </c>
      <c r="P57" s="17" t="s">
        <v>20</v>
      </c>
      <c r="Q57" s="17" t="s">
        <v>191</v>
      </c>
      <c r="R57" s="17" t="s">
        <v>20</v>
      </c>
      <c r="S57" s="17" t="s">
        <v>192</v>
      </c>
      <c r="T57" s="17">
        <v>718</v>
      </c>
      <c r="U57" s="18">
        <v>0</v>
      </c>
      <c r="V57" s="17" t="s">
        <v>519</v>
      </c>
      <c r="X57" s="17" t="s">
        <v>94</v>
      </c>
      <c r="Y57" s="17" t="s">
        <v>112</v>
      </c>
      <c r="Z57" s="17" t="s">
        <v>181</v>
      </c>
      <c r="AA57" s="29">
        <v>782866.94974499999</v>
      </c>
      <c r="AB57" s="29">
        <v>2419812.55553</v>
      </c>
    </row>
    <row r="58" spans="1:28" x14ac:dyDescent="0.25">
      <c r="A58" s="30">
        <v>57</v>
      </c>
      <c r="B58" s="17">
        <v>468411</v>
      </c>
      <c r="C58" s="17" t="s">
        <v>337</v>
      </c>
      <c r="D58" s="17" t="s">
        <v>52</v>
      </c>
      <c r="E58" s="17" t="s">
        <v>369</v>
      </c>
      <c r="F58" s="17" t="s">
        <v>340</v>
      </c>
      <c r="G58" s="17" t="s">
        <v>370</v>
      </c>
      <c r="H58" s="17" t="s">
        <v>75</v>
      </c>
      <c r="I58" s="17">
        <v>20284</v>
      </c>
      <c r="J58" s="17" t="s">
        <v>54</v>
      </c>
      <c r="K58" s="17" t="s">
        <v>66</v>
      </c>
      <c r="L58" s="17" t="s">
        <v>56</v>
      </c>
      <c r="M58" s="17" t="s">
        <v>109</v>
      </c>
      <c r="N58" s="17" t="s">
        <v>56</v>
      </c>
      <c r="O58" s="17" t="s">
        <v>185</v>
      </c>
      <c r="P58" s="17" t="s">
        <v>20</v>
      </c>
      <c r="Q58" s="17" t="s">
        <v>184</v>
      </c>
      <c r="R58" s="17" t="s">
        <v>20</v>
      </c>
      <c r="S58" s="17" t="s">
        <v>186</v>
      </c>
      <c r="T58" s="17">
        <v>401</v>
      </c>
      <c r="U58" s="18">
        <v>0</v>
      </c>
      <c r="V58" s="17" t="s">
        <v>372</v>
      </c>
      <c r="W58" s="17" t="s">
        <v>373</v>
      </c>
      <c r="X58" s="17" t="s">
        <v>62</v>
      </c>
      <c r="Y58" s="17" t="s">
        <v>112</v>
      </c>
      <c r="Z58" s="17" t="s">
        <v>181</v>
      </c>
      <c r="AA58" s="29">
        <v>783481.64349499997</v>
      </c>
      <c r="AB58" s="29">
        <v>2419337.11442</v>
      </c>
    </row>
    <row r="59" spans="1:28" x14ac:dyDescent="0.25">
      <c r="A59" s="30">
        <v>58</v>
      </c>
      <c r="B59" s="17">
        <v>468411</v>
      </c>
      <c r="C59" s="17" t="s">
        <v>337</v>
      </c>
      <c r="D59" s="17" t="s">
        <v>52</v>
      </c>
      <c r="E59" s="17" t="s">
        <v>520</v>
      </c>
      <c r="F59" s="17" t="s">
        <v>340</v>
      </c>
      <c r="G59" s="17" t="s">
        <v>512</v>
      </c>
      <c r="H59" s="17" t="s">
        <v>75</v>
      </c>
      <c r="I59" s="17">
        <v>20298</v>
      </c>
      <c r="J59" s="17" t="s">
        <v>54</v>
      </c>
      <c r="K59" s="17" t="s">
        <v>66</v>
      </c>
      <c r="L59" s="17" t="s">
        <v>56</v>
      </c>
      <c r="M59" s="17" t="s">
        <v>109</v>
      </c>
      <c r="N59" s="17" t="s">
        <v>20</v>
      </c>
      <c r="O59" s="17" t="s">
        <v>190</v>
      </c>
      <c r="P59" s="17" t="s">
        <v>56</v>
      </c>
      <c r="Q59" s="17" t="s">
        <v>193</v>
      </c>
      <c r="R59" s="17" t="s">
        <v>20</v>
      </c>
      <c r="S59" s="17" t="s">
        <v>190</v>
      </c>
      <c r="T59" s="17">
        <v>101</v>
      </c>
      <c r="U59" s="18">
        <v>0</v>
      </c>
      <c r="V59" s="17" t="s">
        <v>521</v>
      </c>
      <c r="W59" s="17" t="s">
        <v>522</v>
      </c>
      <c r="X59" s="17" t="s">
        <v>62</v>
      </c>
      <c r="Y59" s="17" t="s">
        <v>112</v>
      </c>
      <c r="Z59" s="17" t="s">
        <v>181</v>
      </c>
      <c r="AA59" s="29">
        <v>782211.06506299996</v>
      </c>
      <c r="AB59" s="29">
        <v>2418938.0797199998</v>
      </c>
    </row>
    <row r="60" spans="1:28" x14ac:dyDescent="0.25">
      <c r="A60" s="30">
        <v>59</v>
      </c>
      <c r="B60" s="17">
        <v>468411</v>
      </c>
      <c r="C60" s="17" t="s">
        <v>337</v>
      </c>
      <c r="D60" s="17" t="s">
        <v>52</v>
      </c>
      <c r="E60" s="17" t="s">
        <v>523</v>
      </c>
      <c r="F60" s="17" t="s">
        <v>340</v>
      </c>
      <c r="G60" s="17" t="s">
        <v>524</v>
      </c>
      <c r="H60" s="17" t="s">
        <v>63</v>
      </c>
      <c r="I60" s="17">
        <v>20264</v>
      </c>
      <c r="J60" s="17" t="s">
        <v>54</v>
      </c>
      <c r="K60" s="17" t="s">
        <v>66</v>
      </c>
      <c r="L60" s="17" t="s">
        <v>56</v>
      </c>
      <c r="M60" s="17" t="s">
        <v>106</v>
      </c>
      <c r="N60" s="17" t="s">
        <v>20</v>
      </c>
      <c r="O60" s="17" t="s">
        <v>525</v>
      </c>
      <c r="P60" s="17" t="s">
        <v>20</v>
      </c>
      <c r="Q60" s="17" t="s">
        <v>72</v>
      </c>
      <c r="R60" s="17" t="s">
        <v>20</v>
      </c>
      <c r="S60" s="17" t="s">
        <v>302</v>
      </c>
      <c r="T60" s="17">
        <v>0</v>
      </c>
      <c r="U60" s="18">
        <v>0</v>
      </c>
      <c r="X60" s="17" t="s">
        <v>94</v>
      </c>
      <c r="Y60" s="17" t="s">
        <v>170</v>
      </c>
      <c r="Z60" s="17" t="s">
        <v>181</v>
      </c>
      <c r="AA60" s="29">
        <v>783549.65770500002</v>
      </c>
      <c r="AB60" s="29">
        <v>2419786.0334700001</v>
      </c>
    </row>
    <row r="61" spans="1:28" x14ac:dyDescent="0.25">
      <c r="A61" s="30">
        <v>60</v>
      </c>
      <c r="B61" s="17">
        <v>468411</v>
      </c>
      <c r="C61" s="17" t="s">
        <v>337</v>
      </c>
      <c r="D61" s="17" t="s">
        <v>52</v>
      </c>
      <c r="E61" s="17" t="s">
        <v>526</v>
      </c>
      <c r="F61" s="17" t="s">
        <v>340</v>
      </c>
      <c r="G61" s="17" t="s">
        <v>527</v>
      </c>
      <c r="H61" s="17" t="s">
        <v>68</v>
      </c>
      <c r="I61" s="17">
        <v>20198</v>
      </c>
      <c r="J61" s="17" t="s">
        <v>54</v>
      </c>
      <c r="K61" s="17" t="s">
        <v>66</v>
      </c>
      <c r="L61" s="17" t="s">
        <v>56</v>
      </c>
      <c r="M61" s="17" t="s">
        <v>178</v>
      </c>
      <c r="N61" s="17" t="s">
        <v>20</v>
      </c>
      <c r="O61" s="17" t="s">
        <v>58</v>
      </c>
      <c r="P61" s="17" t="s">
        <v>20</v>
      </c>
      <c r="Q61" s="17" t="s">
        <v>58</v>
      </c>
      <c r="R61" s="17" t="s">
        <v>20</v>
      </c>
      <c r="S61" s="17" t="s">
        <v>84</v>
      </c>
      <c r="T61" s="17">
        <v>1551</v>
      </c>
      <c r="U61" s="18">
        <v>0</v>
      </c>
      <c r="V61" s="17" t="s">
        <v>528</v>
      </c>
      <c r="X61" s="17" t="s">
        <v>94</v>
      </c>
      <c r="Y61" s="17" t="s">
        <v>170</v>
      </c>
      <c r="Z61" s="17" t="s">
        <v>181</v>
      </c>
      <c r="AA61" s="29">
        <v>783229.50389299996</v>
      </c>
      <c r="AB61" s="29">
        <v>2422388.2904599998</v>
      </c>
    </row>
    <row r="62" spans="1:28" x14ac:dyDescent="0.25">
      <c r="A62" s="30">
        <v>61</v>
      </c>
      <c r="B62" s="17">
        <v>468411</v>
      </c>
      <c r="C62" s="17" t="s">
        <v>337</v>
      </c>
      <c r="D62" s="17" t="s">
        <v>52</v>
      </c>
      <c r="E62" s="17" t="s">
        <v>529</v>
      </c>
      <c r="F62" s="17" t="s">
        <v>340</v>
      </c>
      <c r="G62" s="17" t="s">
        <v>530</v>
      </c>
      <c r="H62" s="17" t="s">
        <v>75</v>
      </c>
      <c r="I62" s="17">
        <v>20140</v>
      </c>
      <c r="J62" s="17" t="s">
        <v>54</v>
      </c>
      <c r="K62" s="17" t="s">
        <v>66</v>
      </c>
      <c r="L62" s="17" t="s">
        <v>104</v>
      </c>
      <c r="M62" s="17" t="s">
        <v>130</v>
      </c>
      <c r="N62" s="17" t="s">
        <v>20</v>
      </c>
      <c r="O62" s="17" t="s">
        <v>58</v>
      </c>
      <c r="P62" s="17" t="s">
        <v>104</v>
      </c>
      <c r="Q62" s="17" t="s">
        <v>531</v>
      </c>
      <c r="R62" s="17" t="s">
        <v>56</v>
      </c>
      <c r="S62" s="17" t="s">
        <v>122</v>
      </c>
      <c r="T62" s="17">
        <v>605</v>
      </c>
      <c r="U62" s="18">
        <v>0</v>
      </c>
      <c r="V62" s="17" t="s">
        <v>532</v>
      </c>
      <c r="X62" s="17" t="s">
        <v>61</v>
      </c>
      <c r="Y62" s="17" t="s">
        <v>111</v>
      </c>
      <c r="Z62" s="17" t="s">
        <v>194</v>
      </c>
      <c r="AA62" s="29">
        <v>779777.74413400004</v>
      </c>
      <c r="AB62" s="29">
        <v>2425544.9862299999</v>
      </c>
    </row>
    <row r="63" spans="1:28" x14ac:dyDescent="0.25">
      <c r="A63" s="30">
        <v>62</v>
      </c>
      <c r="B63" s="17">
        <v>468411</v>
      </c>
      <c r="C63" s="17" t="s">
        <v>337</v>
      </c>
      <c r="D63" s="17" t="s">
        <v>52</v>
      </c>
      <c r="E63" s="17" t="s">
        <v>533</v>
      </c>
      <c r="F63" s="17" t="s">
        <v>340</v>
      </c>
      <c r="G63" s="17" t="s">
        <v>344</v>
      </c>
      <c r="H63" s="17" t="s">
        <v>63</v>
      </c>
      <c r="I63" s="17">
        <v>20157</v>
      </c>
      <c r="J63" s="17" t="s">
        <v>54</v>
      </c>
      <c r="K63" s="17" t="s">
        <v>66</v>
      </c>
      <c r="L63" s="17" t="s">
        <v>56</v>
      </c>
      <c r="M63" s="17" t="s">
        <v>131</v>
      </c>
      <c r="N63" s="17" t="s">
        <v>56</v>
      </c>
      <c r="O63" s="17" t="s">
        <v>307</v>
      </c>
      <c r="Q63" s="17" t="s">
        <v>58</v>
      </c>
      <c r="R63" s="17" t="s">
        <v>56</v>
      </c>
      <c r="S63" s="17" t="s">
        <v>307</v>
      </c>
      <c r="T63" s="17">
        <v>999</v>
      </c>
      <c r="U63" s="18">
        <v>0</v>
      </c>
      <c r="V63" s="17" t="s">
        <v>346</v>
      </c>
      <c r="W63" s="17" t="s">
        <v>347</v>
      </c>
      <c r="X63" s="17" t="s">
        <v>61</v>
      </c>
      <c r="Y63" s="17" t="s">
        <v>173</v>
      </c>
      <c r="Z63" s="17" t="s">
        <v>194</v>
      </c>
      <c r="AA63" s="29">
        <v>780814.55246899999</v>
      </c>
      <c r="AB63" s="29">
        <v>2425883.6868799999</v>
      </c>
    </row>
    <row r="64" spans="1:28" x14ac:dyDescent="0.25">
      <c r="A64" s="30">
        <v>63</v>
      </c>
      <c r="B64" s="17">
        <v>468411</v>
      </c>
      <c r="C64" s="17" t="s">
        <v>337</v>
      </c>
      <c r="D64" s="17" t="s">
        <v>52</v>
      </c>
      <c r="E64" s="17" t="s">
        <v>534</v>
      </c>
      <c r="F64" s="17" t="s">
        <v>340</v>
      </c>
      <c r="G64" s="17" t="s">
        <v>344</v>
      </c>
      <c r="H64" s="17" t="s">
        <v>63</v>
      </c>
      <c r="I64" s="17">
        <v>20912</v>
      </c>
      <c r="J64" s="17" t="s">
        <v>54</v>
      </c>
      <c r="K64" s="17" t="s">
        <v>66</v>
      </c>
      <c r="L64" s="17" t="s">
        <v>20</v>
      </c>
      <c r="M64" s="17" t="s">
        <v>535</v>
      </c>
      <c r="N64" s="17" t="s">
        <v>20</v>
      </c>
      <c r="O64" s="17" t="s">
        <v>536</v>
      </c>
      <c r="P64" s="17" t="s">
        <v>20</v>
      </c>
      <c r="Q64" s="17" t="s">
        <v>58</v>
      </c>
      <c r="R64" s="17" t="s">
        <v>56</v>
      </c>
      <c r="S64" s="17" t="s">
        <v>72</v>
      </c>
      <c r="T64" s="17">
        <v>0</v>
      </c>
      <c r="U64" s="18">
        <v>0</v>
      </c>
      <c r="X64" s="17" t="s">
        <v>88</v>
      </c>
      <c r="Y64" s="17" t="s">
        <v>173</v>
      </c>
      <c r="Z64" s="17" t="s">
        <v>194</v>
      </c>
      <c r="AA64" s="29">
        <v>779885.09825899999</v>
      </c>
      <c r="AB64" s="29">
        <v>2429715.9033499998</v>
      </c>
    </row>
    <row r="65" spans="1:28" x14ac:dyDescent="0.25">
      <c r="A65" s="30">
        <v>64</v>
      </c>
      <c r="B65" s="17">
        <v>468411</v>
      </c>
      <c r="C65" s="17" t="s">
        <v>337</v>
      </c>
      <c r="D65" s="17" t="s">
        <v>52</v>
      </c>
      <c r="E65" s="17" t="s">
        <v>369</v>
      </c>
      <c r="F65" s="17" t="s">
        <v>340</v>
      </c>
      <c r="G65" s="17" t="s">
        <v>370</v>
      </c>
      <c r="H65" s="17" t="s">
        <v>63</v>
      </c>
      <c r="I65" s="17">
        <v>20126</v>
      </c>
      <c r="J65" s="17" t="s">
        <v>54</v>
      </c>
      <c r="K65" s="17" t="s">
        <v>66</v>
      </c>
      <c r="L65" s="17" t="s">
        <v>56</v>
      </c>
      <c r="M65" s="17" t="s">
        <v>109</v>
      </c>
      <c r="N65" s="17" t="s">
        <v>20</v>
      </c>
      <c r="O65" s="17" t="s">
        <v>195</v>
      </c>
      <c r="P65" s="17" t="s">
        <v>20</v>
      </c>
      <c r="Q65" s="17" t="s">
        <v>537</v>
      </c>
      <c r="R65" s="17" t="s">
        <v>20</v>
      </c>
      <c r="S65" s="17" t="s">
        <v>196</v>
      </c>
      <c r="T65" s="17">
        <v>2200</v>
      </c>
      <c r="U65" s="18">
        <v>0</v>
      </c>
      <c r="V65" s="17" t="s">
        <v>372</v>
      </c>
      <c r="W65" s="17" t="s">
        <v>373</v>
      </c>
      <c r="X65" s="17" t="s">
        <v>158</v>
      </c>
      <c r="Y65" s="17" t="s">
        <v>173</v>
      </c>
      <c r="Z65" s="17" t="s">
        <v>194</v>
      </c>
      <c r="AA65" s="29">
        <v>782255.966182</v>
      </c>
      <c r="AB65" s="29">
        <v>2427396.0731700002</v>
      </c>
    </row>
    <row r="66" spans="1:28" x14ac:dyDescent="0.25">
      <c r="A66" s="30">
        <v>65</v>
      </c>
      <c r="B66" s="17">
        <v>468411</v>
      </c>
      <c r="C66" s="17" t="s">
        <v>337</v>
      </c>
      <c r="D66" s="17" t="s">
        <v>52</v>
      </c>
      <c r="E66" s="17" t="s">
        <v>369</v>
      </c>
      <c r="F66" s="17" t="s">
        <v>340</v>
      </c>
      <c r="G66" s="17" t="s">
        <v>370</v>
      </c>
      <c r="H66" s="17" t="s">
        <v>75</v>
      </c>
      <c r="I66" s="17">
        <v>20158</v>
      </c>
      <c r="J66" s="17" t="s">
        <v>54</v>
      </c>
      <c r="K66" s="17" t="s">
        <v>66</v>
      </c>
      <c r="L66" s="17" t="s">
        <v>56</v>
      </c>
      <c r="M66" s="17" t="s">
        <v>178</v>
      </c>
      <c r="N66" s="17" t="s">
        <v>20</v>
      </c>
      <c r="O66" s="17" t="s">
        <v>304</v>
      </c>
      <c r="P66" s="17" t="s">
        <v>20</v>
      </c>
      <c r="Q66" s="17" t="s">
        <v>311</v>
      </c>
      <c r="R66" s="17" t="s">
        <v>20</v>
      </c>
      <c r="S66" s="17" t="s">
        <v>305</v>
      </c>
      <c r="T66" s="17">
        <v>601</v>
      </c>
      <c r="U66" s="18">
        <v>4491620582</v>
      </c>
      <c r="V66" s="17" t="s">
        <v>372</v>
      </c>
      <c r="W66" s="17" t="s">
        <v>373</v>
      </c>
      <c r="X66" s="17" t="s">
        <v>95</v>
      </c>
      <c r="Y66" s="17" t="s">
        <v>173</v>
      </c>
      <c r="Z66" s="17" t="s">
        <v>194</v>
      </c>
      <c r="AA66" s="29">
        <v>781694.52481099998</v>
      </c>
      <c r="AB66" s="29">
        <v>2425369.3068400002</v>
      </c>
    </row>
    <row r="67" spans="1:28" x14ac:dyDescent="0.25">
      <c r="A67" s="30">
        <v>66</v>
      </c>
      <c r="B67" s="17">
        <v>468411</v>
      </c>
      <c r="C67" s="17" t="s">
        <v>337</v>
      </c>
      <c r="D67" s="17" t="s">
        <v>52</v>
      </c>
      <c r="E67" s="17" t="s">
        <v>538</v>
      </c>
      <c r="F67" s="17" t="s">
        <v>340</v>
      </c>
      <c r="G67" s="17" t="s">
        <v>366</v>
      </c>
      <c r="H67" s="17" t="s">
        <v>75</v>
      </c>
      <c r="I67" s="17">
        <v>20126</v>
      </c>
      <c r="J67" s="17" t="s">
        <v>54</v>
      </c>
      <c r="K67" s="17" t="s">
        <v>66</v>
      </c>
      <c r="L67" s="17" t="s">
        <v>56</v>
      </c>
      <c r="M67" s="17" t="s">
        <v>308</v>
      </c>
      <c r="N67" s="17" t="s">
        <v>70</v>
      </c>
      <c r="O67" s="17" t="s">
        <v>250</v>
      </c>
      <c r="P67" s="17" t="s">
        <v>20</v>
      </c>
      <c r="Q67" s="17" t="s">
        <v>539</v>
      </c>
      <c r="R67" s="17" t="s">
        <v>70</v>
      </c>
      <c r="S67" s="17" t="s">
        <v>58</v>
      </c>
      <c r="T67" s="17">
        <v>0</v>
      </c>
      <c r="U67" s="18">
        <v>0</v>
      </c>
      <c r="V67" s="17" t="s">
        <v>540</v>
      </c>
      <c r="W67" s="17" t="s">
        <v>541</v>
      </c>
      <c r="X67" s="17" t="s">
        <v>71</v>
      </c>
      <c r="Y67" s="17" t="s">
        <v>173</v>
      </c>
      <c r="Z67" s="17" t="s">
        <v>194</v>
      </c>
      <c r="AA67" s="29">
        <v>781056.68670700002</v>
      </c>
      <c r="AB67" s="29">
        <v>2428785.1708200001</v>
      </c>
    </row>
    <row r="68" spans="1:28" x14ac:dyDescent="0.25">
      <c r="A68" s="30">
        <v>67</v>
      </c>
      <c r="B68" s="17">
        <v>468411</v>
      </c>
      <c r="C68" s="17" t="s">
        <v>337</v>
      </c>
      <c r="D68" s="17" t="s">
        <v>52</v>
      </c>
      <c r="E68" s="17" t="s">
        <v>542</v>
      </c>
      <c r="F68" s="17" t="s">
        <v>340</v>
      </c>
      <c r="G68" s="17" t="s">
        <v>543</v>
      </c>
      <c r="H68" s="17" t="s">
        <v>75</v>
      </c>
      <c r="I68" s="17">
        <v>20116</v>
      </c>
      <c r="J68" s="17" t="s">
        <v>54</v>
      </c>
      <c r="K68" s="17" t="s">
        <v>66</v>
      </c>
      <c r="L68" s="17" t="s">
        <v>104</v>
      </c>
      <c r="M68" s="17" t="s">
        <v>544</v>
      </c>
      <c r="N68" s="17" t="s">
        <v>90</v>
      </c>
      <c r="O68" s="17" t="s">
        <v>58</v>
      </c>
      <c r="P68" s="17" t="s">
        <v>90</v>
      </c>
      <c r="Q68" s="17" t="s">
        <v>545</v>
      </c>
      <c r="R68" s="17" t="s">
        <v>77</v>
      </c>
      <c r="S68" s="17" t="s">
        <v>58</v>
      </c>
      <c r="T68" s="17">
        <v>0</v>
      </c>
      <c r="U68" s="18">
        <v>0</v>
      </c>
      <c r="V68" s="17" t="s">
        <v>546</v>
      </c>
      <c r="X68" s="17" t="s">
        <v>95</v>
      </c>
      <c r="Y68" s="17" t="s">
        <v>173</v>
      </c>
      <c r="Z68" s="17" t="s">
        <v>194</v>
      </c>
      <c r="AA68" s="29">
        <v>779850.47871299996</v>
      </c>
      <c r="AB68" s="29">
        <v>2428737.99229</v>
      </c>
    </row>
    <row r="69" spans="1:28" x14ac:dyDescent="0.25">
      <c r="A69" s="30">
        <v>68</v>
      </c>
      <c r="B69" s="17">
        <v>468411</v>
      </c>
      <c r="C69" s="17" t="s">
        <v>337</v>
      </c>
      <c r="D69" s="17" t="s">
        <v>52</v>
      </c>
      <c r="E69" s="17" t="s">
        <v>503</v>
      </c>
      <c r="F69" s="17" t="s">
        <v>340</v>
      </c>
      <c r="G69" s="17" t="s">
        <v>504</v>
      </c>
      <c r="H69" s="17" t="s">
        <v>75</v>
      </c>
      <c r="I69" s="17">
        <v>20126</v>
      </c>
      <c r="J69" s="17" t="s">
        <v>54</v>
      </c>
      <c r="K69" s="17" t="s">
        <v>66</v>
      </c>
      <c r="L69" s="17" t="s">
        <v>56</v>
      </c>
      <c r="M69" s="17" t="s">
        <v>308</v>
      </c>
      <c r="N69" s="17" t="s">
        <v>20</v>
      </c>
      <c r="O69" s="17" t="s">
        <v>309</v>
      </c>
      <c r="P69" s="17" t="s">
        <v>20</v>
      </c>
      <c r="Q69" s="17" t="s">
        <v>306</v>
      </c>
      <c r="R69" s="17" t="s">
        <v>20</v>
      </c>
      <c r="S69" s="17" t="s">
        <v>310</v>
      </c>
      <c r="T69" s="17">
        <v>437</v>
      </c>
      <c r="U69" s="18">
        <v>0</v>
      </c>
      <c r="V69" s="17" t="s">
        <v>505</v>
      </c>
      <c r="W69" s="17" t="s">
        <v>506</v>
      </c>
      <c r="X69" s="17" t="s">
        <v>95</v>
      </c>
      <c r="Y69" s="17" t="s">
        <v>173</v>
      </c>
      <c r="Z69" s="17" t="s">
        <v>194</v>
      </c>
      <c r="AA69" s="29">
        <v>780434.15409900004</v>
      </c>
      <c r="AB69" s="29">
        <v>2426527.3325999998</v>
      </c>
    </row>
    <row r="70" spans="1:28" x14ac:dyDescent="0.25">
      <c r="A70" s="30">
        <v>69</v>
      </c>
      <c r="B70" s="17">
        <v>468411</v>
      </c>
      <c r="C70" s="17" t="s">
        <v>337</v>
      </c>
      <c r="D70" s="17" t="s">
        <v>52</v>
      </c>
      <c r="E70" s="17" t="s">
        <v>547</v>
      </c>
      <c r="F70" s="17" t="s">
        <v>340</v>
      </c>
      <c r="G70" s="17" t="s">
        <v>548</v>
      </c>
      <c r="H70" s="17" t="s">
        <v>63</v>
      </c>
      <c r="I70" s="17">
        <v>20150</v>
      </c>
      <c r="J70" s="17" t="s">
        <v>54</v>
      </c>
      <c r="K70" s="17" t="s">
        <v>66</v>
      </c>
      <c r="L70" s="17" t="s">
        <v>56</v>
      </c>
      <c r="M70" s="17" t="s">
        <v>199</v>
      </c>
      <c r="N70" s="17" t="s">
        <v>56</v>
      </c>
      <c r="O70" s="17" t="s">
        <v>549</v>
      </c>
      <c r="P70" s="17" t="s">
        <v>20</v>
      </c>
      <c r="Q70" s="17" t="s">
        <v>197</v>
      </c>
      <c r="R70" s="17" t="s">
        <v>20</v>
      </c>
      <c r="S70" s="17" t="s">
        <v>312</v>
      </c>
      <c r="T70" s="17">
        <v>100</v>
      </c>
      <c r="U70" s="18">
        <v>0</v>
      </c>
      <c r="V70" s="17" t="s">
        <v>550</v>
      </c>
      <c r="X70" s="17" t="s">
        <v>83</v>
      </c>
      <c r="Y70" s="17" t="s">
        <v>164</v>
      </c>
      <c r="Z70" s="17" t="s">
        <v>194</v>
      </c>
      <c r="AA70" s="29">
        <v>781089.61654900003</v>
      </c>
      <c r="AB70" s="29">
        <v>2424039.4427999998</v>
      </c>
    </row>
    <row r="71" spans="1:28" x14ac:dyDescent="0.25">
      <c r="A71" s="30">
        <v>70</v>
      </c>
      <c r="B71" s="17">
        <v>468411</v>
      </c>
      <c r="C71" s="17" t="s">
        <v>337</v>
      </c>
      <c r="D71" s="17" t="s">
        <v>52</v>
      </c>
      <c r="E71" s="17" t="s">
        <v>369</v>
      </c>
      <c r="F71" s="17" t="s">
        <v>340</v>
      </c>
      <c r="G71" s="17" t="s">
        <v>370</v>
      </c>
      <c r="H71" s="17" t="s">
        <v>75</v>
      </c>
      <c r="I71" s="17">
        <v>20169</v>
      </c>
      <c r="J71" s="17" t="s">
        <v>54</v>
      </c>
      <c r="K71" s="17" t="s">
        <v>66</v>
      </c>
      <c r="L71" s="17" t="s">
        <v>56</v>
      </c>
      <c r="M71" s="17" t="s">
        <v>299</v>
      </c>
      <c r="N71" s="17" t="s">
        <v>56</v>
      </c>
      <c r="O71" s="17" t="s">
        <v>288</v>
      </c>
      <c r="P71" s="17" t="s">
        <v>56</v>
      </c>
      <c r="Q71" s="17" t="s">
        <v>313</v>
      </c>
      <c r="R71" s="17" t="s">
        <v>20</v>
      </c>
      <c r="S71" s="17" t="s">
        <v>263</v>
      </c>
      <c r="T71" s="17">
        <v>361</v>
      </c>
      <c r="U71" s="18">
        <v>0</v>
      </c>
      <c r="V71" s="17" t="s">
        <v>372</v>
      </c>
      <c r="W71" s="17" t="s">
        <v>373</v>
      </c>
      <c r="X71" s="17" t="s">
        <v>62</v>
      </c>
      <c r="Y71" s="17" t="s">
        <v>164</v>
      </c>
      <c r="Z71" s="17" t="s">
        <v>194</v>
      </c>
      <c r="AA71" s="29">
        <v>781551.00033099996</v>
      </c>
      <c r="AB71" s="29">
        <v>2423402.8432700001</v>
      </c>
    </row>
    <row r="72" spans="1:28" x14ac:dyDescent="0.25">
      <c r="A72" s="30">
        <v>71</v>
      </c>
      <c r="B72" s="17">
        <v>468411</v>
      </c>
      <c r="C72" s="17" t="s">
        <v>337</v>
      </c>
      <c r="D72" s="17" t="s">
        <v>52</v>
      </c>
      <c r="E72" s="17" t="s">
        <v>365</v>
      </c>
      <c r="F72" s="17" t="s">
        <v>340</v>
      </c>
      <c r="G72" s="17" t="s">
        <v>366</v>
      </c>
      <c r="H72" s="17" t="s">
        <v>75</v>
      </c>
      <c r="I72" s="17">
        <v>20100</v>
      </c>
      <c r="J72" s="17" t="s">
        <v>54</v>
      </c>
      <c r="K72" s="17" t="s">
        <v>66</v>
      </c>
      <c r="L72" s="17" t="s">
        <v>56</v>
      </c>
      <c r="M72" s="17" t="s">
        <v>178</v>
      </c>
      <c r="N72" s="17" t="s">
        <v>56</v>
      </c>
      <c r="O72" s="17" t="s">
        <v>286</v>
      </c>
      <c r="P72" s="17" t="s">
        <v>56</v>
      </c>
      <c r="Q72" s="17" t="s">
        <v>551</v>
      </c>
      <c r="R72" s="17" t="s">
        <v>70</v>
      </c>
      <c r="S72" s="17" t="s">
        <v>89</v>
      </c>
      <c r="T72" s="17">
        <v>2001</v>
      </c>
      <c r="U72" s="18">
        <v>0</v>
      </c>
      <c r="V72" s="17" t="s">
        <v>552</v>
      </c>
      <c r="W72" s="17" t="s">
        <v>553</v>
      </c>
      <c r="X72" s="17" t="s">
        <v>158</v>
      </c>
      <c r="Y72" s="17" t="s">
        <v>164</v>
      </c>
      <c r="Z72" s="17" t="s">
        <v>194</v>
      </c>
      <c r="AA72" s="29">
        <v>782016.98893600004</v>
      </c>
      <c r="AB72" s="29">
        <v>2424538.8281299998</v>
      </c>
    </row>
    <row r="73" spans="1:28" x14ac:dyDescent="0.25">
      <c r="A73" s="30">
        <v>72</v>
      </c>
      <c r="B73" s="17">
        <v>468411</v>
      </c>
      <c r="C73" s="17" t="s">
        <v>337</v>
      </c>
      <c r="D73" s="17" t="s">
        <v>52</v>
      </c>
      <c r="E73" s="17" t="s">
        <v>554</v>
      </c>
      <c r="F73" s="17" t="s">
        <v>340</v>
      </c>
      <c r="G73" s="17" t="s">
        <v>555</v>
      </c>
      <c r="H73" s="17" t="s">
        <v>63</v>
      </c>
      <c r="I73" s="17">
        <v>20290</v>
      </c>
      <c r="J73" s="17" t="s">
        <v>54</v>
      </c>
      <c r="K73" s="17" t="s">
        <v>55</v>
      </c>
      <c r="L73" s="17" t="s">
        <v>77</v>
      </c>
      <c r="M73" s="17" t="s">
        <v>556</v>
      </c>
      <c r="N73" s="17" t="s">
        <v>56</v>
      </c>
      <c r="O73" s="17" t="s">
        <v>58</v>
      </c>
      <c r="P73" s="17" t="s">
        <v>56</v>
      </c>
      <c r="Q73" s="17" t="s">
        <v>58</v>
      </c>
      <c r="R73" s="17" t="s">
        <v>56</v>
      </c>
      <c r="S73" s="17" t="s">
        <v>105</v>
      </c>
      <c r="T73" s="17">
        <v>0</v>
      </c>
      <c r="U73" s="18">
        <v>0</v>
      </c>
      <c r="X73" s="17" t="s">
        <v>88</v>
      </c>
      <c r="Y73" s="17" t="s">
        <v>108</v>
      </c>
      <c r="Z73" s="17" t="s">
        <v>200</v>
      </c>
      <c r="AA73" s="29">
        <v>780649.42430299998</v>
      </c>
      <c r="AB73" s="29">
        <v>2414402.31635</v>
      </c>
    </row>
    <row r="74" spans="1:28" x14ac:dyDescent="0.25">
      <c r="A74" s="30">
        <v>73</v>
      </c>
      <c r="B74" s="17">
        <v>468411</v>
      </c>
      <c r="C74" s="17" t="s">
        <v>337</v>
      </c>
      <c r="D74" s="17" t="s">
        <v>52</v>
      </c>
      <c r="E74" s="17" t="s">
        <v>557</v>
      </c>
      <c r="F74" s="17" t="s">
        <v>340</v>
      </c>
      <c r="G74" s="17" t="s">
        <v>344</v>
      </c>
      <c r="H74" s="17" t="s">
        <v>63</v>
      </c>
      <c r="I74" s="17">
        <v>20340</v>
      </c>
      <c r="J74" s="17" t="s">
        <v>54</v>
      </c>
      <c r="K74" s="17" t="s">
        <v>66</v>
      </c>
      <c r="L74" s="17" t="s">
        <v>20</v>
      </c>
      <c r="M74" s="17" t="s">
        <v>558</v>
      </c>
      <c r="N74" s="17" t="s">
        <v>20</v>
      </c>
      <c r="O74" s="17" t="s">
        <v>559</v>
      </c>
      <c r="P74" s="17" t="s">
        <v>20</v>
      </c>
      <c r="Q74" s="17" t="s">
        <v>72</v>
      </c>
      <c r="R74" s="17" t="s">
        <v>20</v>
      </c>
      <c r="S74" s="17" t="s">
        <v>72</v>
      </c>
      <c r="T74" s="17">
        <v>0</v>
      </c>
      <c r="U74" s="18">
        <v>0</v>
      </c>
      <c r="X74" s="17" t="s">
        <v>79</v>
      </c>
      <c r="Y74" s="17" t="s">
        <v>108</v>
      </c>
      <c r="Z74" s="17" t="s">
        <v>200</v>
      </c>
      <c r="AA74" s="29">
        <v>779880.756467</v>
      </c>
      <c r="AB74" s="29">
        <v>2414718.5206399998</v>
      </c>
    </row>
    <row r="75" spans="1:28" x14ac:dyDescent="0.25">
      <c r="A75" s="30">
        <v>74</v>
      </c>
      <c r="B75" s="17">
        <v>468411</v>
      </c>
      <c r="C75" s="17" t="s">
        <v>337</v>
      </c>
      <c r="D75" s="17" t="s">
        <v>52</v>
      </c>
      <c r="E75" s="17" t="s">
        <v>369</v>
      </c>
      <c r="F75" s="17" t="s">
        <v>340</v>
      </c>
      <c r="G75" s="17" t="s">
        <v>370</v>
      </c>
      <c r="H75" s="17" t="s">
        <v>63</v>
      </c>
      <c r="I75" s="17">
        <v>20280</v>
      </c>
      <c r="J75" s="17" t="s">
        <v>54</v>
      </c>
      <c r="K75" s="17" t="s">
        <v>66</v>
      </c>
      <c r="L75" s="17" t="s">
        <v>56</v>
      </c>
      <c r="M75" s="17" t="s">
        <v>105</v>
      </c>
      <c r="N75" s="17" t="s">
        <v>56</v>
      </c>
      <c r="O75" s="17" t="s">
        <v>143</v>
      </c>
      <c r="P75" s="17" t="s">
        <v>56</v>
      </c>
      <c r="Q75" s="17" t="s">
        <v>143</v>
      </c>
      <c r="R75" s="17" t="s">
        <v>70</v>
      </c>
      <c r="S75" s="17" t="s">
        <v>89</v>
      </c>
      <c r="T75" s="17">
        <v>1187</v>
      </c>
      <c r="U75" s="18">
        <v>0</v>
      </c>
      <c r="V75" s="17" t="s">
        <v>372</v>
      </c>
      <c r="W75" s="17" t="s">
        <v>373</v>
      </c>
      <c r="X75" s="17" t="s">
        <v>71</v>
      </c>
      <c r="Y75" s="17" t="s">
        <v>108</v>
      </c>
      <c r="Z75" s="17" t="s">
        <v>200</v>
      </c>
      <c r="AA75" s="29">
        <v>779744.43152999994</v>
      </c>
      <c r="AB75" s="29">
        <v>2415543.39622</v>
      </c>
    </row>
    <row r="76" spans="1:28" x14ac:dyDescent="0.25">
      <c r="A76" s="30">
        <v>75</v>
      </c>
      <c r="B76" s="17">
        <v>468411</v>
      </c>
      <c r="C76" s="17" t="s">
        <v>337</v>
      </c>
      <c r="D76" s="17" t="s">
        <v>52</v>
      </c>
      <c r="E76" s="17" t="s">
        <v>560</v>
      </c>
      <c r="F76" s="17" t="s">
        <v>340</v>
      </c>
      <c r="G76" s="17" t="s">
        <v>381</v>
      </c>
      <c r="H76" s="17" t="s">
        <v>63</v>
      </c>
      <c r="I76" s="17">
        <v>20290</v>
      </c>
      <c r="J76" s="17" t="s">
        <v>54</v>
      </c>
      <c r="K76" s="17" t="s">
        <v>55</v>
      </c>
      <c r="L76" s="17" t="s">
        <v>70</v>
      </c>
      <c r="M76" s="17" t="s">
        <v>58</v>
      </c>
      <c r="N76" s="17" t="s">
        <v>70</v>
      </c>
      <c r="O76" s="17" t="s">
        <v>58</v>
      </c>
      <c r="P76" s="17" t="s">
        <v>70</v>
      </c>
      <c r="Q76" s="17" t="s">
        <v>58</v>
      </c>
      <c r="R76" s="17" t="s">
        <v>70</v>
      </c>
      <c r="S76" s="17" t="s">
        <v>58</v>
      </c>
      <c r="T76" s="17">
        <v>522</v>
      </c>
      <c r="U76" s="18">
        <v>0</v>
      </c>
      <c r="V76" s="17" t="s">
        <v>561</v>
      </c>
      <c r="W76" s="17" t="s">
        <v>385</v>
      </c>
      <c r="X76" s="17" t="s">
        <v>208</v>
      </c>
      <c r="Y76" s="17" t="s">
        <v>108</v>
      </c>
      <c r="Z76" s="17" t="s">
        <v>200</v>
      </c>
      <c r="AA76" s="29">
        <v>781120.29388300003</v>
      </c>
      <c r="AB76" s="29">
        <v>2411679.4736100002</v>
      </c>
    </row>
    <row r="77" spans="1:28" x14ac:dyDescent="0.25">
      <c r="A77" s="30">
        <v>76</v>
      </c>
      <c r="B77" s="17">
        <v>468411</v>
      </c>
      <c r="C77" s="17" t="s">
        <v>337</v>
      </c>
      <c r="D77" s="17" t="s">
        <v>52</v>
      </c>
      <c r="E77" s="17" t="s">
        <v>562</v>
      </c>
      <c r="F77" s="17" t="s">
        <v>340</v>
      </c>
      <c r="G77" s="17" t="s">
        <v>563</v>
      </c>
      <c r="H77" s="17" t="s">
        <v>86</v>
      </c>
      <c r="I77" s="17">
        <v>20290</v>
      </c>
      <c r="J77" s="17" t="s">
        <v>54</v>
      </c>
      <c r="K77" s="17" t="s">
        <v>69</v>
      </c>
      <c r="L77" s="17" t="s">
        <v>20</v>
      </c>
      <c r="M77" s="17" t="s">
        <v>201</v>
      </c>
      <c r="N77" s="17" t="s">
        <v>77</v>
      </c>
      <c r="O77" s="17" t="s">
        <v>202</v>
      </c>
      <c r="P77" s="17" t="s">
        <v>20</v>
      </c>
      <c r="Q77" s="17" t="s">
        <v>105</v>
      </c>
      <c r="R77" s="17" t="s">
        <v>20</v>
      </c>
      <c r="S77" s="17" t="s">
        <v>204</v>
      </c>
      <c r="T77" s="17">
        <v>119</v>
      </c>
      <c r="U77" s="18">
        <v>0</v>
      </c>
      <c r="V77" s="17" t="s">
        <v>564</v>
      </c>
      <c r="X77" s="17" t="s">
        <v>62</v>
      </c>
      <c r="Y77" s="17" t="s">
        <v>108</v>
      </c>
      <c r="Z77" s="17" t="s">
        <v>200</v>
      </c>
      <c r="AA77" s="29">
        <v>780792.99219000002</v>
      </c>
      <c r="AB77" s="29">
        <v>2413291.3352999999</v>
      </c>
    </row>
    <row r="78" spans="1:28" x14ac:dyDescent="0.25">
      <c r="A78" s="30">
        <v>77</v>
      </c>
      <c r="B78" s="17">
        <v>468411</v>
      </c>
      <c r="C78" s="17" t="s">
        <v>337</v>
      </c>
      <c r="D78" s="17" t="s">
        <v>52</v>
      </c>
      <c r="E78" s="17" t="s">
        <v>565</v>
      </c>
      <c r="F78" s="17" t="s">
        <v>340</v>
      </c>
      <c r="G78" s="17" t="s">
        <v>504</v>
      </c>
      <c r="H78" s="17" t="s">
        <v>205</v>
      </c>
      <c r="I78" s="17">
        <v>20290</v>
      </c>
      <c r="J78" s="17" t="s">
        <v>54</v>
      </c>
      <c r="K78" s="17" t="s">
        <v>69</v>
      </c>
      <c r="L78" s="17" t="s">
        <v>56</v>
      </c>
      <c r="M78" s="17" t="s">
        <v>109</v>
      </c>
      <c r="N78" s="17" t="s">
        <v>56</v>
      </c>
      <c r="O78" s="17" t="s">
        <v>153</v>
      </c>
      <c r="P78" s="17" t="s">
        <v>56</v>
      </c>
      <c r="Q78" s="17" t="s">
        <v>566</v>
      </c>
      <c r="R78" s="17" t="s">
        <v>20</v>
      </c>
      <c r="S78" s="17" t="s">
        <v>206</v>
      </c>
      <c r="T78" s="17">
        <v>301</v>
      </c>
      <c r="U78" s="18">
        <v>0</v>
      </c>
      <c r="V78" s="17" t="s">
        <v>567</v>
      </c>
      <c r="W78" s="17" t="s">
        <v>506</v>
      </c>
      <c r="X78" s="17" t="s">
        <v>62</v>
      </c>
      <c r="Y78" s="17" t="s">
        <v>115</v>
      </c>
      <c r="Z78" s="17" t="s">
        <v>200</v>
      </c>
      <c r="AA78" s="29">
        <v>780994.08288200002</v>
      </c>
      <c r="AB78" s="29">
        <v>2418296.0530900001</v>
      </c>
    </row>
    <row r="79" spans="1:28" x14ac:dyDescent="0.25">
      <c r="A79" s="30">
        <v>78</v>
      </c>
      <c r="B79" s="17">
        <v>468411</v>
      </c>
      <c r="C79" s="17" t="s">
        <v>337</v>
      </c>
      <c r="D79" s="17" t="s">
        <v>52</v>
      </c>
      <c r="E79" s="17" t="s">
        <v>568</v>
      </c>
      <c r="F79" s="17" t="s">
        <v>340</v>
      </c>
      <c r="G79" s="17" t="s">
        <v>569</v>
      </c>
      <c r="H79" s="17" t="s">
        <v>75</v>
      </c>
      <c r="I79" s="17">
        <v>20263</v>
      </c>
      <c r="J79" s="17" t="s">
        <v>54</v>
      </c>
      <c r="K79" s="17" t="s">
        <v>66</v>
      </c>
      <c r="L79" s="17" t="s">
        <v>104</v>
      </c>
      <c r="M79" s="17" t="s">
        <v>169</v>
      </c>
      <c r="N79" s="17" t="s">
        <v>56</v>
      </c>
      <c r="O79" s="17" t="s">
        <v>289</v>
      </c>
      <c r="P79" s="17" t="s">
        <v>20</v>
      </c>
      <c r="Q79" s="17" t="s">
        <v>570</v>
      </c>
      <c r="R79" s="17" t="s">
        <v>20</v>
      </c>
      <c r="S79" s="17" t="s">
        <v>570</v>
      </c>
      <c r="T79" s="17">
        <v>1220</v>
      </c>
      <c r="U79" s="18">
        <v>0</v>
      </c>
      <c r="V79" s="17" t="s">
        <v>571</v>
      </c>
      <c r="W79" s="17" t="s">
        <v>572</v>
      </c>
      <c r="X79" s="17" t="s">
        <v>83</v>
      </c>
      <c r="Y79" s="17" t="s">
        <v>165</v>
      </c>
      <c r="Z79" s="17" t="s">
        <v>209</v>
      </c>
      <c r="AA79" s="29">
        <v>785822.08585000003</v>
      </c>
      <c r="AB79" s="29">
        <v>2420339.1727399998</v>
      </c>
    </row>
    <row r="80" spans="1:28" x14ac:dyDescent="0.25">
      <c r="A80" s="30">
        <v>79</v>
      </c>
      <c r="B80" s="17">
        <v>468411</v>
      </c>
      <c r="C80" s="17" t="s">
        <v>337</v>
      </c>
      <c r="D80" s="17" t="s">
        <v>52</v>
      </c>
      <c r="E80" s="17" t="s">
        <v>573</v>
      </c>
      <c r="F80" s="17" t="s">
        <v>340</v>
      </c>
      <c r="G80" s="17" t="s">
        <v>574</v>
      </c>
      <c r="H80" s="17" t="s">
        <v>75</v>
      </c>
      <c r="I80" s="17">
        <v>20299</v>
      </c>
      <c r="J80" s="17" t="s">
        <v>54</v>
      </c>
      <c r="K80" s="17" t="s">
        <v>66</v>
      </c>
      <c r="L80" s="17" t="s">
        <v>56</v>
      </c>
      <c r="M80" s="17" t="s">
        <v>193</v>
      </c>
      <c r="N80" s="17" t="s">
        <v>56</v>
      </c>
      <c r="O80" s="17" t="s">
        <v>180</v>
      </c>
      <c r="P80" s="17" t="s">
        <v>20</v>
      </c>
      <c r="Q80" s="17" t="s">
        <v>206</v>
      </c>
      <c r="R80" s="17" t="s">
        <v>20</v>
      </c>
      <c r="S80" s="17" t="s">
        <v>575</v>
      </c>
      <c r="T80" s="17">
        <v>1501</v>
      </c>
      <c r="U80" s="18">
        <v>0</v>
      </c>
      <c r="V80" s="17" t="s">
        <v>576</v>
      </c>
      <c r="X80" s="17" t="s">
        <v>61</v>
      </c>
      <c r="Y80" s="17" t="s">
        <v>115</v>
      </c>
      <c r="Z80" s="17" t="s">
        <v>212</v>
      </c>
      <c r="AA80" s="29">
        <v>782236.56009399996</v>
      </c>
      <c r="AB80" s="29">
        <v>2418297.8409699998</v>
      </c>
    </row>
    <row r="81" spans="1:28" x14ac:dyDescent="0.25">
      <c r="A81" s="30">
        <v>80</v>
      </c>
      <c r="B81" s="17">
        <v>468411</v>
      </c>
      <c r="C81" s="17" t="s">
        <v>337</v>
      </c>
      <c r="D81" s="17" t="s">
        <v>52</v>
      </c>
      <c r="E81" s="17" t="s">
        <v>577</v>
      </c>
      <c r="F81" s="17" t="s">
        <v>340</v>
      </c>
      <c r="G81" s="17" t="s">
        <v>470</v>
      </c>
      <c r="H81" s="17" t="s">
        <v>63</v>
      </c>
      <c r="I81" s="17">
        <v>20196</v>
      </c>
      <c r="J81" s="17" t="s">
        <v>54</v>
      </c>
      <c r="K81" s="17" t="s">
        <v>66</v>
      </c>
      <c r="L81" s="17" t="s">
        <v>56</v>
      </c>
      <c r="M81" s="17" t="s">
        <v>109</v>
      </c>
      <c r="N81" s="17" t="s">
        <v>20</v>
      </c>
      <c r="O81" s="17" t="s">
        <v>318</v>
      </c>
      <c r="P81" s="17" t="s">
        <v>56</v>
      </c>
      <c r="Q81" s="17" t="s">
        <v>317</v>
      </c>
      <c r="R81" s="17" t="s">
        <v>20</v>
      </c>
      <c r="S81" s="17" t="s">
        <v>319</v>
      </c>
      <c r="T81" s="17">
        <v>5202</v>
      </c>
      <c r="U81" s="18">
        <v>0</v>
      </c>
      <c r="V81" s="17" t="s">
        <v>471</v>
      </c>
      <c r="X81" s="17" t="s">
        <v>71</v>
      </c>
      <c r="Y81" s="17" t="s">
        <v>170</v>
      </c>
      <c r="Z81" s="17" t="s">
        <v>212</v>
      </c>
      <c r="AA81" s="29">
        <v>784069.92590699997</v>
      </c>
      <c r="AB81" s="29">
        <v>2422836.8664099998</v>
      </c>
    </row>
    <row r="82" spans="1:28" x14ac:dyDescent="0.25">
      <c r="A82" s="30">
        <v>81</v>
      </c>
      <c r="B82" s="17">
        <v>468411</v>
      </c>
      <c r="C82" s="17" t="s">
        <v>337</v>
      </c>
      <c r="D82" s="17" t="s">
        <v>52</v>
      </c>
      <c r="E82" s="17" t="s">
        <v>562</v>
      </c>
      <c r="F82" s="17" t="s">
        <v>340</v>
      </c>
      <c r="G82" s="17" t="s">
        <v>563</v>
      </c>
      <c r="H82" s="17" t="s">
        <v>63</v>
      </c>
      <c r="I82" s="17">
        <v>20263</v>
      </c>
      <c r="J82" s="17" t="s">
        <v>54</v>
      </c>
      <c r="K82" s="17" t="s">
        <v>66</v>
      </c>
      <c r="L82" s="17" t="s">
        <v>20</v>
      </c>
      <c r="M82" s="17" t="s">
        <v>214</v>
      </c>
      <c r="N82" s="17" t="s">
        <v>20</v>
      </c>
      <c r="O82" s="17" t="s">
        <v>320</v>
      </c>
      <c r="P82" s="17" t="s">
        <v>20</v>
      </c>
      <c r="Q82" s="17" t="s">
        <v>250</v>
      </c>
      <c r="R82" s="17" t="s">
        <v>20</v>
      </c>
      <c r="S82" s="17" t="s">
        <v>321</v>
      </c>
      <c r="T82" s="17">
        <v>1500</v>
      </c>
      <c r="U82" s="18">
        <v>0</v>
      </c>
      <c r="V82" s="17" t="s">
        <v>578</v>
      </c>
      <c r="W82" s="17" t="s">
        <v>579</v>
      </c>
      <c r="X82" s="17" t="s">
        <v>61</v>
      </c>
      <c r="Y82" s="17" t="s">
        <v>170</v>
      </c>
      <c r="Z82" s="17" t="s">
        <v>212</v>
      </c>
      <c r="AA82" s="29">
        <v>784765.73011300003</v>
      </c>
      <c r="AB82" s="29">
        <v>2420671.31611</v>
      </c>
    </row>
    <row r="83" spans="1:28" x14ac:dyDescent="0.25">
      <c r="A83" s="30">
        <v>82</v>
      </c>
      <c r="B83" s="17">
        <v>468411</v>
      </c>
      <c r="C83" s="17" t="s">
        <v>337</v>
      </c>
      <c r="D83" s="17" t="s">
        <v>52</v>
      </c>
      <c r="E83" s="17" t="s">
        <v>580</v>
      </c>
      <c r="F83" s="17" t="s">
        <v>340</v>
      </c>
      <c r="G83" s="17" t="s">
        <v>580</v>
      </c>
      <c r="H83" s="17" t="s">
        <v>68</v>
      </c>
      <c r="I83" s="17">
        <v>20190</v>
      </c>
      <c r="J83" s="17" t="s">
        <v>54</v>
      </c>
      <c r="K83" s="17" t="s">
        <v>66</v>
      </c>
      <c r="L83" s="17" t="s">
        <v>56</v>
      </c>
      <c r="M83" s="17" t="s">
        <v>198</v>
      </c>
      <c r="N83" s="17" t="s">
        <v>56</v>
      </c>
      <c r="O83" s="17" t="s">
        <v>170</v>
      </c>
      <c r="P83" s="17" t="s">
        <v>56</v>
      </c>
      <c r="Q83" s="17" t="s">
        <v>178</v>
      </c>
      <c r="R83" s="17" t="s">
        <v>20</v>
      </c>
      <c r="S83" s="17" t="s">
        <v>316</v>
      </c>
      <c r="T83" s="17">
        <v>2604</v>
      </c>
      <c r="U83" s="18">
        <v>0</v>
      </c>
      <c r="V83" s="17" t="s">
        <v>581</v>
      </c>
      <c r="W83" s="17" t="s">
        <v>582</v>
      </c>
      <c r="X83" s="17" t="s">
        <v>62</v>
      </c>
      <c r="Y83" s="17" t="s">
        <v>170</v>
      </c>
      <c r="Z83" s="17" t="s">
        <v>212</v>
      </c>
      <c r="AA83" s="29">
        <v>783641.72167400003</v>
      </c>
      <c r="AB83" s="29">
        <v>2421446.8623899999</v>
      </c>
    </row>
    <row r="84" spans="1:28" x14ac:dyDescent="0.25">
      <c r="A84" s="30">
        <v>83</v>
      </c>
      <c r="B84" s="17">
        <v>468411</v>
      </c>
      <c r="C84" s="17" t="s">
        <v>337</v>
      </c>
      <c r="D84" s="17" t="s">
        <v>52</v>
      </c>
      <c r="E84" s="17" t="s">
        <v>583</v>
      </c>
      <c r="F84" s="17" t="s">
        <v>340</v>
      </c>
      <c r="G84" s="17" t="s">
        <v>584</v>
      </c>
      <c r="H84" s="17" t="s">
        <v>75</v>
      </c>
      <c r="I84" s="17">
        <v>20196</v>
      </c>
      <c r="J84" s="17" t="s">
        <v>54</v>
      </c>
      <c r="K84" s="17" t="s">
        <v>69</v>
      </c>
      <c r="L84" s="17" t="s">
        <v>56</v>
      </c>
      <c r="M84" s="17" t="s">
        <v>211</v>
      </c>
      <c r="N84" s="17" t="s">
        <v>20</v>
      </c>
      <c r="O84" s="17" t="s">
        <v>213</v>
      </c>
      <c r="P84" s="17" t="s">
        <v>56</v>
      </c>
      <c r="Q84" s="17" t="s">
        <v>109</v>
      </c>
      <c r="R84" s="17" t="s">
        <v>70</v>
      </c>
      <c r="S84" s="17" t="s">
        <v>211</v>
      </c>
      <c r="T84" s="17">
        <v>5202</v>
      </c>
      <c r="U84" s="18">
        <v>0</v>
      </c>
      <c r="V84" s="17" t="s">
        <v>585</v>
      </c>
      <c r="X84" s="17" t="s">
        <v>62</v>
      </c>
      <c r="Y84" s="17" t="s">
        <v>170</v>
      </c>
      <c r="Z84" s="17" t="s">
        <v>212</v>
      </c>
      <c r="AA84" s="29">
        <v>784095.40786200005</v>
      </c>
      <c r="AB84" s="29">
        <v>2422883.7907400001</v>
      </c>
    </row>
    <row r="85" spans="1:28" x14ac:dyDescent="0.25">
      <c r="A85" s="30">
        <v>84</v>
      </c>
      <c r="B85" s="17">
        <v>468411</v>
      </c>
      <c r="C85" s="17" t="s">
        <v>337</v>
      </c>
      <c r="D85" s="17" t="s">
        <v>52</v>
      </c>
      <c r="E85" s="17" t="s">
        <v>369</v>
      </c>
      <c r="F85" s="17" t="s">
        <v>340</v>
      </c>
      <c r="G85" s="17" t="s">
        <v>370</v>
      </c>
      <c r="H85" s="17" t="s">
        <v>75</v>
      </c>
      <c r="I85" s="17">
        <v>20263</v>
      </c>
      <c r="J85" s="17" t="s">
        <v>54</v>
      </c>
      <c r="K85" s="17" t="s">
        <v>66</v>
      </c>
      <c r="L85" s="17" t="s">
        <v>56</v>
      </c>
      <c r="M85" s="17" t="s">
        <v>210</v>
      </c>
      <c r="N85" s="17" t="s">
        <v>56</v>
      </c>
      <c r="O85" s="17" t="s">
        <v>293</v>
      </c>
      <c r="P85" s="17" t="s">
        <v>70</v>
      </c>
      <c r="Q85" s="17" t="s">
        <v>250</v>
      </c>
      <c r="R85" s="17" t="s">
        <v>56</v>
      </c>
      <c r="S85" s="17" t="s">
        <v>301</v>
      </c>
      <c r="T85" s="17">
        <v>125</v>
      </c>
      <c r="U85" s="18">
        <v>0</v>
      </c>
      <c r="V85" s="17" t="s">
        <v>372</v>
      </c>
      <c r="W85" s="17" t="s">
        <v>373</v>
      </c>
      <c r="X85" s="17" t="s">
        <v>61</v>
      </c>
      <c r="Y85" s="17" t="s">
        <v>170</v>
      </c>
      <c r="Z85" s="17" t="s">
        <v>212</v>
      </c>
      <c r="AA85" s="29">
        <v>784823.06882299995</v>
      </c>
      <c r="AB85" s="29">
        <v>2420690.5562</v>
      </c>
    </row>
    <row r="86" spans="1:28" x14ac:dyDescent="0.25">
      <c r="A86" s="30">
        <v>85</v>
      </c>
      <c r="B86" s="17">
        <v>468411</v>
      </c>
      <c r="C86" s="17" t="s">
        <v>337</v>
      </c>
      <c r="D86" s="17" t="s">
        <v>52</v>
      </c>
      <c r="E86" s="17" t="s">
        <v>586</v>
      </c>
      <c r="F86" s="17" t="s">
        <v>340</v>
      </c>
      <c r="G86" s="17" t="s">
        <v>587</v>
      </c>
      <c r="H86" s="17" t="s">
        <v>75</v>
      </c>
      <c r="I86" s="17">
        <v>20196</v>
      </c>
      <c r="J86" s="17" t="s">
        <v>54</v>
      </c>
      <c r="K86" s="17" t="s">
        <v>66</v>
      </c>
      <c r="L86" s="17" t="s">
        <v>20</v>
      </c>
      <c r="M86" s="17" t="s">
        <v>134</v>
      </c>
      <c r="N86" s="17" t="s">
        <v>56</v>
      </c>
      <c r="O86" s="17" t="s">
        <v>109</v>
      </c>
      <c r="P86" s="17" t="s">
        <v>20</v>
      </c>
      <c r="Q86" s="17" t="s">
        <v>134</v>
      </c>
      <c r="R86" s="17" t="s">
        <v>70</v>
      </c>
      <c r="S86" s="17" t="s">
        <v>170</v>
      </c>
      <c r="T86" s="17">
        <v>123</v>
      </c>
      <c r="U86" s="18">
        <v>0</v>
      </c>
      <c r="V86" s="17" t="s">
        <v>588</v>
      </c>
      <c r="X86" s="17" t="s">
        <v>94</v>
      </c>
      <c r="Y86" s="17" t="s">
        <v>170</v>
      </c>
      <c r="Z86" s="17" t="s">
        <v>212</v>
      </c>
      <c r="AA86" s="29">
        <v>784572.29585400003</v>
      </c>
      <c r="AB86" s="29">
        <v>2421323.1657799999</v>
      </c>
    </row>
    <row r="87" spans="1:28" x14ac:dyDescent="0.25">
      <c r="A87" s="30">
        <v>86</v>
      </c>
      <c r="B87" s="17">
        <v>468411</v>
      </c>
      <c r="C87" s="17" t="s">
        <v>337</v>
      </c>
      <c r="D87" s="17" t="s">
        <v>52</v>
      </c>
      <c r="E87" s="17" t="s">
        <v>472</v>
      </c>
      <c r="F87" s="17" t="s">
        <v>340</v>
      </c>
      <c r="G87" s="17" t="s">
        <v>473</v>
      </c>
      <c r="H87" s="17" t="s">
        <v>75</v>
      </c>
      <c r="I87" s="17">
        <v>20263</v>
      </c>
      <c r="J87" s="17" t="s">
        <v>54</v>
      </c>
      <c r="K87" s="17" t="s">
        <v>66</v>
      </c>
      <c r="L87" s="17" t="s">
        <v>56</v>
      </c>
      <c r="M87" s="17" t="s">
        <v>109</v>
      </c>
      <c r="N87" s="17" t="s">
        <v>20</v>
      </c>
      <c r="O87" s="17" t="s">
        <v>315</v>
      </c>
      <c r="P87" s="17" t="s">
        <v>56</v>
      </c>
      <c r="Q87" s="17" t="s">
        <v>303</v>
      </c>
      <c r="R87" s="17" t="s">
        <v>20</v>
      </c>
      <c r="S87" s="17" t="s">
        <v>589</v>
      </c>
      <c r="T87" s="17">
        <v>6401</v>
      </c>
      <c r="U87" s="18">
        <v>0</v>
      </c>
      <c r="V87" s="17" t="s">
        <v>590</v>
      </c>
      <c r="X87" s="17" t="s">
        <v>62</v>
      </c>
      <c r="Y87" s="17" t="s">
        <v>170</v>
      </c>
      <c r="Z87" s="17" t="s">
        <v>212</v>
      </c>
      <c r="AA87" s="29">
        <v>784770.38116700004</v>
      </c>
      <c r="AB87" s="29">
        <v>2420684.3845500001</v>
      </c>
    </row>
    <row r="88" spans="1:28" x14ac:dyDescent="0.25">
      <c r="A88" s="30">
        <v>87</v>
      </c>
      <c r="B88" s="17">
        <v>468411</v>
      </c>
      <c r="C88" s="17" t="s">
        <v>337</v>
      </c>
      <c r="D88" s="17" t="s">
        <v>52</v>
      </c>
      <c r="E88" s="17" t="s">
        <v>503</v>
      </c>
      <c r="F88" s="17" t="s">
        <v>340</v>
      </c>
      <c r="G88" s="17" t="s">
        <v>504</v>
      </c>
      <c r="H88" s="17" t="s">
        <v>63</v>
      </c>
      <c r="I88" s="17">
        <v>20218</v>
      </c>
      <c r="J88" s="17" t="s">
        <v>54</v>
      </c>
      <c r="K88" s="17" t="s">
        <v>66</v>
      </c>
      <c r="L88" s="17" t="s">
        <v>104</v>
      </c>
      <c r="M88" s="17" t="s">
        <v>248</v>
      </c>
      <c r="N88" s="17" t="s">
        <v>70</v>
      </c>
      <c r="O88" s="17" t="s">
        <v>96</v>
      </c>
      <c r="P88" s="17" t="s">
        <v>20</v>
      </c>
      <c r="Q88" s="17" t="s">
        <v>323</v>
      </c>
      <c r="R88" s="17" t="s">
        <v>70</v>
      </c>
      <c r="S88" s="17" t="s">
        <v>245</v>
      </c>
      <c r="T88" s="17">
        <v>901</v>
      </c>
      <c r="U88" s="18">
        <v>0</v>
      </c>
      <c r="V88" s="17" t="s">
        <v>505</v>
      </c>
      <c r="W88" s="17" t="s">
        <v>506</v>
      </c>
      <c r="X88" s="17" t="s">
        <v>95</v>
      </c>
      <c r="Y88" s="17" t="s">
        <v>118</v>
      </c>
      <c r="Z88" s="17" t="s">
        <v>216</v>
      </c>
      <c r="AA88" s="29">
        <v>776149.01434700005</v>
      </c>
      <c r="AB88" s="29">
        <v>2421088.3024900001</v>
      </c>
    </row>
    <row r="89" spans="1:28" x14ac:dyDescent="0.25">
      <c r="A89" s="30">
        <v>88</v>
      </c>
      <c r="B89" s="17">
        <v>468411</v>
      </c>
      <c r="C89" s="17" t="s">
        <v>337</v>
      </c>
      <c r="D89" s="17" t="s">
        <v>52</v>
      </c>
      <c r="E89" s="17" t="s">
        <v>591</v>
      </c>
      <c r="F89" s="17" t="s">
        <v>340</v>
      </c>
      <c r="G89" s="17" t="s">
        <v>592</v>
      </c>
      <c r="H89" s="17" t="s">
        <v>75</v>
      </c>
      <c r="I89" s="17">
        <v>20326</v>
      </c>
      <c r="J89" s="17" t="s">
        <v>54</v>
      </c>
      <c r="K89" s="17" t="s">
        <v>66</v>
      </c>
      <c r="L89" s="17" t="s">
        <v>56</v>
      </c>
      <c r="M89" s="17" t="s">
        <v>322</v>
      </c>
      <c r="N89" s="17" t="s">
        <v>56</v>
      </c>
      <c r="O89" s="17" t="s">
        <v>593</v>
      </c>
      <c r="P89" s="17" t="s">
        <v>70</v>
      </c>
      <c r="Q89" s="17" t="s">
        <v>245</v>
      </c>
      <c r="R89" s="17" t="s">
        <v>56</v>
      </c>
      <c r="S89" s="17" t="s">
        <v>594</v>
      </c>
      <c r="T89" s="17">
        <v>1702</v>
      </c>
      <c r="U89" s="18">
        <v>0</v>
      </c>
      <c r="V89" s="17" t="s">
        <v>595</v>
      </c>
      <c r="W89" s="17" t="s">
        <v>596</v>
      </c>
      <c r="X89" s="17" t="s">
        <v>61</v>
      </c>
      <c r="Y89" s="17" t="s">
        <v>118</v>
      </c>
      <c r="Z89" s="17" t="s">
        <v>216</v>
      </c>
      <c r="AA89" s="29">
        <v>775242.23532600002</v>
      </c>
      <c r="AB89" s="29">
        <v>2422251.1218699999</v>
      </c>
    </row>
    <row r="90" spans="1:28" x14ac:dyDescent="0.25">
      <c r="A90" s="30">
        <v>89</v>
      </c>
      <c r="B90" s="17">
        <v>468411</v>
      </c>
      <c r="C90" s="17" t="s">
        <v>337</v>
      </c>
      <c r="D90" s="17" t="s">
        <v>52</v>
      </c>
      <c r="E90" s="17" t="s">
        <v>597</v>
      </c>
      <c r="F90" s="17" t="s">
        <v>340</v>
      </c>
      <c r="G90" s="17" t="s">
        <v>598</v>
      </c>
      <c r="H90" s="17" t="s">
        <v>63</v>
      </c>
      <c r="I90" s="17">
        <v>20218</v>
      </c>
      <c r="J90" s="17" t="s">
        <v>54</v>
      </c>
      <c r="K90" s="17" t="s">
        <v>66</v>
      </c>
      <c r="L90" s="17" t="s">
        <v>104</v>
      </c>
      <c r="M90" s="17" t="s">
        <v>219</v>
      </c>
      <c r="N90" s="17" t="s">
        <v>104</v>
      </c>
      <c r="O90" s="17" t="s">
        <v>118</v>
      </c>
      <c r="P90" s="17" t="s">
        <v>104</v>
      </c>
      <c r="Q90" s="17" t="s">
        <v>217</v>
      </c>
      <c r="R90" s="17" t="s">
        <v>74</v>
      </c>
      <c r="S90" s="17" t="s">
        <v>324</v>
      </c>
      <c r="T90" s="17">
        <v>1100</v>
      </c>
      <c r="U90" s="18">
        <v>0</v>
      </c>
      <c r="V90" s="17" t="s">
        <v>599</v>
      </c>
      <c r="W90" s="17" t="s">
        <v>600</v>
      </c>
      <c r="X90" s="17" t="s">
        <v>61</v>
      </c>
      <c r="Y90" s="17" t="s">
        <v>118</v>
      </c>
      <c r="Z90" s="17" t="s">
        <v>218</v>
      </c>
      <c r="AA90" s="29">
        <v>775965.76383499999</v>
      </c>
      <c r="AB90" s="29">
        <v>2420005.9761899998</v>
      </c>
    </row>
    <row r="91" spans="1:28" x14ac:dyDescent="0.25">
      <c r="A91" s="30">
        <v>90</v>
      </c>
      <c r="B91" s="17">
        <v>468411</v>
      </c>
      <c r="C91" s="17" t="s">
        <v>337</v>
      </c>
      <c r="D91" s="17" t="s">
        <v>52</v>
      </c>
      <c r="E91" s="17" t="s">
        <v>601</v>
      </c>
      <c r="F91" s="17" t="s">
        <v>340</v>
      </c>
      <c r="G91" s="17" t="s">
        <v>587</v>
      </c>
      <c r="H91" s="17" t="s">
        <v>63</v>
      </c>
      <c r="I91" s="17">
        <v>20211</v>
      </c>
      <c r="J91" s="17" t="s">
        <v>54</v>
      </c>
      <c r="K91" s="17" t="s">
        <v>66</v>
      </c>
      <c r="L91" s="17" t="s">
        <v>70</v>
      </c>
      <c r="M91" s="17" t="s">
        <v>58</v>
      </c>
      <c r="N91" s="17" t="s">
        <v>70</v>
      </c>
      <c r="O91" s="17" t="s">
        <v>58</v>
      </c>
      <c r="P91" s="17" t="s">
        <v>70</v>
      </c>
      <c r="Q91" s="17" t="s">
        <v>58</v>
      </c>
      <c r="R91" s="17" t="s">
        <v>70</v>
      </c>
      <c r="S91" s="17" t="s">
        <v>58</v>
      </c>
      <c r="T91" s="17">
        <v>1713</v>
      </c>
      <c r="U91" s="18">
        <v>0</v>
      </c>
      <c r="V91" s="17" t="s">
        <v>602</v>
      </c>
      <c r="X91" s="17" t="s">
        <v>59</v>
      </c>
      <c r="Y91" s="17" t="s">
        <v>118</v>
      </c>
      <c r="Z91" s="17" t="s">
        <v>218</v>
      </c>
      <c r="AA91" s="29">
        <v>773580.30562300002</v>
      </c>
      <c r="AB91" s="29">
        <v>2418790.5807699999</v>
      </c>
    </row>
    <row r="92" spans="1:28" x14ac:dyDescent="0.25">
      <c r="A92" s="30">
        <v>91</v>
      </c>
      <c r="B92" s="17">
        <v>468411</v>
      </c>
      <c r="C92" s="17" t="s">
        <v>337</v>
      </c>
      <c r="D92" s="17" t="s">
        <v>52</v>
      </c>
      <c r="E92" s="17" t="s">
        <v>603</v>
      </c>
      <c r="F92" s="17" t="s">
        <v>340</v>
      </c>
      <c r="G92" s="17" t="s">
        <v>604</v>
      </c>
      <c r="H92" s="17" t="s">
        <v>63</v>
      </c>
      <c r="I92" s="17">
        <v>20218</v>
      </c>
      <c r="J92" s="17" t="s">
        <v>54</v>
      </c>
      <c r="K92" s="17" t="s">
        <v>66</v>
      </c>
      <c r="L92" s="17" t="s">
        <v>104</v>
      </c>
      <c r="M92" s="17" t="s">
        <v>248</v>
      </c>
      <c r="N92" s="17" t="s">
        <v>104</v>
      </c>
      <c r="O92" s="17" t="s">
        <v>219</v>
      </c>
      <c r="P92" s="17" t="s">
        <v>90</v>
      </c>
      <c r="Q92" s="17" t="s">
        <v>58</v>
      </c>
      <c r="R92" s="17" t="s">
        <v>20</v>
      </c>
      <c r="S92" s="17" t="s">
        <v>58</v>
      </c>
      <c r="T92" s="17">
        <v>102</v>
      </c>
      <c r="U92" s="18">
        <v>4491162133</v>
      </c>
      <c r="V92" s="17" t="s">
        <v>605</v>
      </c>
      <c r="W92" s="17" t="s">
        <v>606</v>
      </c>
      <c r="X92" s="17" t="s">
        <v>95</v>
      </c>
      <c r="Y92" s="17" t="s">
        <v>118</v>
      </c>
      <c r="Z92" s="17" t="s">
        <v>218</v>
      </c>
      <c r="AA92" s="29">
        <v>776472.59917199996</v>
      </c>
      <c r="AB92" s="29">
        <v>2421012.5853400002</v>
      </c>
    </row>
    <row r="93" spans="1:28" x14ac:dyDescent="0.25">
      <c r="A93" s="30">
        <v>92</v>
      </c>
      <c r="B93" s="17">
        <v>468411</v>
      </c>
      <c r="C93" s="17" t="s">
        <v>337</v>
      </c>
      <c r="D93" s="17" t="s">
        <v>52</v>
      </c>
      <c r="E93" s="17" t="s">
        <v>607</v>
      </c>
      <c r="F93" s="17" t="s">
        <v>340</v>
      </c>
      <c r="G93" s="17" t="s">
        <v>608</v>
      </c>
      <c r="H93" s="17" t="s">
        <v>75</v>
      </c>
      <c r="I93" s="17">
        <v>20200</v>
      </c>
      <c r="J93" s="17" t="s">
        <v>54</v>
      </c>
      <c r="K93" s="17" t="s">
        <v>60</v>
      </c>
      <c r="L93" s="17" t="s">
        <v>56</v>
      </c>
      <c r="M93" s="17" t="s">
        <v>109</v>
      </c>
      <c r="N93" s="17" t="s">
        <v>20</v>
      </c>
      <c r="O93" s="17" t="s">
        <v>203</v>
      </c>
      <c r="P93" s="17" t="s">
        <v>99</v>
      </c>
      <c r="Q93" s="17" t="s">
        <v>159</v>
      </c>
      <c r="R93" s="17" t="s">
        <v>20</v>
      </c>
      <c r="S93" s="17" t="s">
        <v>227</v>
      </c>
      <c r="T93" s="17">
        <v>1713</v>
      </c>
      <c r="U93" s="18">
        <v>0</v>
      </c>
      <c r="V93" s="17" t="s">
        <v>609</v>
      </c>
      <c r="X93" s="17" t="s">
        <v>83</v>
      </c>
      <c r="Y93" s="17" t="s">
        <v>118</v>
      </c>
      <c r="Z93" s="17" t="s">
        <v>218</v>
      </c>
      <c r="AA93" s="29">
        <v>774711.03489100002</v>
      </c>
      <c r="AB93" s="29">
        <v>2418405.0655200002</v>
      </c>
    </row>
    <row r="94" spans="1:28" x14ac:dyDescent="0.25">
      <c r="A94" s="30">
        <v>93</v>
      </c>
      <c r="B94" s="17">
        <v>468411</v>
      </c>
      <c r="C94" s="17" t="s">
        <v>337</v>
      </c>
      <c r="D94" s="17" t="s">
        <v>52</v>
      </c>
      <c r="E94" s="17" t="s">
        <v>610</v>
      </c>
      <c r="F94" s="17" t="s">
        <v>340</v>
      </c>
      <c r="G94" s="17" t="s">
        <v>611</v>
      </c>
      <c r="H94" s="17" t="s">
        <v>63</v>
      </c>
      <c r="I94" s="17">
        <v>20135</v>
      </c>
      <c r="J94" s="17" t="s">
        <v>54</v>
      </c>
      <c r="K94" s="17" t="s">
        <v>66</v>
      </c>
      <c r="L94" s="17" t="s">
        <v>56</v>
      </c>
      <c r="M94" s="17" t="s">
        <v>131</v>
      </c>
      <c r="N94" s="17" t="s">
        <v>56</v>
      </c>
      <c r="O94" s="17" t="s">
        <v>131</v>
      </c>
      <c r="P94" s="17" t="s">
        <v>104</v>
      </c>
      <c r="Q94" s="17" t="s">
        <v>130</v>
      </c>
      <c r="R94" s="17" t="s">
        <v>252</v>
      </c>
      <c r="S94" s="17" t="s">
        <v>232</v>
      </c>
      <c r="T94" s="17">
        <v>782</v>
      </c>
      <c r="U94" s="18">
        <v>0</v>
      </c>
      <c r="V94" s="17" t="s">
        <v>612</v>
      </c>
      <c r="X94" s="17" t="s">
        <v>62</v>
      </c>
      <c r="Y94" s="17" t="s">
        <v>111</v>
      </c>
      <c r="Z94" s="17" t="s">
        <v>221</v>
      </c>
      <c r="AA94" s="29">
        <v>779723.96465099999</v>
      </c>
      <c r="AB94" s="29">
        <v>2425967.8310199999</v>
      </c>
    </row>
    <row r="95" spans="1:28" x14ac:dyDescent="0.25">
      <c r="A95" s="30">
        <v>94</v>
      </c>
      <c r="B95" s="17">
        <v>468411</v>
      </c>
      <c r="C95" s="17" t="s">
        <v>337</v>
      </c>
      <c r="D95" s="17" t="s">
        <v>52</v>
      </c>
      <c r="E95" s="17" t="s">
        <v>613</v>
      </c>
      <c r="F95" s="17" t="s">
        <v>340</v>
      </c>
      <c r="G95" s="17" t="s">
        <v>344</v>
      </c>
      <c r="H95" s="17" t="s">
        <v>63</v>
      </c>
      <c r="I95" s="17">
        <v>20135</v>
      </c>
      <c r="J95" s="17" t="s">
        <v>54</v>
      </c>
      <c r="K95" s="17" t="s">
        <v>66</v>
      </c>
      <c r="L95" s="17" t="s">
        <v>56</v>
      </c>
      <c r="M95" s="17" t="s">
        <v>133</v>
      </c>
      <c r="N95" s="17" t="s">
        <v>104</v>
      </c>
      <c r="O95" s="17" t="s">
        <v>246</v>
      </c>
      <c r="P95" s="17" t="s">
        <v>56</v>
      </c>
      <c r="Q95" s="17" t="s">
        <v>331</v>
      </c>
      <c r="R95" s="17" t="s">
        <v>56</v>
      </c>
      <c r="S95" s="17" t="s">
        <v>58</v>
      </c>
      <c r="T95" s="17">
        <v>724</v>
      </c>
      <c r="U95" s="18">
        <v>0</v>
      </c>
      <c r="V95" s="17" t="s">
        <v>346</v>
      </c>
      <c r="W95" s="17" t="s">
        <v>347</v>
      </c>
      <c r="X95" s="17" t="s">
        <v>62</v>
      </c>
      <c r="Y95" s="17" t="s">
        <v>111</v>
      </c>
      <c r="Z95" s="17" t="s">
        <v>221</v>
      </c>
      <c r="AA95" s="29">
        <v>779738.28156399995</v>
      </c>
      <c r="AB95" s="29">
        <v>2425878.8291699998</v>
      </c>
    </row>
    <row r="96" spans="1:28" x14ac:dyDescent="0.25">
      <c r="A96" s="30">
        <v>95</v>
      </c>
      <c r="B96" s="17">
        <v>468411</v>
      </c>
      <c r="C96" s="17" t="s">
        <v>337</v>
      </c>
      <c r="D96" s="17" t="s">
        <v>52</v>
      </c>
      <c r="E96" s="17" t="s">
        <v>614</v>
      </c>
      <c r="F96" s="17" t="s">
        <v>340</v>
      </c>
      <c r="G96" s="17" t="s">
        <v>422</v>
      </c>
      <c r="H96" s="17" t="s">
        <v>63</v>
      </c>
      <c r="I96" s="17">
        <v>20328</v>
      </c>
      <c r="J96" s="17" t="s">
        <v>54</v>
      </c>
      <c r="K96" s="17" t="s">
        <v>66</v>
      </c>
      <c r="L96" s="17" t="s">
        <v>56</v>
      </c>
      <c r="M96" s="17" t="s">
        <v>615</v>
      </c>
      <c r="N96" s="17" t="s">
        <v>20</v>
      </c>
      <c r="O96" s="17" t="s">
        <v>336</v>
      </c>
      <c r="P96" s="17" t="s">
        <v>56</v>
      </c>
      <c r="Q96" s="17" t="s">
        <v>215</v>
      </c>
      <c r="R96" s="17" t="s">
        <v>20</v>
      </c>
      <c r="S96" s="17" t="s">
        <v>336</v>
      </c>
      <c r="T96" s="17">
        <v>1102</v>
      </c>
      <c r="U96" s="18">
        <v>0</v>
      </c>
      <c r="V96" s="17" t="s">
        <v>471</v>
      </c>
      <c r="W96" s="17" t="s">
        <v>616</v>
      </c>
      <c r="X96" s="17" t="s">
        <v>61</v>
      </c>
      <c r="Y96" s="17" t="s">
        <v>111</v>
      </c>
      <c r="Z96" s="17" t="s">
        <v>221</v>
      </c>
      <c r="AA96" s="29">
        <v>776008.01685500005</v>
      </c>
      <c r="AB96" s="29">
        <v>2425239.4771099999</v>
      </c>
    </row>
    <row r="97" spans="1:28" x14ac:dyDescent="0.25">
      <c r="A97" s="30">
        <v>96</v>
      </c>
      <c r="B97" s="17">
        <v>468411</v>
      </c>
      <c r="C97" s="17" t="s">
        <v>337</v>
      </c>
      <c r="D97" s="17" t="s">
        <v>52</v>
      </c>
      <c r="E97" s="17" t="s">
        <v>617</v>
      </c>
      <c r="F97" s="17" t="s">
        <v>340</v>
      </c>
      <c r="G97" s="17" t="s">
        <v>618</v>
      </c>
      <c r="H97" s="17" t="s">
        <v>63</v>
      </c>
      <c r="I97" s="17">
        <v>20130</v>
      </c>
      <c r="J97" s="17" t="s">
        <v>54</v>
      </c>
      <c r="K97" s="17" t="s">
        <v>66</v>
      </c>
      <c r="L97" s="17" t="s">
        <v>20</v>
      </c>
      <c r="M97" s="17" t="s">
        <v>615</v>
      </c>
      <c r="N97" s="17" t="s">
        <v>70</v>
      </c>
      <c r="O97" s="17" t="s">
        <v>89</v>
      </c>
      <c r="P97" s="17" t="s">
        <v>57</v>
      </c>
      <c r="Q97" s="17" t="s">
        <v>619</v>
      </c>
      <c r="R97" s="17" t="s">
        <v>20</v>
      </c>
      <c r="S97" s="17" t="s">
        <v>620</v>
      </c>
      <c r="T97" s="17">
        <v>7038</v>
      </c>
      <c r="U97" s="18">
        <v>0</v>
      </c>
      <c r="V97" s="17" t="s">
        <v>621</v>
      </c>
      <c r="X97" s="17" t="s">
        <v>95</v>
      </c>
      <c r="Y97" s="17" t="s">
        <v>111</v>
      </c>
      <c r="Z97" s="17" t="s">
        <v>221</v>
      </c>
      <c r="AA97" s="29">
        <v>777120.86436899996</v>
      </c>
      <c r="AB97" s="29">
        <v>2425220.8383999998</v>
      </c>
    </row>
    <row r="98" spans="1:28" x14ac:dyDescent="0.25">
      <c r="A98" s="30">
        <v>97</v>
      </c>
      <c r="B98" s="17">
        <v>468411</v>
      </c>
      <c r="C98" s="17" t="s">
        <v>337</v>
      </c>
      <c r="D98" s="17" t="s">
        <v>52</v>
      </c>
      <c r="E98" s="17" t="s">
        <v>622</v>
      </c>
      <c r="F98" s="17" t="s">
        <v>340</v>
      </c>
      <c r="H98" s="17" t="s">
        <v>63</v>
      </c>
      <c r="I98" s="17">
        <v>20116</v>
      </c>
      <c r="J98" s="17" t="s">
        <v>54</v>
      </c>
      <c r="K98" s="17" t="s">
        <v>66</v>
      </c>
      <c r="L98" s="17" t="s">
        <v>56</v>
      </c>
      <c r="M98" s="17" t="s">
        <v>230</v>
      </c>
      <c r="N98" s="17" t="s">
        <v>104</v>
      </c>
      <c r="O98" s="17" t="s">
        <v>130</v>
      </c>
      <c r="P98" s="17" t="s">
        <v>56</v>
      </c>
      <c r="Q98" s="17" t="s">
        <v>247</v>
      </c>
      <c r="R98" s="17" t="s">
        <v>20</v>
      </c>
      <c r="S98" s="17" t="s">
        <v>325</v>
      </c>
      <c r="T98" s="17">
        <v>101</v>
      </c>
      <c r="U98" s="18">
        <v>4499732183</v>
      </c>
      <c r="V98" s="17" t="s">
        <v>623</v>
      </c>
      <c r="X98" s="17" t="s">
        <v>62</v>
      </c>
      <c r="Y98" s="17" t="s">
        <v>111</v>
      </c>
      <c r="Z98" s="17" t="s">
        <v>221</v>
      </c>
      <c r="AA98" s="29">
        <v>779775.12580499996</v>
      </c>
      <c r="AB98" s="29">
        <v>2428516.8814699999</v>
      </c>
    </row>
    <row r="99" spans="1:28" x14ac:dyDescent="0.25">
      <c r="A99" s="30">
        <v>98</v>
      </c>
      <c r="B99" s="17">
        <v>468411</v>
      </c>
      <c r="C99" s="17" t="s">
        <v>337</v>
      </c>
      <c r="D99" s="17" t="s">
        <v>52</v>
      </c>
      <c r="E99" s="17" t="s">
        <v>624</v>
      </c>
      <c r="F99" s="17" t="s">
        <v>340</v>
      </c>
      <c r="G99" s="17" t="s">
        <v>625</v>
      </c>
      <c r="H99" s="17" t="s">
        <v>63</v>
      </c>
      <c r="I99" s="17">
        <v>20116</v>
      </c>
      <c r="J99" s="17" t="s">
        <v>54</v>
      </c>
      <c r="K99" s="17" t="s">
        <v>66</v>
      </c>
      <c r="L99" s="17" t="s">
        <v>56</v>
      </c>
      <c r="M99" s="17" t="s">
        <v>76</v>
      </c>
      <c r="N99" s="17" t="s">
        <v>20</v>
      </c>
      <c r="O99" s="17" t="s">
        <v>231</v>
      </c>
      <c r="P99" s="17" t="s">
        <v>57</v>
      </c>
      <c r="Q99" s="17" t="s">
        <v>58</v>
      </c>
      <c r="R99" s="17" t="s">
        <v>104</v>
      </c>
      <c r="S99" s="17" t="s">
        <v>130</v>
      </c>
      <c r="T99" s="17">
        <v>1839</v>
      </c>
      <c r="U99" s="18">
        <v>0</v>
      </c>
      <c r="V99" s="17" t="s">
        <v>626</v>
      </c>
      <c r="W99" s="17" t="s">
        <v>627</v>
      </c>
      <c r="X99" s="17" t="s">
        <v>62</v>
      </c>
      <c r="Y99" s="17" t="s">
        <v>111</v>
      </c>
      <c r="Z99" s="17" t="s">
        <v>221</v>
      </c>
      <c r="AA99" s="29">
        <v>779193.38555500004</v>
      </c>
      <c r="AB99" s="29">
        <v>2426186.6128400001</v>
      </c>
    </row>
    <row r="100" spans="1:28" x14ac:dyDescent="0.25">
      <c r="A100" s="30">
        <v>99</v>
      </c>
      <c r="B100" s="17">
        <v>468411</v>
      </c>
      <c r="C100" s="17" t="s">
        <v>337</v>
      </c>
      <c r="D100" s="17" t="s">
        <v>52</v>
      </c>
      <c r="E100" s="17" t="s">
        <v>583</v>
      </c>
      <c r="F100" s="17" t="s">
        <v>340</v>
      </c>
      <c r="G100" s="17" t="s">
        <v>584</v>
      </c>
      <c r="H100" s="17" t="s">
        <v>63</v>
      </c>
      <c r="I100" s="17">
        <v>20115</v>
      </c>
      <c r="J100" s="17" t="s">
        <v>54</v>
      </c>
      <c r="K100" s="17" t="s">
        <v>66</v>
      </c>
      <c r="L100" s="17" t="s">
        <v>99</v>
      </c>
      <c r="M100" s="17" t="s">
        <v>124</v>
      </c>
      <c r="N100" s="17" t="s">
        <v>70</v>
      </c>
      <c r="O100" s="17" t="s">
        <v>250</v>
      </c>
      <c r="P100" s="17" t="s">
        <v>74</v>
      </c>
      <c r="Q100" s="17" t="s">
        <v>628</v>
      </c>
      <c r="R100" s="17" t="s">
        <v>287</v>
      </c>
      <c r="S100" s="17" t="s">
        <v>629</v>
      </c>
      <c r="T100" s="17">
        <v>1016</v>
      </c>
      <c r="U100" s="18">
        <v>0</v>
      </c>
      <c r="V100" s="17" t="s">
        <v>630</v>
      </c>
      <c r="X100" s="17" t="s">
        <v>59</v>
      </c>
      <c r="Y100" s="17" t="s">
        <v>111</v>
      </c>
      <c r="Z100" s="17" t="s">
        <v>221</v>
      </c>
      <c r="AA100" s="29">
        <v>778048.61215499998</v>
      </c>
      <c r="AB100" s="29">
        <v>2428334.9788799998</v>
      </c>
    </row>
    <row r="101" spans="1:28" x14ac:dyDescent="0.25">
      <c r="A101" s="30">
        <v>100</v>
      </c>
      <c r="B101" s="17">
        <v>468411</v>
      </c>
      <c r="C101" s="17" t="s">
        <v>337</v>
      </c>
      <c r="D101" s="17" t="s">
        <v>52</v>
      </c>
      <c r="E101" s="17" t="s">
        <v>631</v>
      </c>
      <c r="F101" s="17" t="s">
        <v>340</v>
      </c>
      <c r="G101" s="17" t="s">
        <v>632</v>
      </c>
      <c r="H101" s="17" t="s">
        <v>75</v>
      </c>
      <c r="I101" s="17">
        <v>20127</v>
      </c>
      <c r="J101" s="17" t="s">
        <v>54</v>
      </c>
      <c r="K101" s="17" t="s">
        <v>60</v>
      </c>
      <c r="L101" s="17" t="s">
        <v>56</v>
      </c>
      <c r="M101" s="17" t="s">
        <v>131</v>
      </c>
      <c r="N101" s="17" t="s">
        <v>56</v>
      </c>
      <c r="O101" s="17" t="s">
        <v>136</v>
      </c>
      <c r="P101" s="17" t="s">
        <v>20</v>
      </c>
      <c r="Q101" s="17" t="s">
        <v>224</v>
      </c>
      <c r="R101" s="17" t="s">
        <v>20</v>
      </c>
      <c r="S101" s="17" t="s">
        <v>223</v>
      </c>
      <c r="T101" s="17">
        <v>802</v>
      </c>
      <c r="U101" s="18">
        <v>0</v>
      </c>
      <c r="V101" s="17" t="s">
        <v>633</v>
      </c>
      <c r="X101" s="17" t="s">
        <v>61</v>
      </c>
      <c r="Y101" s="17" t="s">
        <v>111</v>
      </c>
      <c r="Z101" s="17" t="s">
        <v>221</v>
      </c>
      <c r="AA101" s="29">
        <v>777640.15739299997</v>
      </c>
      <c r="AB101" s="29">
        <v>2426019.4047599998</v>
      </c>
    </row>
    <row r="102" spans="1:28" x14ac:dyDescent="0.25">
      <c r="A102" s="30">
        <v>101</v>
      </c>
      <c r="B102" s="17">
        <v>468411</v>
      </c>
      <c r="C102" s="17" t="s">
        <v>337</v>
      </c>
      <c r="D102" s="17" t="s">
        <v>52</v>
      </c>
      <c r="E102" s="17" t="s">
        <v>369</v>
      </c>
      <c r="F102" s="17" t="s">
        <v>340</v>
      </c>
      <c r="G102" s="17" t="s">
        <v>370</v>
      </c>
      <c r="H102" s="17" t="s">
        <v>75</v>
      </c>
      <c r="I102" s="17">
        <v>20130</v>
      </c>
      <c r="J102" s="17" t="s">
        <v>54</v>
      </c>
      <c r="K102" s="17" t="s">
        <v>66</v>
      </c>
      <c r="L102" s="17" t="s">
        <v>56</v>
      </c>
      <c r="M102" s="17" t="s">
        <v>131</v>
      </c>
      <c r="N102" s="17" t="s">
        <v>99</v>
      </c>
      <c r="O102" s="17" t="s">
        <v>124</v>
      </c>
      <c r="P102" s="17" t="s">
        <v>56</v>
      </c>
      <c r="Q102" s="17" t="s">
        <v>226</v>
      </c>
      <c r="R102" s="17" t="s">
        <v>20</v>
      </c>
      <c r="S102" s="17" t="s">
        <v>228</v>
      </c>
      <c r="T102" s="17">
        <v>512</v>
      </c>
      <c r="U102" s="18">
        <v>0</v>
      </c>
      <c r="V102" s="17" t="s">
        <v>372</v>
      </c>
      <c r="W102" s="17" t="s">
        <v>373</v>
      </c>
      <c r="X102" s="17" t="s">
        <v>62</v>
      </c>
      <c r="Y102" s="17" t="s">
        <v>111</v>
      </c>
      <c r="Z102" s="17" t="s">
        <v>221</v>
      </c>
      <c r="AA102" s="29">
        <v>778455.95113599999</v>
      </c>
      <c r="AB102" s="29">
        <v>2425989.3515400002</v>
      </c>
    </row>
    <row r="103" spans="1:28" x14ac:dyDescent="0.25">
      <c r="A103" s="30">
        <v>102</v>
      </c>
      <c r="B103" s="17">
        <v>468411</v>
      </c>
      <c r="C103" s="17" t="s">
        <v>337</v>
      </c>
      <c r="D103" s="17" t="s">
        <v>52</v>
      </c>
      <c r="E103" s="17" t="s">
        <v>583</v>
      </c>
      <c r="F103" s="17" t="s">
        <v>340</v>
      </c>
      <c r="G103" s="17" t="s">
        <v>584</v>
      </c>
      <c r="H103" s="17" t="s">
        <v>75</v>
      </c>
      <c r="I103" s="17">
        <v>20016</v>
      </c>
      <c r="J103" s="17" t="s">
        <v>54</v>
      </c>
      <c r="K103" s="17" t="s">
        <v>66</v>
      </c>
      <c r="L103" s="17" t="s">
        <v>56</v>
      </c>
      <c r="M103" s="17" t="s">
        <v>119</v>
      </c>
      <c r="N103" s="17" t="s">
        <v>70</v>
      </c>
      <c r="O103" s="17" t="s">
        <v>89</v>
      </c>
      <c r="P103" s="17" t="s">
        <v>74</v>
      </c>
      <c r="Q103" s="17" t="s">
        <v>330</v>
      </c>
      <c r="R103" s="17" t="s">
        <v>74</v>
      </c>
      <c r="S103" s="17" t="s">
        <v>326</v>
      </c>
      <c r="T103" s="17">
        <v>1651</v>
      </c>
      <c r="U103" s="18">
        <v>0</v>
      </c>
      <c r="V103" s="17" t="s">
        <v>630</v>
      </c>
      <c r="X103" s="17" t="s">
        <v>61</v>
      </c>
      <c r="Y103" s="17" t="s">
        <v>111</v>
      </c>
      <c r="Z103" s="17" t="s">
        <v>221</v>
      </c>
      <c r="AA103" s="29">
        <v>777227.38292200002</v>
      </c>
      <c r="AB103" s="29">
        <v>2424337.0808199998</v>
      </c>
    </row>
    <row r="104" spans="1:28" x14ac:dyDescent="0.25">
      <c r="A104" s="30">
        <v>103</v>
      </c>
      <c r="B104" s="17">
        <v>468411</v>
      </c>
      <c r="C104" s="17" t="s">
        <v>337</v>
      </c>
      <c r="D104" s="17" t="s">
        <v>52</v>
      </c>
      <c r="E104" s="17" t="s">
        <v>583</v>
      </c>
      <c r="F104" s="17" t="s">
        <v>340</v>
      </c>
      <c r="G104" s="17" t="s">
        <v>584</v>
      </c>
      <c r="H104" s="17" t="s">
        <v>75</v>
      </c>
      <c r="I104" s="17">
        <v>20118</v>
      </c>
      <c r="J104" s="17" t="s">
        <v>54</v>
      </c>
      <c r="K104" s="17" t="s">
        <v>66</v>
      </c>
      <c r="L104" s="17" t="s">
        <v>104</v>
      </c>
      <c r="M104" s="17" t="s">
        <v>634</v>
      </c>
      <c r="N104" s="17" t="s">
        <v>20</v>
      </c>
      <c r="O104" s="17" t="s">
        <v>327</v>
      </c>
      <c r="P104" s="17" t="s">
        <v>20</v>
      </c>
      <c r="Q104" s="17" t="s">
        <v>328</v>
      </c>
      <c r="R104" s="17" t="s">
        <v>287</v>
      </c>
      <c r="S104" s="17" t="s">
        <v>329</v>
      </c>
      <c r="T104" s="17">
        <v>2592</v>
      </c>
      <c r="U104" s="18">
        <v>0</v>
      </c>
      <c r="V104" s="17" t="s">
        <v>630</v>
      </c>
      <c r="X104" s="17" t="s">
        <v>61</v>
      </c>
      <c r="Y104" s="17" t="s">
        <v>111</v>
      </c>
      <c r="Z104" s="17" t="s">
        <v>221</v>
      </c>
      <c r="AA104" s="29">
        <v>776676.40989600006</v>
      </c>
      <c r="AB104" s="29">
        <v>2427741.3346699998</v>
      </c>
    </row>
    <row r="105" spans="1:28" x14ac:dyDescent="0.25">
      <c r="A105" s="30">
        <v>104</v>
      </c>
      <c r="B105" s="17">
        <v>468411</v>
      </c>
      <c r="C105" s="17" t="s">
        <v>337</v>
      </c>
      <c r="D105" s="17" t="s">
        <v>52</v>
      </c>
      <c r="E105" s="17" t="s">
        <v>635</v>
      </c>
      <c r="F105" s="17" t="s">
        <v>340</v>
      </c>
      <c r="G105" s="17" t="s">
        <v>636</v>
      </c>
      <c r="H105" s="17" t="s">
        <v>75</v>
      </c>
      <c r="I105" s="17">
        <v>20116</v>
      </c>
      <c r="J105" s="17" t="s">
        <v>54</v>
      </c>
      <c r="K105" s="17" t="s">
        <v>66</v>
      </c>
      <c r="L105" s="17" t="s">
        <v>20</v>
      </c>
      <c r="M105" s="17" t="s">
        <v>222</v>
      </c>
      <c r="N105" s="17" t="s">
        <v>104</v>
      </c>
      <c r="O105" s="17" t="s">
        <v>130</v>
      </c>
      <c r="P105" s="17" t="s">
        <v>56</v>
      </c>
      <c r="Q105" s="17" t="s">
        <v>76</v>
      </c>
      <c r="R105" s="17" t="s">
        <v>104</v>
      </c>
      <c r="S105" s="17" t="s">
        <v>207</v>
      </c>
      <c r="T105" s="17">
        <v>2351</v>
      </c>
      <c r="U105" s="18">
        <v>0</v>
      </c>
      <c r="V105" s="17" t="s">
        <v>637</v>
      </c>
      <c r="W105" s="17" t="s">
        <v>638</v>
      </c>
      <c r="X105" s="17" t="s">
        <v>61</v>
      </c>
      <c r="Y105" s="17" t="s">
        <v>111</v>
      </c>
      <c r="Z105" s="17" t="s">
        <v>221</v>
      </c>
      <c r="AA105" s="29">
        <v>779558.64716399997</v>
      </c>
      <c r="AB105" s="29">
        <v>2426783.4194399999</v>
      </c>
    </row>
    <row r="106" spans="1:28" x14ac:dyDescent="0.25">
      <c r="A106" s="30">
        <v>105</v>
      </c>
      <c r="B106" s="17">
        <v>468411</v>
      </c>
      <c r="C106" s="17" t="s">
        <v>337</v>
      </c>
      <c r="D106" s="17" t="s">
        <v>52</v>
      </c>
      <c r="E106" s="17" t="s">
        <v>639</v>
      </c>
      <c r="F106" s="17" t="s">
        <v>340</v>
      </c>
      <c r="G106" s="17" t="s">
        <v>640</v>
      </c>
      <c r="H106" s="17" t="s">
        <v>75</v>
      </c>
      <c r="I106" s="17">
        <v>20115</v>
      </c>
      <c r="J106" s="17" t="s">
        <v>54</v>
      </c>
      <c r="K106" s="17" t="s">
        <v>55</v>
      </c>
      <c r="L106" s="17" t="s">
        <v>20</v>
      </c>
      <c r="M106" s="17" t="s">
        <v>229</v>
      </c>
      <c r="N106" s="17" t="s">
        <v>20</v>
      </c>
      <c r="O106" s="17" t="s">
        <v>225</v>
      </c>
      <c r="P106" s="17" t="s">
        <v>104</v>
      </c>
      <c r="Q106" s="17" t="s">
        <v>207</v>
      </c>
      <c r="R106" s="17" t="s">
        <v>56</v>
      </c>
      <c r="S106" s="17" t="s">
        <v>76</v>
      </c>
      <c r="T106" s="17">
        <v>604</v>
      </c>
      <c r="U106" s="18">
        <v>0</v>
      </c>
      <c r="V106" s="17" t="s">
        <v>641</v>
      </c>
      <c r="W106" s="17" t="s">
        <v>642</v>
      </c>
      <c r="X106" s="17" t="s">
        <v>71</v>
      </c>
      <c r="Y106" s="17" t="s">
        <v>111</v>
      </c>
      <c r="Z106" s="17" t="s">
        <v>221</v>
      </c>
      <c r="AA106" s="29">
        <v>778766.08093399997</v>
      </c>
      <c r="AB106" s="29">
        <v>2427065.7130499999</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24EU_SU_GASOLINA</vt:lpstr>
      <vt:lpstr>BASE DE DATOS_SU_GASOLINA</vt:lpstr>
      <vt:lpstr>'24EU_SU_GASOLINA'!Área_de_impresión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IMP-118-ALGarciaV</cp:lastModifiedBy>
  <cp:lastPrinted>2024-06-10T21:24:02Z</cp:lastPrinted>
  <dcterms:created xsi:type="dcterms:W3CDTF">2024-03-04T20:54:05Z</dcterms:created>
  <dcterms:modified xsi:type="dcterms:W3CDTF">2024-08-12T17:37:30Z</dcterms:modified>
</cp:coreProperties>
</file>