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GAS\"/>
    </mc:Choice>
  </mc:AlternateContent>
  <xr:revisionPtr revIDLastSave="0" documentId="13_ncr:1_{7BAA261E-2B2F-44EB-A056-047EC0B43995}" xr6:coauthVersionLast="47" xr6:coauthVersionMax="47" xr10:uidLastSave="{00000000-0000-0000-0000-000000000000}"/>
  <bookViews>
    <workbookView xWindow="-21720" yWindow="930" windowWidth="21840" windowHeight="13020" xr2:uid="{00000000-000D-0000-FFFF-FFFF00000000}"/>
  </bookViews>
  <sheets>
    <sheet name="24EU_SU_GAS" sheetId="1" r:id="rId1"/>
    <sheet name="BASE DE DATOS_SU_GAS" sheetId="2" r:id="rId2"/>
  </sheets>
  <definedNames>
    <definedName name="_xlnm.Print_Area" localSheetId="0">'24EU_SU_GAS'!$A$1:$C$35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<sst xmlns="http://schemas.openxmlformats.org/spreadsheetml/2006/main" count="1539" uniqueCount="411">
  <si>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</si>
  <si>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</si>
  <si>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</si>
  <si>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</si>
  <si>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</si>
  <si>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</si>
  <si>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</si>
  <si>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</si>
  <si>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</si>
  <si>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</si>
  <si>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</si>
  <si>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</si>
  <si>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</si>
  <si>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</si>
  <si>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</si>
  <si>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</si>
  <si>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</si>
  <si>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</si>
  <si>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</si>
  <si>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</si>
  <si>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</si>
  <si>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</si>
  <si>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</si>
  <si>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</si>
  <si>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</si>
  <si>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</si>
  <si>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</si>
  <si>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</si>
  <si>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</si>
  <si>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</si>
  <si>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</si>
  <si>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</si>
  <si>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</si>
  <si>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</si>
  <si>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</si>
  <si>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</si>
  <si>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</si>
  <si>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</si>
  <si>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</si>
  <si>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</si>
  <si>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</si>
  <si>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</si>
  <si>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</si>
  <si>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</si>
  <si>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</si>
  <si>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</si>
  <si>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</si>
  <si>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</si>
  <si>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</si>
  <si>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</si>
  <si>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</si>
  <si>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</si>
  <si>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</si>
  <si>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Fijo</t>
  </si>
  <si>
    <t>0 a 5 personas</t>
  </si>
  <si>
    <t>AVENIDA</t>
  </si>
  <si>
    <t>PRIVADA</t>
  </si>
  <si>
    <t>NINGUNO</t>
  </si>
  <si>
    <t>2019-11</t>
  </si>
  <si>
    <t>CALVILLITO</t>
  </si>
  <si>
    <t>(REFOM)-CALVILLITO</t>
  </si>
  <si>
    <t>6 a 10 personas</t>
  </si>
  <si>
    <t>2014-12</t>
  </si>
  <si>
    <t>2010-07</t>
  </si>
  <si>
    <t>COLONIA</t>
  </si>
  <si>
    <t>11 a 30 personas</t>
  </si>
  <si>
    <t>EJIDO</t>
  </si>
  <si>
    <t>SALVADOR ALLENDE</t>
  </si>
  <si>
    <t>DIAMANTES</t>
  </si>
  <si>
    <t>31 a 50 personas</t>
  </si>
  <si>
    <t>OTRO(ESPECIFIQUE)</t>
  </si>
  <si>
    <t>2023-11</t>
  </si>
  <si>
    <t>SIN REFERENCIA</t>
  </si>
  <si>
    <t>S/D</t>
  </si>
  <si>
    <t>FRACCIONAMIENTO</t>
  </si>
  <si>
    <t>INDEPENDENCIA</t>
  </si>
  <si>
    <t>CARRETERA</t>
  </si>
  <si>
    <t>LOCALIDAD</t>
  </si>
  <si>
    <t>SALTO DE LOS SALADO</t>
  </si>
  <si>
    <t>2020-04</t>
  </si>
  <si>
    <t>RANCHERIA</t>
  </si>
  <si>
    <t>20 DE NOVIEMBRE</t>
  </si>
  <si>
    <t>25 DE ABRIL</t>
  </si>
  <si>
    <t>MANZANA 800</t>
  </si>
  <si>
    <t>101 a 250 personas</t>
  </si>
  <si>
    <t>LIBERTAD</t>
  </si>
  <si>
    <t>PLAN DE AYALA</t>
  </si>
  <si>
    <t>LAS FLORES</t>
  </si>
  <si>
    <t>2021-05</t>
  </si>
  <si>
    <t>51 a 100 personas</t>
  </si>
  <si>
    <t>2020-11</t>
  </si>
  <si>
    <t>Sin Referencia</t>
  </si>
  <si>
    <t>OTRO (ESPECIFIQUE)</t>
  </si>
  <si>
    <t>2017-03</t>
  </si>
  <si>
    <t>2019-04</t>
  </si>
  <si>
    <t>2018-11</t>
  </si>
  <si>
    <t>CAMINO REAL</t>
  </si>
  <si>
    <t>PROLONGACION</t>
  </si>
  <si>
    <t>CENTRO PONIENTE</t>
  </si>
  <si>
    <t>(ZUFO)- SAN FRANCISCO</t>
  </si>
  <si>
    <t>ANDADOR</t>
  </si>
  <si>
    <t>BOULEVARD</t>
  </si>
  <si>
    <t>MAHATMA GANDHI</t>
  </si>
  <si>
    <t>INSURGENTES</t>
  </si>
  <si>
    <t>ROSAURA ZAPATA</t>
  </si>
  <si>
    <t>SIGLO XXI</t>
  </si>
  <si>
    <t>AVENIDA DE LOS MAESTROS</t>
  </si>
  <si>
    <t>POCITOS</t>
  </si>
  <si>
    <t>MORELOS</t>
  </si>
  <si>
    <t>SAN FRANCISCO</t>
  </si>
  <si>
    <t>AUSTRAL</t>
  </si>
  <si>
    <t>DE LOS MAESTROS</t>
  </si>
  <si>
    <t>SAN CRISTOBAL DE LAS CASAS</t>
  </si>
  <si>
    <t>JORGE NEGRETE</t>
  </si>
  <si>
    <t>MARIO MORENO</t>
  </si>
  <si>
    <t>MUJERES ILUSTRES</t>
  </si>
  <si>
    <t>HACIENDA</t>
  </si>
  <si>
    <t>SAN MARCOS</t>
  </si>
  <si>
    <t>AGUASCALIENTES PONIENTE</t>
  </si>
  <si>
    <t>CENTRO ORIENTE</t>
  </si>
  <si>
    <t>(ZUFO)-ARELLANO</t>
  </si>
  <si>
    <t>HVROE DE NACOZARI NORTE</t>
  </si>
  <si>
    <t>CONVENCION DE 1914 NORTE</t>
  </si>
  <si>
    <t>26 DE MARZO</t>
  </si>
  <si>
    <t>CONVENCION DE 1914 PONIENTE</t>
  </si>
  <si>
    <t>AQUILES ELORDUY</t>
  </si>
  <si>
    <t>Capul</t>
  </si>
  <si>
    <t>San Marcos</t>
  </si>
  <si>
    <t>EXHACIENDA</t>
  </si>
  <si>
    <t>CARLOS SAGREDO</t>
  </si>
  <si>
    <t>FUNDICION</t>
  </si>
  <si>
    <t>BOULEVARD A ZACATECAS</t>
  </si>
  <si>
    <t>Boulevard a Zacatecas</t>
  </si>
  <si>
    <t>FELIPE PNGELES</t>
  </si>
  <si>
    <t>(ZUFO)-AYUNTAMIENTO</t>
  </si>
  <si>
    <t>Ninguno</t>
  </si>
  <si>
    <t>(ZUFO)-CENTRO</t>
  </si>
  <si>
    <t>Siglo XXI</t>
  </si>
  <si>
    <t>VALLADOLID</t>
  </si>
  <si>
    <t>Delicias</t>
  </si>
  <si>
    <t>JOSL MARDA CHsVEZ</t>
  </si>
  <si>
    <t>RINCON</t>
  </si>
  <si>
    <t>RINCEN</t>
  </si>
  <si>
    <t>SANTA ANITA</t>
  </si>
  <si>
    <t>GUADALUPE PERALTA</t>
  </si>
  <si>
    <t>(ZUFO)-DON PASCUAL ORIENTE</t>
  </si>
  <si>
    <t>SALUD</t>
  </si>
  <si>
    <t>POLIDUCTO</t>
  </si>
  <si>
    <t>URBANISMO</t>
  </si>
  <si>
    <t>VALLARTA</t>
  </si>
  <si>
    <t>AV. SAN GABRIEL</t>
  </si>
  <si>
    <t>CALAVERA ZAPATISTA</t>
  </si>
  <si>
    <t>FRACCION</t>
  </si>
  <si>
    <t>OJOCALIENTE</t>
  </si>
  <si>
    <t>VILLAS</t>
  </si>
  <si>
    <t>CULTURA NAZCA</t>
  </si>
  <si>
    <t>GUADALUPANO</t>
  </si>
  <si>
    <t>CULTURA NAZCA 407</t>
  </si>
  <si>
    <t>(ZUFO)-DON PASCUAL PONIENTE</t>
  </si>
  <si>
    <t>POZO BRAVO</t>
  </si>
  <si>
    <t>ESFUERZO NACIONAL</t>
  </si>
  <si>
    <t>AGUASCALIENTES ORIENTE</t>
  </si>
  <si>
    <t>TORCAZAS</t>
  </si>
  <si>
    <t>PICACHO ORIENTE</t>
  </si>
  <si>
    <t>Ferrocarril</t>
  </si>
  <si>
    <t>(ZUFO)-EL CEDAZO</t>
  </si>
  <si>
    <t>PERSEO</t>
  </si>
  <si>
    <t>A SAN LUIS POTOSI</t>
  </si>
  <si>
    <t>(ZUFO)-FERROCARRIL</t>
  </si>
  <si>
    <t>A ZACATECAS</t>
  </si>
  <si>
    <t>ARROYO DEL MOLINO SUR</t>
  </si>
  <si>
    <t>AGUASCALIENTES</t>
  </si>
  <si>
    <t>PASEO DE LA SOLIDARIDAD</t>
  </si>
  <si>
    <t>Del Abasto</t>
  </si>
  <si>
    <t>(ZUFO)-INDUSTRIAL</t>
  </si>
  <si>
    <t>Mahatma Gandhi</t>
  </si>
  <si>
    <t>CIUDAD INDUSTRIAL</t>
  </si>
  <si>
    <t>JesLs Rivera Franco</t>
  </si>
  <si>
    <t>Alfonso Bernal Santos C-6N</t>
  </si>
  <si>
    <t>(ZUFO)-LA HACIENDA</t>
  </si>
  <si>
    <t>GERLNIMO DE LA CUEVA</t>
  </si>
  <si>
    <t>(ZUFO)-LOS PARGA</t>
  </si>
  <si>
    <t>CELEDONIA</t>
  </si>
  <si>
    <t>TECNOLAGICO</t>
  </si>
  <si>
    <t>(ZUFO)-OJOCALIENTE</t>
  </si>
  <si>
    <t>VILLALTA</t>
  </si>
  <si>
    <t>(ZUFO)-SAN PEDRO NORTE</t>
  </si>
  <si>
    <t>(ZUFO)-SAN PEDRO SUR</t>
  </si>
  <si>
    <t>VERGELITOS</t>
  </si>
  <si>
    <t>TEPEZALA</t>
  </si>
  <si>
    <t>(ZUFO)-UNIVERSIDAD</t>
  </si>
  <si>
    <t>7</t>
  </si>
  <si>
    <t>NIEOS HEROES</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</si>
  <si>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</si>
  <si>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</si>
  <si>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</si>
  <si>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</si>
  <si>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</si>
  <si>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</si>
  <si>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</si>
  <si>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</si>
  <si>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</si>
  <si>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</si>
  <si>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</si>
  <si>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</si>
  <si>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251 y mos personas</t>
  </si>
  <si>
    <t>SAN MIGUELITO</t>
  </si>
  <si>
    <t>Aguascalientes Norte</t>
  </si>
  <si>
    <t>Cpalo</t>
  </si>
  <si>
    <t>Gema</t>
  </si>
  <si>
    <t>MVXICO</t>
  </si>
  <si>
    <t>LOS NEGRITOS</t>
  </si>
  <si>
    <t>LICENCIADO ADOLFO RUrZ CORTINES</t>
  </si>
  <si>
    <t>ATELIER</t>
  </si>
  <si>
    <t>Arroyo</t>
  </si>
  <si>
    <t>Belisario Dom nguez</t>
  </si>
  <si>
    <t>BELISARIO DOMsNGUEZ</t>
  </si>
  <si>
    <t>General JuliMn Medina</t>
  </si>
  <si>
    <t>Francisco Villalpando dvila</t>
  </si>
  <si>
    <t>GENERAL MIGUEL BARRAG N</t>
  </si>
  <si>
    <t>PetrEleos Mexicanos</t>
  </si>
  <si>
    <t>Sargento Liberato Santa Cruz</t>
  </si>
  <si>
    <t>SERVANDO HERNZNDEZ</t>
  </si>
  <si>
    <t>ABANO</t>
  </si>
  <si>
    <t>TalLa</t>
  </si>
  <si>
    <t>Aglaya</t>
  </si>
  <si>
    <t>Comerciantes</t>
  </si>
  <si>
    <t>I MUNICIPIO AGUASCALIENTES</t>
  </si>
  <si>
    <t>JOSL MARDA CHnVEZ</t>
  </si>
  <si>
    <t>CAdiz</t>
  </si>
  <si>
    <t>JosL MarDa Chsvez</t>
  </si>
  <si>
    <t>LA CATRINA</t>
  </si>
  <si>
    <t>JICOTE</t>
  </si>
  <si>
    <t>Avenida de la Espiga</t>
  </si>
  <si>
    <t>LOMA DE LAS CALANDRIAS</t>
  </si>
  <si>
    <t>EL REFUGIO</t>
  </si>
  <si>
    <t>Presidentes</t>
  </si>
  <si>
    <t>GENERAL MARIANO ESCOBEDO</t>
  </si>
  <si>
    <t>Nadir</t>
  </si>
  <si>
    <t>Sol</t>
  </si>
  <si>
    <t>Ermita de San Sebasti n</t>
  </si>
  <si>
    <t>Valle de los Romero</t>
  </si>
  <si>
    <t>VILLA DEL RIO</t>
  </si>
  <si>
    <t>Miguel Hidalgo</t>
  </si>
  <si>
    <t>Villa Alejandra</t>
  </si>
  <si>
    <t>TANQUE DE LOS JIMENEZ</t>
  </si>
  <si>
    <t>ARROYO EL MOLINO</t>
  </si>
  <si>
    <t>El Refugio</t>
  </si>
  <si>
    <t>Los Negritos</t>
  </si>
  <si>
    <t>VILLA</t>
  </si>
  <si>
    <t>CAÑADA HONDA</t>
  </si>
  <si>
    <t>(REFOM)-CAÑADA</t>
  </si>
  <si>
    <t>(REFOM)-PEÑUELAS</t>
  </si>
  <si>
    <t>PEÑUELAS</t>
  </si>
  <si>
    <t>SERVICIOS URBANOS</t>
  </si>
  <si>
    <t>MAGNOGAS</t>
  </si>
  <si>
    <t>Comercio al por menor de gas L. P. en cilindros y para tanques estacionarios</t>
  </si>
  <si>
    <t>COMERCIALIZADORA DE GAS DEL BAJIO SA DE CV</t>
  </si>
  <si>
    <t>CAMINO A CALVILLITO 2021</t>
  </si>
  <si>
    <t>CAMINO A LOS RUELAS</t>
  </si>
  <si>
    <t>JAIME.RIVERA@MAGNOGAS.COM.MX</t>
  </si>
  <si>
    <t>WWW.MAGNOGAS.COM.MX</t>
  </si>
  <si>
    <t>GAS IMPERIAL DE AGUASCALIENTES</t>
  </si>
  <si>
    <t>DURAGAS SA DE CV</t>
  </si>
  <si>
    <t>MEMARTINEZ@GASIMPERIAL.CON.MX</t>
  </si>
  <si>
    <t>DISTRIBUIDORA DE GAS NOEL LP 21080 EXP ES 2018</t>
  </si>
  <si>
    <t>DISTRIBUIDORA DE GAS NOEL SA DE CV</t>
  </si>
  <si>
    <t>CAsar Augusto Sabino</t>
  </si>
  <si>
    <t>Celia S</t>
  </si>
  <si>
    <t>APSANCHEZ@GASNOEL.COM</t>
  </si>
  <si>
    <t>WWW.GASNOEL.COM.MX</t>
  </si>
  <si>
    <t>GAS NOEL</t>
  </si>
  <si>
    <t>Comercio al por menor de gas L. P. en estaciones de carburacion</t>
  </si>
  <si>
    <t>Juan Castaonn</t>
  </si>
  <si>
    <t>WWW.FACTURASNOEL.COM</t>
  </si>
  <si>
    <t>SONIGAS</t>
  </si>
  <si>
    <t>SONIGAS SA DE CV</t>
  </si>
  <si>
    <t>AGUASCALIENTES-VILLA HIDALGO</t>
  </si>
  <si>
    <t>CUIDAD DE LOS NIIOS</t>
  </si>
  <si>
    <t>JPHIDALGO@SONIGAS.COM.MX</t>
  </si>
  <si>
    <t>CENTRAL DE GAS  LOS CA0OS</t>
  </si>
  <si>
    <t>CENTRAL DE GAS SA DE CV</t>
  </si>
  <si>
    <t>CARRETERA FEDERAL LIBRE 71 AGUASCALIENTES  VILLA HIDALGO KILeMETRO 20   500</t>
  </si>
  <si>
    <t>CONTABILIDAD@CENTRALDEGAS.NET</t>
  </si>
  <si>
    <t>WWW.CENTRALDEGAS.COM</t>
  </si>
  <si>
    <t>GAS SAN MARCOS</t>
  </si>
  <si>
    <t>DISTRIBUIDORA DE GAS SAN MARCOS SA DE CV</t>
  </si>
  <si>
    <t>CARRETERA AGS-VILLAHIDALGO</t>
  </si>
  <si>
    <t>A BELLA VISTA</t>
  </si>
  <si>
    <t>A LA GRANJA</t>
  </si>
  <si>
    <t>ANACRUZ@GASSANMARCOS.COM</t>
  </si>
  <si>
    <t>MEMARTINEZ@GASIMPERIAL.COM.MX</t>
  </si>
  <si>
    <t>CENTRAL DE GAS NACOZARI</t>
  </si>
  <si>
    <t>GAS NOEL ESTACION PL 17935 EXP ES 2016</t>
  </si>
  <si>
    <t>Hacienda de Milpillas Norte</t>
  </si>
  <si>
    <t>Hacienda del Pasteja</t>
  </si>
  <si>
    <t>Hacienda de los Campos</t>
  </si>
  <si>
    <t>DISTRIBUIDORA DE GAS JIM0NEZ</t>
  </si>
  <si>
    <t>DISTRIBUIDORA DE GAS JIMENEZ SA DE CV</t>
  </si>
  <si>
    <t>DISTRIBUIDORA@GASJIMESA.COM.MX</t>
  </si>
  <si>
    <t>WWW.GASJIMESA.COM</t>
  </si>
  <si>
    <t>GAS IMPERIAL BELISARIO</t>
  </si>
  <si>
    <t>Manuel Ramos Arizpe</t>
  </si>
  <si>
    <t>MEMARTINEZ@GASIMPERIAL.COM</t>
  </si>
  <si>
    <t>GA S NOEL ESTACION LP 22279</t>
  </si>
  <si>
    <t>JosL de Jesis Rlbago Ibarra</t>
  </si>
  <si>
    <t>ESTACION DE CARBURACION DE GAS LP</t>
  </si>
  <si>
    <t>MEGA GAS SA DE CV</t>
  </si>
  <si>
    <t>PEDIDOS@GASNOEL.COM.MX</t>
  </si>
  <si>
    <t>GAS JIMESA</t>
  </si>
  <si>
    <t>GAS JIMESA SA DE CV</t>
  </si>
  <si>
    <t>GASJIMESA@HOTMAIL.COM</t>
  </si>
  <si>
    <t>GAS NOEL ESTACION LP 16084 EXP ES 2016</t>
  </si>
  <si>
    <t>Profesor JosE Reyes Mart nez</t>
  </si>
  <si>
    <t>NATGAS</t>
  </si>
  <si>
    <t>Comercio al por menor en estaciones de gas natural vehicular</t>
  </si>
  <si>
    <t>NATGAS QUERETARO SAPI DE CV</t>
  </si>
  <si>
    <t>Licenciado Adolfo LEpez Mateos Poniente</t>
  </si>
  <si>
    <t>TALENTO@NATGAS.COM.MX</t>
  </si>
  <si>
    <t>WWW.NATGAS.COM.MX</t>
  </si>
  <si>
    <t>ALFAGAS</t>
  </si>
  <si>
    <t>ALFAGAS SA DE CV</t>
  </si>
  <si>
    <t>GROPU MURCIO</t>
  </si>
  <si>
    <t>COMERCIALIZACION DE REFACCIONES PARA TANQUES DE GAS IPROGAS</t>
  </si>
  <si>
    <t>GAS NOEL ESTACION LP 23079 EXP 2020</t>
  </si>
  <si>
    <t>Fresno</t>
  </si>
  <si>
    <t>DISTRIBUIDORA DE GAS NOEL ESTACION SIN NUMERO</t>
  </si>
  <si>
    <t>Cenit</t>
  </si>
  <si>
    <t>DISTRIBUIDORA DE GAS NOEL ESTACI</t>
  </si>
  <si>
    <t>CARRETERA A NORIAS DE OJOCALIENTE</t>
  </si>
  <si>
    <t>SONI GAS</t>
  </si>
  <si>
    <t>GAS NOEL ESTACION LP 23078</t>
  </si>
  <si>
    <t>Vallarta 204</t>
  </si>
  <si>
    <t>Vista de Oriente</t>
  </si>
  <si>
    <t>Gran Cae n</t>
  </si>
  <si>
    <t>DISTRIBUIDORA DE GAS NOEL</t>
  </si>
  <si>
    <t>WWW.GASNOEL.COM</t>
  </si>
  <si>
    <t>GAS NOEL ESTACION LP 21935 EX ES 2018</t>
  </si>
  <si>
    <t>Cultura Nazca 407</t>
  </si>
  <si>
    <t>Loma de las Calandrias</t>
  </si>
  <si>
    <t>GAS NOEL ESTACIN LP22278</t>
  </si>
  <si>
    <t>GAS NOEL ESTACION LP 23077 EXP 2020</t>
  </si>
  <si>
    <t>Maguey</t>
  </si>
  <si>
    <t>GAS NOEL ESTACION LP 17899 EXP ES 2016</t>
  </si>
  <si>
    <t>Pensadores Mexicanos Oriente</t>
  </si>
  <si>
    <t>Ambrosio Verestegui Guerrero</t>
  </si>
  <si>
    <t>Luis Urbina</t>
  </si>
  <si>
    <t>WWW.SONIGAS.COM</t>
  </si>
  <si>
    <t>GAS IMPERIAL PERSEO</t>
  </si>
  <si>
    <t>Emilio Alanis Patino</t>
  </si>
  <si>
    <t>Adolfo Ruaz Cortines</t>
  </si>
  <si>
    <t>GAS NOEL BOMBEROS ESTACI2N LP-16661-EXP-ES-2016</t>
  </si>
  <si>
    <t>RCARMONA@NATGAS.COM</t>
  </si>
  <si>
    <t>WWW.NATGAS.COM</t>
  </si>
  <si>
    <t>DISTRIBUIDORA DE GAS NOEL ESTACION LP 15776 EXP ES 2016</t>
  </si>
  <si>
    <t>DISTRIBUIDORA DE GAS NOEL LP 20509 EXP ES 2017</t>
  </si>
  <si>
    <t>GAS NOEL ESTACION PL 13938 DIST ELA 2016</t>
  </si>
  <si>
    <t>PETRO QUIMICA BAJIO</t>
  </si>
  <si>
    <t>PETROQUIMICA BAJIO SA DE CV</t>
  </si>
  <si>
    <t>FACTURACION@DURAGAS.MX</t>
  </si>
  <si>
    <t>DURAGAS</t>
  </si>
  <si>
    <t>ALMACENADORA DE ENERGETICOS SA DE CV</t>
  </si>
  <si>
    <t>FACTURACION@DURAGAS.COM.MX</t>
  </si>
  <si>
    <t>GAS NOEL ESTACION LP 16544 EXP ES 2016</t>
  </si>
  <si>
    <t>RCARMONA@NATGAS.COM.MX</t>
  </si>
  <si>
    <t>WWW.NTGAS.COM.MX</t>
  </si>
  <si>
    <t>GAS EXPRESS NIETO</t>
  </si>
  <si>
    <t>GAS EXPRESS NIETO SA DE CV</t>
  </si>
  <si>
    <t>A LOS ARELLANO ENTRONQUE PENSION MUNICIPAL</t>
  </si>
  <si>
    <t>DISTRIBUIDORA DE GAS NOEL ESATACION LP 18998 EXP ES 2016</t>
  </si>
  <si>
    <t>Pames</t>
  </si>
  <si>
    <t>Gaspar de la Fuente</t>
  </si>
  <si>
    <t>GAS NOEL ESTACION LP 23081 EXP 2020</t>
  </si>
  <si>
    <t>Bernab  de Ballesteros</t>
  </si>
  <si>
    <t>Juan L pez Elizalde</t>
  </si>
  <si>
    <t>ESTACION DE GAS LP VILLAS DE NUESTRA SENORA DE LA ASUNCION</t>
  </si>
  <si>
    <t>GAS IMPERIAL VILLAS DE NUESTRA SE.ORA</t>
  </si>
  <si>
    <t>Conrado Santacruz de Santiago</t>
  </si>
  <si>
    <t>JosN de Jests Gonzdlez Garcga</t>
  </si>
  <si>
    <t>Ermita de San Sebastizn</t>
  </si>
  <si>
    <t>DISTRIBUIDORA DE GAS NOEL LP 17675 EXP ES 2016</t>
  </si>
  <si>
    <t>Avenida Prolongacinn Ixtlghuatl</t>
  </si>
  <si>
    <t>A SAN LUIS</t>
  </si>
  <si>
    <t>DISTRIBUIDORA DE GAS NOEL LP 20512 EXP ES 2017</t>
  </si>
  <si>
    <t>GAS IMPERIAL</t>
  </si>
  <si>
    <t>GAS TOMZA</t>
  </si>
  <si>
    <t>GAS TITANIUM SA DE CV</t>
  </si>
  <si>
    <t>VMARTINDELCAMPO.L@TOMZA.COM</t>
  </si>
  <si>
    <t>WWW.GASTOMZAAGUASCALIENTES</t>
  </si>
  <si>
    <t>DISTRIBUIDORA DE GAS NOEL LP 21082 EXP ES 2018</t>
  </si>
  <si>
    <t>Clavel</t>
  </si>
  <si>
    <t>Tecuexe</t>
  </si>
  <si>
    <t>DISTRIBUIDORA DE GAS NOEL LP 20361 EXP ES 2017</t>
  </si>
  <si>
    <t>Tanque de los Jimenez</t>
  </si>
  <si>
    <t>DISTRIBUIDORA DE GAS NOEL HACIENDAS DE AGUASCALIENTES</t>
  </si>
  <si>
    <t>DISTRIBUIDORA DE GAS PAUSA C2</t>
  </si>
  <si>
    <t>DISTRIBUIDORA DE GAS PAUSA C2 SA DE CV</t>
  </si>
  <si>
    <t>VILLA ALEGRE</t>
  </si>
  <si>
    <t>PAUSAC2.AGSGERENCIA@OUTLOOK.COM</t>
  </si>
  <si>
    <t>DISTRIBUIDORA DE GAS NOEL LP 21081 EXP ES 2018CA</t>
  </si>
  <si>
    <t>GAS NOEL ESTACION LP 21507</t>
  </si>
  <si>
    <t>REP??BLICA DE ECUADOR</t>
  </si>
  <si>
    <t>WWW.GRUPOIMPERIAL.COM.MX</t>
  </si>
  <si>
    <t>HIDRO GAS</t>
  </si>
  <si>
    <t>MAXIGAS</t>
  </si>
  <si>
    <t>ESTACION DE CARBURACION DISTRIBUIDORA DE GAS NOEL</t>
  </si>
  <si>
    <t>(REFOM)-LOS CAÑOS</t>
  </si>
  <si>
    <t>CVE (1-74)</t>
  </si>
  <si>
    <t>UBICACIÓN DE SITIOS DE ESTACIÓN DE GAS</t>
  </si>
  <si>
    <t>EU_ GAS</t>
  </si>
  <si>
    <t>LA CLASIFICACIÓN DE ELEMENTOS ESTÁ BASADA EN EL SISTEMA NORMATIVO DE EQUIPAMIENTO URBANO DE LA SEDESOL FEDERAL, SUBSISTEMA SERVICIOS URBANOS.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</si>
</sst>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75" totalsRowShown="0" headerRowDxfId="28">
  <autoFilter ref="A1:AB75"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1"/>
      <c r="C1" s="31"/>
    </row>
    <row r="2" spans="2:4" ht="50.25" customHeight="1" thickBot="1" x14ac:dyDescent="0.3">
      <c r="B2" s="31"/>
      <c r="C2" s="31"/>
    </row>
    <row r="3" spans="2:4" ht="18.75" thickBot="1" x14ac:dyDescent="0.3">
      <c r="B3" s="32" t="s">
        <v>408</v>
      </c>
      <c r="C3" s="33"/>
    </row>
    <row r="4" spans="2:4" x14ac:dyDescent="0.25">
      <c r="B4" s="8"/>
      <c r="C4" s="8"/>
    </row>
    <row r="5" spans="2:4" ht="15.75" x14ac:dyDescent="0.25">
      <c r="B5" s="34" t="s">
        <v>0</v>
      </c>
      <c r="C5" s="34"/>
      <c r="D5" s="9"/>
    </row>
    <row r="6" spans="2:4" x14ac:dyDescent="0.25">
      <c r="B6" s="10" t="s">
        <v>2</v>
      </c>
      <c r="C6" s="11" t="s">
        <v>409</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195</v>
      </c>
    </row>
    <row r="11" spans="2:4" x14ac:dyDescent="0.25">
      <c r="B11" s="10" t="s">
        <v>9</v>
      </c>
      <c r="C11" s="11" t="s">
        <v>194</v>
      </c>
    </row>
    <row r="12" spans="2:4" x14ac:dyDescent="0.25">
      <c r="B12" s="10" t="s">
        <v>10</v>
      </c>
      <c r="C12" s="11" t="s">
        <v>11</v>
      </c>
    </row>
    <row r="13" spans="2:4" ht="39" x14ac:dyDescent="0.25">
      <c r="B13" s="13" t="s">
        <v>12</v>
      </c>
      <c r="C13" s="12" t="s">
        <v>410</v>
      </c>
    </row>
    <row r="14" spans="2:4" x14ac:dyDescent="0.25">
      <c r="B14" s="8"/>
      <c r="C14" s="8"/>
    </row>
    <row r="15" spans="2:4" ht="16.5" thickBot="1" x14ac:dyDescent="0.3">
      <c r="B15" s="34" t="s">
        <v>13</v>
      </c>
      <c r="C15" s="34"/>
    </row>
    <row r="16" spans="2:4" ht="18" x14ac:dyDescent="0.25">
      <c r="B16" s="14" t="s">
        <v>14</v>
      </c>
      <c r="C16" s="15" t="s">
        <v>15</v>
      </c>
    </row>
    <row r="17" spans="2:12" x14ac:dyDescent="0.25">
      <c r="B17" s="1" t="s">
        <v>16</v>
      </c>
      <c r="C17" s="2" t="s">
        <v>171</v>
      </c>
    </row>
    <row r="18" spans="2:12" x14ac:dyDescent="0.25">
      <c r="B18" s="1" t="s">
        <v>17</v>
      </c>
      <c r="C18" s="3" t="s">
        <v>171</v>
      </c>
      <c r="G18"/>
      <c r="H18"/>
      <c r="I18"/>
      <c r="J18"/>
      <c r="K18"/>
    </row>
    <row r="19" spans="2:12" x14ac:dyDescent="0.25">
      <c r="B19" s="1" t="s">
        <v>18</v>
      </c>
      <c r="C19" s="3" t="str">
        <f>VLOOKUP($C$21,ABASTO[#All],25,FALSE)</f>
        <v>POCITOS</v>
      </c>
      <c r="G19" s="23"/>
      <c r="H19" s="23"/>
      <c r="I19" s="24"/>
      <c r="J19" s="24"/>
      <c r="K19" s="25"/>
      <c r="L19" s="16"/>
    </row>
    <row r="20" spans="2:12" x14ac:dyDescent="0.25">
      <c r="B20" s="1" t="s">
        <v>196</v>
      </c>
      <c r="C20" s="3" t="str">
        <f>VLOOKUP($C$21,ABASTO[#All],26,FALSE)</f>
        <v>(ZUFO)-UNIVERSIDAD</v>
      </c>
      <c r="G20" s="25"/>
      <c r="H20" s="16"/>
      <c r="I20" s="25"/>
      <c r="J20" s="25"/>
      <c r="K20" s="25"/>
      <c r="L20" s="16"/>
    </row>
    <row r="21" spans="2:12" ht="19.5" x14ac:dyDescent="0.25">
      <c r="B21" s="26" t="s">
        <v>407</v>
      </c>
      <c r="C21" s="27">
        <v>74</v>
      </c>
      <c r="G21" s="25"/>
      <c r="H21" s="25"/>
      <c r="I21" s="25"/>
      <c r="J21" s="25"/>
      <c r="K21" s="25"/>
      <c r="L21" s="16"/>
    </row>
    <row r="22" spans="2:12" x14ac:dyDescent="0.25">
      <c r="B22" s="1" t="s">
        <v>197</v>
      </c>
      <c r="C22" s="21" t="str">
        <f>VLOOKUP($C$21,ABASTO[#All],5,FALSE)</f>
        <v>ESTACION DE CARBURACION DISTRIBUIDORA DE GAS NOEL</v>
      </c>
      <c r="G22"/>
      <c r="H22"/>
      <c r="I22"/>
      <c r="J22"/>
      <c r="K22"/>
    </row>
    <row r="23" spans="2:12" x14ac:dyDescent="0.25">
      <c r="B23" s="4" t="s">
        <v>198</v>
      </c>
      <c r="C23" s="21" t="str">
        <f>VLOOKUP($C$21,ABASTO[#All],6,FALSE)</f>
        <v>Comercio al por menor de gas L. P. en cilindros y para tanques estacionarios</v>
      </c>
    </row>
    <row r="24" spans="2:12" x14ac:dyDescent="0.25">
      <c r="B24" s="1" t="s">
        <v>19</v>
      </c>
      <c r="C24" s="21">
        <f>VLOOKUP($C$21,ABASTO[#All],2,FALSE)</f>
        <v>468412</v>
      </c>
    </row>
    <row r="25" spans="2:12" x14ac:dyDescent="0.25">
      <c r="B25" s="5" t="s">
        <v>199</v>
      </c>
      <c r="C25" s="21" t="str">
        <f>VLOOKUP($C$21,ABASTO[#All],4,FALSE)</f>
        <v>PRIVADO</v>
      </c>
    </row>
    <row r="26" spans="2:12" x14ac:dyDescent="0.25">
      <c r="B26" s="1" t="s">
        <v>200</v>
      </c>
      <c r="C26" s="21" t="str">
        <f>VLOOKUP($C$21,ABASTO[#All],11,FALSE)</f>
        <v>0 a 5 personas</v>
      </c>
    </row>
    <row r="27" spans="2:12" x14ac:dyDescent="0.25">
      <c r="B27" s="4" t="s">
        <v>201</v>
      </c>
      <c r="C27" s="21" t="str">
        <f>VLOOKUP($C$21,ABASTO[#All],8,FALSE)</f>
        <v>FRACCIONAMIENTO</v>
      </c>
    </row>
    <row r="28" spans="2:12" x14ac:dyDescent="0.25">
      <c r="B28" s="1" t="s">
        <v>203</v>
      </c>
      <c r="C28" s="21" t="str">
        <f>VLOOKUP($C$21,ABASTO[#All],13,FALSE)</f>
        <v>INDEPENDENCIA</v>
      </c>
    </row>
    <row r="29" spans="2:12" x14ac:dyDescent="0.25">
      <c r="B29" s="1" t="s">
        <v>202</v>
      </c>
      <c r="C29" s="21" t="str">
        <f>VLOOKUP($C$21,ABASTO[#All],12,FALSE)</f>
        <v>AVENIDA</v>
      </c>
    </row>
    <row r="30" spans="2:12" x14ac:dyDescent="0.25">
      <c r="B30" s="4" t="s">
        <v>204</v>
      </c>
      <c r="C30" s="21">
        <f>VLOOKUP($C$21,ABASTO[#All],22,FALSE)</f>
        <v>0</v>
      </c>
    </row>
    <row r="31" spans="2:12" x14ac:dyDescent="0.25">
      <c r="B31" s="1" t="s">
        <v>21</v>
      </c>
      <c r="C31" s="21">
        <f>VLOOKUP($C$21,ABASTO[#All],20,FALSE)</f>
        <v>2301</v>
      </c>
    </row>
    <row r="32" spans="2:12" x14ac:dyDescent="0.25">
      <c r="B32" s="4" t="s">
        <v>24</v>
      </c>
      <c r="C32" s="21">
        <f>VLOOKUP($C$21,ABASTO[#All],21,FALSE)</f>
        <v>0</v>
      </c>
    </row>
    <row r="33" spans="1:3" x14ac:dyDescent="0.25">
      <c r="B33" s="1" t="s">
        <v>22</v>
      </c>
      <c r="C33" s="21">
        <f>VLOOKUP($C$21,ABASTO[#All],27,FALSE)</f>
        <v>779169.99063000001</v>
      </c>
    </row>
    <row r="34" spans="1:3" ht="15.75" thickBot="1" x14ac:dyDescent="0.3">
      <c r="B34" s="6" t="s">
        <v>23</v>
      </c>
      <c r="C34" s="21">
        <f>VLOOKUP($C$21,ABASTO[#All],28,FALSE)</f>
        <v>2428155.6705200002</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DATOS_SU_GAS'!$A$2:$A$75</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5"/>
  <sheetViews>
    <sheetView zoomScale="85" zoomScaleNormal="85" workbookViewId="0">
      <selection activeCell="E83" sqref="E83"/>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193</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468412</v>
      </c>
      <c r="C2" s="17" t="s">
        <v>254</v>
      </c>
      <c r="D2" s="17" t="s">
        <v>52</v>
      </c>
      <c r="E2" s="17" t="s">
        <v>255</v>
      </c>
      <c r="F2" s="17" t="s">
        <v>256</v>
      </c>
      <c r="G2" s="17" t="s">
        <v>257</v>
      </c>
      <c r="H2" s="17" t="s">
        <v>249</v>
      </c>
      <c r="I2" s="17">
        <v>20344</v>
      </c>
      <c r="J2" s="17" t="s">
        <v>53</v>
      </c>
      <c r="K2" s="17" t="s">
        <v>65</v>
      </c>
      <c r="L2" s="17" t="s">
        <v>70</v>
      </c>
      <c r="M2" s="17" t="s">
        <v>258</v>
      </c>
      <c r="N2" s="17" t="s">
        <v>20</v>
      </c>
      <c r="O2" s="17" t="s">
        <v>259</v>
      </c>
      <c r="P2" s="17" t="s">
        <v>70</v>
      </c>
      <c r="Q2" s="17" t="s">
        <v>133</v>
      </c>
      <c r="R2" s="17" t="s">
        <v>20</v>
      </c>
      <c r="S2" s="17" t="s">
        <v>83</v>
      </c>
      <c r="T2" s="17">
        <v>2021</v>
      </c>
      <c r="U2" s="18">
        <v>4492133385</v>
      </c>
      <c r="V2" s="17" t="s">
        <v>260</v>
      </c>
      <c r="W2" s="17" t="s">
        <v>261</v>
      </c>
      <c r="X2" s="17" t="s">
        <v>94</v>
      </c>
      <c r="Y2" s="17" t="s">
        <v>59</v>
      </c>
      <c r="Z2" s="17" t="s">
        <v>60</v>
      </c>
      <c r="AA2" s="29">
        <v>790365.122814</v>
      </c>
      <c r="AB2" s="29">
        <v>2417871.5939699998</v>
      </c>
    </row>
    <row r="3" spans="1:28" x14ac:dyDescent="0.25">
      <c r="A3" s="30">
        <v>2</v>
      </c>
      <c r="B3" s="17">
        <v>468412</v>
      </c>
      <c r="C3" s="17" t="s">
        <v>254</v>
      </c>
      <c r="D3" s="17" t="s">
        <v>52</v>
      </c>
      <c r="E3" s="17" t="s">
        <v>262</v>
      </c>
      <c r="F3" s="17" t="s">
        <v>256</v>
      </c>
      <c r="G3" s="17" t="s">
        <v>263</v>
      </c>
      <c r="H3" s="17" t="s">
        <v>64</v>
      </c>
      <c r="I3" s="17">
        <v>20196</v>
      </c>
      <c r="J3" s="17" t="s">
        <v>53</v>
      </c>
      <c r="K3" s="17" t="s">
        <v>54</v>
      </c>
      <c r="L3" s="17" t="s">
        <v>20</v>
      </c>
      <c r="M3" s="17" t="s">
        <v>68</v>
      </c>
      <c r="N3" s="17" t="s">
        <v>70</v>
      </c>
      <c r="O3" s="17" t="s">
        <v>214</v>
      </c>
      <c r="P3" s="17" t="s">
        <v>20</v>
      </c>
      <c r="Q3" s="17" t="s">
        <v>208</v>
      </c>
      <c r="R3" s="17" t="s">
        <v>56</v>
      </c>
      <c r="S3" s="17" t="s">
        <v>209</v>
      </c>
      <c r="T3" s="17">
        <v>98</v>
      </c>
      <c r="U3" s="18">
        <v>0</v>
      </c>
      <c r="V3" s="17" t="s">
        <v>264</v>
      </c>
      <c r="X3" s="17" t="s">
        <v>94</v>
      </c>
      <c r="Y3" s="17" t="s">
        <v>250</v>
      </c>
      <c r="Z3" s="17" t="s">
        <v>60</v>
      </c>
      <c r="AA3" s="29">
        <v>786921.66728699999</v>
      </c>
      <c r="AB3" s="29">
        <v>2422681.6717099999</v>
      </c>
    </row>
    <row r="4" spans="1:28" x14ac:dyDescent="0.25">
      <c r="A4" s="30">
        <v>3</v>
      </c>
      <c r="B4" s="17">
        <v>468412</v>
      </c>
      <c r="C4" s="17" t="s">
        <v>254</v>
      </c>
      <c r="D4" s="17" t="s">
        <v>52</v>
      </c>
      <c r="E4" s="17" t="s">
        <v>265</v>
      </c>
      <c r="F4" s="17" t="s">
        <v>256</v>
      </c>
      <c r="G4" s="17" t="s">
        <v>266</v>
      </c>
      <c r="H4" s="17" t="s">
        <v>66</v>
      </c>
      <c r="I4" s="17">
        <v>20380</v>
      </c>
      <c r="J4" s="17" t="s">
        <v>53</v>
      </c>
      <c r="K4" s="17" t="s">
        <v>54</v>
      </c>
      <c r="L4" s="17" t="s">
        <v>20</v>
      </c>
      <c r="M4" s="17" t="s">
        <v>67</v>
      </c>
      <c r="N4" s="17" t="s">
        <v>20</v>
      </c>
      <c r="O4" s="17" t="s">
        <v>267</v>
      </c>
      <c r="P4" s="17" t="s">
        <v>20</v>
      </c>
      <c r="Q4" s="17" t="s">
        <v>135</v>
      </c>
      <c r="R4" s="17" t="s">
        <v>20</v>
      </c>
      <c r="S4" s="17" t="s">
        <v>268</v>
      </c>
      <c r="T4" s="17">
        <v>310</v>
      </c>
      <c r="U4" s="18">
        <v>0</v>
      </c>
      <c r="V4" s="17" t="s">
        <v>269</v>
      </c>
      <c r="W4" s="17" t="s">
        <v>270</v>
      </c>
      <c r="X4" s="17" t="s">
        <v>58</v>
      </c>
      <c r="Y4" s="17" t="s">
        <v>250</v>
      </c>
      <c r="Z4" s="17" t="s">
        <v>60</v>
      </c>
      <c r="AA4" s="29">
        <v>788576.178694</v>
      </c>
      <c r="AB4" s="29">
        <v>2419579.7211699998</v>
      </c>
    </row>
    <row r="5" spans="1:28" x14ac:dyDescent="0.25">
      <c r="A5" s="30">
        <v>4</v>
      </c>
      <c r="B5" s="17">
        <v>468413</v>
      </c>
      <c r="C5" s="17" t="s">
        <v>254</v>
      </c>
      <c r="D5" s="17" t="s">
        <v>52</v>
      </c>
      <c r="E5" s="17" t="s">
        <v>271</v>
      </c>
      <c r="F5" s="17" t="s">
        <v>272</v>
      </c>
      <c r="G5" s="17" t="s">
        <v>266</v>
      </c>
      <c r="H5" s="17" t="s">
        <v>77</v>
      </c>
      <c r="I5" s="17">
        <v>20320</v>
      </c>
      <c r="J5" s="17" t="s">
        <v>53</v>
      </c>
      <c r="K5" s="17" t="s">
        <v>54</v>
      </c>
      <c r="L5" s="17" t="s">
        <v>55</v>
      </c>
      <c r="M5" s="17" t="s">
        <v>210</v>
      </c>
      <c r="N5" s="17" t="s">
        <v>20</v>
      </c>
      <c r="O5" s="17" t="s">
        <v>273</v>
      </c>
      <c r="P5" s="17" t="s">
        <v>70</v>
      </c>
      <c r="Q5" s="17" t="s">
        <v>91</v>
      </c>
      <c r="R5" s="17" t="s">
        <v>70</v>
      </c>
      <c r="S5" s="17" t="s">
        <v>91</v>
      </c>
      <c r="T5" s="17">
        <v>0</v>
      </c>
      <c r="U5" s="18">
        <v>0</v>
      </c>
      <c r="V5" s="17" t="s">
        <v>269</v>
      </c>
      <c r="W5" s="17" t="s">
        <v>274</v>
      </c>
      <c r="X5" s="17" t="s">
        <v>88</v>
      </c>
      <c r="Y5" s="17" t="s">
        <v>250</v>
      </c>
      <c r="Z5" s="17" t="s">
        <v>251</v>
      </c>
      <c r="AA5" s="29">
        <v>789152.88901299995</v>
      </c>
      <c r="AB5" s="29">
        <v>2435344.41757</v>
      </c>
    </row>
    <row r="6" spans="1:28" x14ac:dyDescent="0.25">
      <c r="A6" s="30">
        <v>5</v>
      </c>
      <c r="B6" s="17">
        <v>468412</v>
      </c>
      <c r="C6" s="17" t="s">
        <v>254</v>
      </c>
      <c r="D6" s="17" t="s">
        <v>52</v>
      </c>
      <c r="E6" s="17" t="s">
        <v>275</v>
      </c>
      <c r="F6" s="17" t="s">
        <v>256</v>
      </c>
      <c r="G6" s="17" t="s">
        <v>276</v>
      </c>
      <c r="H6" s="17" t="s">
        <v>64</v>
      </c>
      <c r="I6" s="17">
        <v>20700</v>
      </c>
      <c r="J6" s="17" t="s">
        <v>53</v>
      </c>
      <c r="K6" s="17" t="s">
        <v>65</v>
      </c>
      <c r="L6" s="17" t="s">
        <v>20</v>
      </c>
      <c r="M6" s="17" t="s">
        <v>277</v>
      </c>
      <c r="N6" s="17" t="s">
        <v>20</v>
      </c>
      <c r="O6" s="17" t="s">
        <v>105</v>
      </c>
      <c r="Q6" s="17" t="s">
        <v>278</v>
      </c>
      <c r="S6" s="17" t="s">
        <v>57</v>
      </c>
      <c r="T6" s="17">
        <v>1000</v>
      </c>
      <c r="U6" s="18">
        <v>0</v>
      </c>
      <c r="V6" s="17" t="s">
        <v>279</v>
      </c>
      <c r="X6" s="17" t="s">
        <v>63</v>
      </c>
      <c r="Y6" s="17" t="s">
        <v>78</v>
      </c>
      <c r="Z6" s="17" t="s">
        <v>406</v>
      </c>
      <c r="AA6" s="29">
        <v>771316.86255199998</v>
      </c>
      <c r="AB6" s="29">
        <v>2418277.3953800001</v>
      </c>
    </row>
    <row r="7" spans="1:28" x14ac:dyDescent="0.25">
      <c r="A7" s="30">
        <v>6</v>
      </c>
      <c r="B7" s="17">
        <v>468412</v>
      </c>
      <c r="C7" s="17" t="s">
        <v>254</v>
      </c>
      <c r="D7" s="17" t="s">
        <v>52</v>
      </c>
      <c r="E7" s="17" t="s">
        <v>280</v>
      </c>
      <c r="F7" s="17" t="s">
        <v>256</v>
      </c>
      <c r="G7" s="17" t="s">
        <v>281</v>
      </c>
      <c r="H7" s="17" t="s">
        <v>64</v>
      </c>
      <c r="I7" s="17">
        <v>20900</v>
      </c>
      <c r="J7" s="17" t="s">
        <v>53</v>
      </c>
      <c r="K7" s="17" t="s">
        <v>54</v>
      </c>
      <c r="L7" s="17" t="s">
        <v>76</v>
      </c>
      <c r="M7" s="17" t="s">
        <v>282</v>
      </c>
      <c r="N7" s="17" t="s">
        <v>20</v>
      </c>
      <c r="O7" s="17" t="s">
        <v>57</v>
      </c>
      <c r="P7" s="17" t="s">
        <v>20</v>
      </c>
      <c r="Q7" s="17" t="s">
        <v>57</v>
      </c>
      <c r="R7" s="17" t="s">
        <v>20</v>
      </c>
      <c r="S7" s="17" t="s">
        <v>57</v>
      </c>
      <c r="T7" s="17">
        <v>0</v>
      </c>
      <c r="U7" s="18">
        <v>0</v>
      </c>
      <c r="V7" s="17" t="s">
        <v>283</v>
      </c>
      <c r="W7" s="17" t="s">
        <v>284</v>
      </c>
      <c r="X7" s="17" t="s">
        <v>95</v>
      </c>
      <c r="Y7" s="17" t="s">
        <v>78</v>
      </c>
      <c r="Z7" s="17" t="s">
        <v>406</v>
      </c>
      <c r="AA7" s="29">
        <v>761837.09228800004</v>
      </c>
      <c r="AB7" s="29">
        <v>2410336.5633100001</v>
      </c>
    </row>
    <row r="8" spans="1:28" x14ac:dyDescent="0.25">
      <c r="A8" s="30">
        <v>7</v>
      </c>
      <c r="B8" s="17">
        <v>468412</v>
      </c>
      <c r="C8" s="17" t="s">
        <v>254</v>
      </c>
      <c r="D8" s="17" t="s">
        <v>52</v>
      </c>
      <c r="E8" s="17" t="s">
        <v>275</v>
      </c>
      <c r="F8" s="17" t="s">
        <v>256</v>
      </c>
      <c r="G8" s="17" t="s">
        <v>276</v>
      </c>
      <c r="H8" s="17" t="s">
        <v>116</v>
      </c>
      <c r="I8" s="17">
        <v>20317</v>
      </c>
      <c r="J8" s="17" t="s">
        <v>53</v>
      </c>
      <c r="K8" s="17" t="s">
        <v>65</v>
      </c>
      <c r="L8" s="17" t="s">
        <v>55</v>
      </c>
      <c r="M8" s="17" t="s">
        <v>277</v>
      </c>
      <c r="O8" s="17" t="s">
        <v>57</v>
      </c>
      <c r="Q8" s="17" t="s">
        <v>57</v>
      </c>
      <c r="S8" s="17" t="s">
        <v>57</v>
      </c>
      <c r="T8" s="17">
        <v>701</v>
      </c>
      <c r="U8" s="18">
        <v>0</v>
      </c>
      <c r="V8" s="17" t="s">
        <v>279</v>
      </c>
      <c r="X8" s="17" t="s">
        <v>63</v>
      </c>
      <c r="Y8" s="17" t="s">
        <v>78</v>
      </c>
      <c r="Z8" s="17" t="s">
        <v>406</v>
      </c>
      <c r="AA8" s="29">
        <v>771316.10126699996</v>
      </c>
      <c r="AB8" s="29">
        <v>2418268.4208200001</v>
      </c>
    </row>
    <row r="9" spans="1:28" x14ac:dyDescent="0.25">
      <c r="A9" s="30">
        <v>8</v>
      </c>
      <c r="B9" s="17">
        <v>468412</v>
      </c>
      <c r="C9" s="17" t="s">
        <v>254</v>
      </c>
      <c r="D9" s="17" t="s">
        <v>52</v>
      </c>
      <c r="E9" s="17" t="s">
        <v>285</v>
      </c>
      <c r="F9" s="17" t="s">
        <v>256</v>
      </c>
      <c r="G9" s="17" t="s">
        <v>286</v>
      </c>
      <c r="H9" s="17" t="s">
        <v>80</v>
      </c>
      <c r="I9" s="17">
        <v>20317</v>
      </c>
      <c r="J9" s="17" t="s">
        <v>53</v>
      </c>
      <c r="K9" s="17" t="s">
        <v>89</v>
      </c>
      <c r="L9" s="17" t="s">
        <v>76</v>
      </c>
      <c r="M9" s="17" t="s">
        <v>287</v>
      </c>
      <c r="N9" s="17" t="s">
        <v>70</v>
      </c>
      <c r="O9" s="17" t="s">
        <v>288</v>
      </c>
      <c r="P9" s="17" t="s">
        <v>70</v>
      </c>
      <c r="Q9" s="17" t="s">
        <v>289</v>
      </c>
      <c r="R9" s="17" t="s">
        <v>70</v>
      </c>
      <c r="S9" s="17" t="s">
        <v>83</v>
      </c>
      <c r="T9" s="17">
        <v>0</v>
      </c>
      <c r="U9" s="18">
        <v>4491096977</v>
      </c>
      <c r="V9" s="17" t="s">
        <v>290</v>
      </c>
      <c r="X9" s="17" t="s">
        <v>63</v>
      </c>
      <c r="Y9" s="17" t="s">
        <v>78</v>
      </c>
      <c r="Z9" s="17" t="s">
        <v>406</v>
      </c>
      <c r="AA9" s="29">
        <v>771288.69655800005</v>
      </c>
      <c r="AB9" s="29">
        <v>2418205.4450300001</v>
      </c>
    </row>
    <row r="10" spans="1:28" x14ac:dyDescent="0.25">
      <c r="A10" s="30">
        <v>9</v>
      </c>
      <c r="B10" s="17">
        <v>468412</v>
      </c>
      <c r="C10" s="17" t="s">
        <v>254</v>
      </c>
      <c r="D10" s="17" t="s">
        <v>52</v>
      </c>
      <c r="E10" s="17" t="s">
        <v>262</v>
      </c>
      <c r="F10" s="17" t="s">
        <v>256</v>
      </c>
      <c r="G10" s="17" t="s">
        <v>263</v>
      </c>
      <c r="H10" s="17" t="s">
        <v>64</v>
      </c>
      <c r="I10" s="17">
        <v>20340</v>
      </c>
      <c r="J10" s="17" t="s">
        <v>53</v>
      </c>
      <c r="K10" s="17" t="s">
        <v>54</v>
      </c>
      <c r="L10" s="17" t="s">
        <v>20</v>
      </c>
      <c r="M10" s="17" t="s">
        <v>96</v>
      </c>
      <c r="N10" s="17" t="s">
        <v>20</v>
      </c>
      <c r="O10" s="17" t="s">
        <v>135</v>
      </c>
      <c r="P10" s="17" t="s">
        <v>20</v>
      </c>
      <c r="Q10" s="17" t="s">
        <v>135</v>
      </c>
      <c r="R10" s="17" t="s">
        <v>20</v>
      </c>
      <c r="S10" s="17" t="s">
        <v>135</v>
      </c>
      <c r="T10" s="17">
        <v>0</v>
      </c>
      <c r="U10" s="18">
        <v>0</v>
      </c>
      <c r="V10" s="17" t="s">
        <v>291</v>
      </c>
      <c r="X10" s="17" t="s">
        <v>94</v>
      </c>
      <c r="Y10" s="17" t="s">
        <v>253</v>
      </c>
      <c r="Z10" s="17" t="s">
        <v>252</v>
      </c>
      <c r="AA10" s="29">
        <v>780630.25695299997</v>
      </c>
      <c r="AB10" s="29">
        <v>2404516.58598</v>
      </c>
    </row>
    <row r="11" spans="1:28" x14ac:dyDescent="0.25">
      <c r="A11" s="30">
        <v>10</v>
      </c>
      <c r="B11" s="17">
        <v>468412</v>
      </c>
      <c r="C11" s="17" t="s">
        <v>254</v>
      </c>
      <c r="D11" s="17" t="s">
        <v>52</v>
      </c>
      <c r="E11" s="17" t="s">
        <v>292</v>
      </c>
      <c r="F11" s="17" t="s">
        <v>256</v>
      </c>
      <c r="G11" s="17" t="s">
        <v>281</v>
      </c>
      <c r="H11" s="17" t="s">
        <v>64</v>
      </c>
      <c r="I11" s="17">
        <v>20348</v>
      </c>
      <c r="J11" s="17" t="s">
        <v>53</v>
      </c>
      <c r="K11" s="17" t="s">
        <v>54</v>
      </c>
      <c r="L11" s="17" t="s">
        <v>70</v>
      </c>
      <c r="M11" s="17" t="s">
        <v>57</v>
      </c>
      <c r="N11" s="17" t="s">
        <v>70</v>
      </c>
      <c r="O11" s="17" t="s">
        <v>57</v>
      </c>
      <c r="P11" s="17" t="s">
        <v>70</v>
      </c>
      <c r="Q11" s="17" t="s">
        <v>57</v>
      </c>
      <c r="R11" s="17" t="s">
        <v>70</v>
      </c>
      <c r="S11" s="17" t="s">
        <v>57</v>
      </c>
      <c r="T11" s="17">
        <v>0</v>
      </c>
      <c r="U11" s="18">
        <v>0</v>
      </c>
      <c r="V11" s="17" t="s">
        <v>283</v>
      </c>
      <c r="W11" s="17" t="s">
        <v>284</v>
      </c>
      <c r="X11" s="17" t="s">
        <v>63</v>
      </c>
      <c r="Y11" s="17" t="s">
        <v>253</v>
      </c>
      <c r="Z11" s="17" t="s">
        <v>252</v>
      </c>
      <c r="AA11" s="29">
        <v>780784.97974700003</v>
      </c>
      <c r="AB11" s="29">
        <v>2400241.5943399998</v>
      </c>
    </row>
    <row r="12" spans="1:28" x14ac:dyDescent="0.25">
      <c r="A12" s="30">
        <v>11</v>
      </c>
      <c r="B12" s="17">
        <v>468412</v>
      </c>
      <c r="C12" s="17" t="s">
        <v>254</v>
      </c>
      <c r="D12" s="17" t="s">
        <v>52</v>
      </c>
      <c r="E12" s="17" t="s">
        <v>293</v>
      </c>
      <c r="F12" s="17" t="s">
        <v>256</v>
      </c>
      <c r="G12" s="17" t="s">
        <v>266</v>
      </c>
      <c r="H12" s="17" t="s">
        <v>77</v>
      </c>
      <c r="I12" s="17">
        <v>20396</v>
      </c>
      <c r="J12" s="17" t="s">
        <v>53</v>
      </c>
      <c r="K12" s="17" t="s">
        <v>54</v>
      </c>
      <c r="L12" s="17" t="s">
        <v>70</v>
      </c>
      <c r="M12" s="17" t="s">
        <v>72</v>
      </c>
      <c r="N12" s="17" t="s">
        <v>20</v>
      </c>
      <c r="O12" s="17" t="s">
        <v>294</v>
      </c>
      <c r="P12" s="17" t="s">
        <v>20</v>
      </c>
      <c r="Q12" s="17" t="s">
        <v>295</v>
      </c>
      <c r="R12" s="17" t="s">
        <v>20</v>
      </c>
      <c r="S12" s="17" t="s">
        <v>296</v>
      </c>
      <c r="T12" s="17">
        <v>0</v>
      </c>
      <c r="U12" s="18">
        <v>0</v>
      </c>
      <c r="V12" s="17" t="s">
        <v>269</v>
      </c>
      <c r="W12" s="17" t="s">
        <v>270</v>
      </c>
      <c r="X12" s="17" t="s">
        <v>63</v>
      </c>
      <c r="Y12" s="17" t="s">
        <v>253</v>
      </c>
      <c r="Z12" s="17" t="s">
        <v>252</v>
      </c>
      <c r="AA12" s="29">
        <v>773838.16823499999</v>
      </c>
      <c r="AB12" s="29">
        <v>2411913.1351100001</v>
      </c>
    </row>
    <row r="13" spans="1:28" x14ac:dyDescent="0.25">
      <c r="A13" s="30">
        <v>12</v>
      </c>
      <c r="B13" s="17">
        <v>468412</v>
      </c>
      <c r="C13" s="17" t="s">
        <v>254</v>
      </c>
      <c r="D13" s="17" t="s">
        <v>52</v>
      </c>
      <c r="E13" s="17" t="s">
        <v>297</v>
      </c>
      <c r="F13" s="17" t="s">
        <v>256</v>
      </c>
      <c r="G13" s="17" t="s">
        <v>298</v>
      </c>
      <c r="H13" s="17" t="s">
        <v>64</v>
      </c>
      <c r="I13" s="17">
        <v>20311</v>
      </c>
      <c r="J13" s="17" t="s">
        <v>53</v>
      </c>
      <c r="K13" s="17" t="s">
        <v>65</v>
      </c>
      <c r="L13" s="17" t="s">
        <v>55</v>
      </c>
      <c r="M13" s="17" t="s">
        <v>105</v>
      </c>
      <c r="N13" s="17" t="s">
        <v>92</v>
      </c>
      <c r="O13" s="17" t="s">
        <v>72</v>
      </c>
      <c r="P13" s="17" t="s">
        <v>55</v>
      </c>
      <c r="Q13" s="17" t="s">
        <v>105</v>
      </c>
      <c r="R13" s="17" t="s">
        <v>55</v>
      </c>
      <c r="S13" s="17" t="s">
        <v>106</v>
      </c>
      <c r="T13" s="17">
        <v>8001</v>
      </c>
      <c r="U13" s="18">
        <v>0</v>
      </c>
      <c r="V13" s="17" t="s">
        <v>299</v>
      </c>
      <c r="W13" s="17" t="s">
        <v>300</v>
      </c>
      <c r="X13" s="17" t="s">
        <v>94</v>
      </c>
      <c r="Y13" s="17" t="s">
        <v>103</v>
      </c>
      <c r="Z13" s="17" t="s">
        <v>99</v>
      </c>
      <c r="AA13" s="29">
        <v>776625.74728200003</v>
      </c>
      <c r="AB13" s="29">
        <v>2417875.0116599998</v>
      </c>
    </row>
    <row r="14" spans="1:28" x14ac:dyDescent="0.25">
      <c r="A14" s="30">
        <v>13</v>
      </c>
      <c r="B14" s="17">
        <v>468412</v>
      </c>
      <c r="C14" s="17" t="s">
        <v>254</v>
      </c>
      <c r="D14" s="17" t="s">
        <v>52</v>
      </c>
      <c r="E14" s="17" t="s">
        <v>301</v>
      </c>
      <c r="F14" s="17" t="s">
        <v>256</v>
      </c>
      <c r="G14" s="17" t="s">
        <v>263</v>
      </c>
      <c r="H14" s="17" t="s">
        <v>64</v>
      </c>
      <c r="I14" s="17">
        <v>20286</v>
      </c>
      <c r="J14" s="17" t="s">
        <v>53</v>
      </c>
      <c r="K14" s="17" t="s">
        <v>54</v>
      </c>
      <c r="L14" s="17" t="s">
        <v>20</v>
      </c>
      <c r="M14" s="17" t="s">
        <v>216</v>
      </c>
      <c r="N14" s="17" t="s">
        <v>20</v>
      </c>
      <c r="O14" s="17" t="s">
        <v>217</v>
      </c>
      <c r="P14" s="17" t="s">
        <v>55</v>
      </c>
      <c r="Q14" s="17" t="s">
        <v>137</v>
      </c>
      <c r="R14" s="17" t="s">
        <v>97</v>
      </c>
      <c r="S14" s="17" t="s">
        <v>302</v>
      </c>
      <c r="T14" s="17">
        <v>106</v>
      </c>
      <c r="U14" s="18">
        <v>0</v>
      </c>
      <c r="V14" s="17" t="s">
        <v>303</v>
      </c>
      <c r="X14" s="17" t="s">
        <v>71</v>
      </c>
      <c r="Y14" s="17" t="s">
        <v>103</v>
      </c>
      <c r="Z14" s="17" t="s">
        <v>99</v>
      </c>
      <c r="AA14" s="29">
        <v>778176.44661700004</v>
      </c>
      <c r="AB14" s="29">
        <v>2418248.47468</v>
      </c>
    </row>
    <row r="15" spans="1:28" x14ac:dyDescent="0.25">
      <c r="A15" s="30">
        <v>14</v>
      </c>
      <c r="B15" s="17">
        <v>468412</v>
      </c>
      <c r="C15" s="17" t="s">
        <v>254</v>
      </c>
      <c r="D15" s="17" t="s">
        <v>52</v>
      </c>
      <c r="E15" s="17" t="s">
        <v>304</v>
      </c>
      <c r="F15" s="17" t="s">
        <v>256</v>
      </c>
      <c r="G15" s="17" t="s">
        <v>266</v>
      </c>
      <c r="H15" s="17" t="s">
        <v>64</v>
      </c>
      <c r="I15" s="17">
        <v>20286</v>
      </c>
      <c r="J15" s="17" t="s">
        <v>53</v>
      </c>
      <c r="K15" s="17" t="s">
        <v>69</v>
      </c>
      <c r="L15" s="17" t="s">
        <v>55</v>
      </c>
      <c r="M15" s="17" t="s">
        <v>105</v>
      </c>
      <c r="N15" s="17" t="s">
        <v>20</v>
      </c>
      <c r="O15" s="17" t="s">
        <v>218</v>
      </c>
      <c r="P15" s="17" t="s">
        <v>20</v>
      </c>
      <c r="Q15" s="17" t="s">
        <v>305</v>
      </c>
      <c r="R15" s="17" t="s">
        <v>20</v>
      </c>
      <c r="S15" s="17" t="s">
        <v>215</v>
      </c>
      <c r="T15" s="17">
        <v>3237</v>
      </c>
      <c r="U15" s="18">
        <v>0</v>
      </c>
      <c r="V15" s="17" t="s">
        <v>269</v>
      </c>
      <c r="X15" s="17" t="s">
        <v>71</v>
      </c>
      <c r="Y15" s="17" t="s">
        <v>103</v>
      </c>
      <c r="Z15" s="17" t="s">
        <v>99</v>
      </c>
      <c r="AA15" s="29">
        <v>778383.58942600002</v>
      </c>
      <c r="AB15" s="29">
        <v>2418190.5296200002</v>
      </c>
    </row>
    <row r="16" spans="1:28" x14ac:dyDescent="0.25">
      <c r="A16" s="30">
        <v>15</v>
      </c>
      <c r="B16" s="17">
        <v>468412</v>
      </c>
      <c r="C16" s="17" t="s">
        <v>254</v>
      </c>
      <c r="D16" s="17" t="s">
        <v>52</v>
      </c>
      <c r="E16" s="17" t="s">
        <v>306</v>
      </c>
      <c r="F16" s="17" t="s">
        <v>256</v>
      </c>
      <c r="G16" s="17" t="s">
        <v>307</v>
      </c>
      <c r="H16" s="17" t="s">
        <v>74</v>
      </c>
      <c r="I16" s="17">
        <v>20284</v>
      </c>
      <c r="J16" s="17" t="s">
        <v>53</v>
      </c>
      <c r="K16" s="17" t="s">
        <v>54</v>
      </c>
      <c r="L16" s="17" t="s">
        <v>55</v>
      </c>
      <c r="M16" s="17" t="s">
        <v>102</v>
      </c>
      <c r="N16" s="17" t="s">
        <v>20</v>
      </c>
      <c r="O16" s="17" t="s">
        <v>112</v>
      </c>
      <c r="P16" s="17" t="s">
        <v>20</v>
      </c>
      <c r="Q16" s="17" t="s">
        <v>110</v>
      </c>
      <c r="R16" s="17" t="s">
        <v>20</v>
      </c>
      <c r="S16" s="17" t="s">
        <v>104</v>
      </c>
      <c r="T16" s="17">
        <v>805</v>
      </c>
      <c r="U16" s="18">
        <v>0</v>
      </c>
      <c r="V16" s="17" t="s">
        <v>308</v>
      </c>
      <c r="X16" s="17" t="s">
        <v>62</v>
      </c>
      <c r="Y16" s="17" t="s">
        <v>103</v>
      </c>
      <c r="Z16" s="17" t="s">
        <v>99</v>
      </c>
      <c r="AA16" s="29">
        <v>779734.79723799997</v>
      </c>
      <c r="AB16" s="29">
        <v>2417549.1246099998</v>
      </c>
    </row>
    <row r="17" spans="1:28" x14ac:dyDescent="0.25">
      <c r="A17" s="30">
        <v>16</v>
      </c>
      <c r="B17" s="17">
        <v>468412</v>
      </c>
      <c r="C17" s="17" t="s">
        <v>254</v>
      </c>
      <c r="D17" s="17" t="s">
        <v>52</v>
      </c>
      <c r="E17" s="17" t="s">
        <v>309</v>
      </c>
      <c r="F17" s="17" t="s">
        <v>256</v>
      </c>
      <c r="G17" s="17" t="s">
        <v>310</v>
      </c>
      <c r="H17" s="17" t="s">
        <v>74</v>
      </c>
      <c r="I17" s="17">
        <v>20200</v>
      </c>
      <c r="J17" s="17" t="s">
        <v>53</v>
      </c>
      <c r="K17" s="17" t="s">
        <v>61</v>
      </c>
      <c r="L17" s="17" t="s">
        <v>55</v>
      </c>
      <c r="M17" s="17" t="s">
        <v>106</v>
      </c>
      <c r="N17" s="17" t="s">
        <v>55</v>
      </c>
      <c r="O17" s="17" t="s">
        <v>105</v>
      </c>
      <c r="P17" s="17" t="s">
        <v>55</v>
      </c>
      <c r="Q17" s="17" t="s">
        <v>111</v>
      </c>
      <c r="R17" s="17" t="s">
        <v>20</v>
      </c>
      <c r="S17" s="17" t="s">
        <v>213</v>
      </c>
      <c r="T17" s="17">
        <v>0</v>
      </c>
      <c r="U17" s="18">
        <v>0</v>
      </c>
      <c r="V17" s="17" t="s">
        <v>311</v>
      </c>
      <c r="X17" s="17" t="s">
        <v>58</v>
      </c>
      <c r="Y17" s="17" t="s">
        <v>103</v>
      </c>
      <c r="Z17" s="17" t="s">
        <v>99</v>
      </c>
      <c r="AA17" s="29">
        <v>776608.67521400005</v>
      </c>
      <c r="AB17" s="29">
        <v>2417878.7680100002</v>
      </c>
    </row>
    <row r="18" spans="1:28" x14ac:dyDescent="0.25">
      <c r="A18" s="30">
        <v>17</v>
      </c>
      <c r="B18" s="17">
        <v>468412</v>
      </c>
      <c r="C18" s="17" t="s">
        <v>254</v>
      </c>
      <c r="D18" s="17" t="s">
        <v>52</v>
      </c>
      <c r="E18" s="17" t="s">
        <v>275</v>
      </c>
      <c r="F18" s="17" t="s">
        <v>256</v>
      </c>
      <c r="G18" s="17" t="s">
        <v>276</v>
      </c>
      <c r="H18" s="17" t="s">
        <v>116</v>
      </c>
      <c r="I18" s="17">
        <v>20126</v>
      </c>
      <c r="J18" s="17" t="s">
        <v>53</v>
      </c>
      <c r="K18" s="17" t="s">
        <v>65</v>
      </c>
      <c r="L18" s="17" t="s">
        <v>55</v>
      </c>
      <c r="M18" s="17" t="s">
        <v>114</v>
      </c>
      <c r="N18" s="17" t="s">
        <v>55</v>
      </c>
      <c r="O18" s="17" t="s">
        <v>57</v>
      </c>
      <c r="P18" s="17" t="s">
        <v>20</v>
      </c>
      <c r="Q18" s="17" t="s">
        <v>114</v>
      </c>
      <c r="R18" s="17" t="s">
        <v>20</v>
      </c>
      <c r="S18" s="17" t="s">
        <v>113</v>
      </c>
      <c r="T18" s="17">
        <v>2020</v>
      </c>
      <c r="U18" s="18">
        <v>0</v>
      </c>
      <c r="V18" s="17" t="s">
        <v>279</v>
      </c>
      <c r="X18" s="17" t="s">
        <v>63</v>
      </c>
      <c r="Y18" s="17" t="s">
        <v>103</v>
      </c>
      <c r="Z18" s="17" t="s">
        <v>99</v>
      </c>
      <c r="AA18" s="29">
        <v>778377.41017299995</v>
      </c>
      <c r="AB18" s="29">
        <v>2418144.2182900002</v>
      </c>
    </row>
    <row r="19" spans="1:28" x14ac:dyDescent="0.25">
      <c r="A19" s="30">
        <v>18</v>
      </c>
      <c r="B19" s="17">
        <v>468412</v>
      </c>
      <c r="C19" s="17" t="s">
        <v>254</v>
      </c>
      <c r="D19" s="17" t="s">
        <v>52</v>
      </c>
      <c r="E19" s="17" t="s">
        <v>312</v>
      </c>
      <c r="F19" s="17" t="s">
        <v>256</v>
      </c>
      <c r="G19" s="17" t="s">
        <v>266</v>
      </c>
      <c r="H19" s="17" t="s">
        <v>64</v>
      </c>
      <c r="I19" s="17">
        <v>20030</v>
      </c>
      <c r="J19" s="17" t="s">
        <v>53</v>
      </c>
      <c r="K19" s="17" t="s">
        <v>61</v>
      </c>
      <c r="L19" s="17" t="s">
        <v>20</v>
      </c>
      <c r="M19" s="17" t="s">
        <v>219</v>
      </c>
      <c r="N19" s="17" t="s">
        <v>20</v>
      </c>
      <c r="O19" s="17" t="s">
        <v>313</v>
      </c>
      <c r="P19" s="17" t="s">
        <v>20</v>
      </c>
      <c r="Q19" s="17" t="s">
        <v>220</v>
      </c>
      <c r="R19" s="17" t="s">
        <v>20</v>
      </c>
      <c r="S19" s="17" t="s">
        <v>221</v>
      </c>
      <c r="T19" s="17">
        <v>1410</v>
      </c>
      <c r="U19" s="18">
        <v>0</v>
      </c>
      <c r="V19" s="17" t="s">
        <v>269</v>
      </c>
      <c r="W19" s="17" t="s">
        <v>270</v>
      </c>
      <c r="X19" s="17" t="s">
        <v>63</v>
      </c>
      <c r="Y19" s="17" t="s">
        <v>119</v>
      </c>
      <c r="Z19" s="17" t="s">
        <v>120</v>
      </c>
      <c r="AA19" s="29">
        <v>779787.12291599996</v>
      </c>
      <c r="AB19" s="29">
        <v>2424061.06599</v>
      </c>
    </row>
    <row r="20" spans="1:28" x14ac:dyDescent="0.25">
      <c r="A20" s="30">
        <v>19</v>
      </c>
      <c r="B20" s="17">
        <v>468414</v>
      </c>
      <c r="C20" s="17" t="s">
        <v>254</v>
      </c>
      <c r="D20" s="17" t="s">
        <v>52</v>
      </c>
      <c r="E20" s="17" t="s">
        <v>314</v>
      </c>
      <c r="F20" s="17" t="s">
        <v>315</v>
      </c>
      <c r="G20" s="17" t="s">
        <v>316</v>
      </c>
      <c r="H20" s="17" t="s">
        <v>74</v>
      </c>
      <c r="I20" s="17">
        <v>20210</v>
      </c>
      <c r="J20" s="17" t="s">
        <v>53</v>
      </c>
      <c r="K20" s="17" t="s">
        <v>65</v>
      </c>
      <c r="L20" s="17" t="s">
        <v>55</v>
      </c>
      <c r="M20" s="17" t="s">
        <v>118</v>
      </c>
      <c r="N20" s="17" t="s">
        <v>101</v>
      </c>
      <c r="O20" s="17" t="s">
        <v>127</v>
      </c>
      <c r="P20" s="17" t="s">
        <v>55</v>
      </c>
      <c r="Q20" s="17" t="s">
        <v>317</v>
      </c>
      <c r="R20" s="17" t="s">
        <v>20</v>
      </c>
      <c r="S20" s="17" t="s">
        <v>126</v>
      </c>
      <c r="T20" s="17">
        <v>1504</v>
      </c>
      <c r="U20" s="18">
        <v>0</v>
      </c>
      <c r="V20" s="17" t="s">
        <v>318</v>
      </c>
      <c r="W20" s="17" t="s">
        <v>319</v>
      </c>
      <c r="X20" s="17" t="s">
        <v>71</v>
      </c>
      <c r="Y20" s="17" t="s">
        <v>98</v>
      </c>
      <c r="Z20" s="17" t="s">
        <v>120</v>
      </c>
      <c r="AA20" s="29">
        <v>777128.90601699997</v>
      </c>
      <c r="AB20" s="29">
        <v>2420906.9257700001</v>
      </c>
    </row>
    <row r="21" spans="1:28" x14ac:dyDescent="0.25">
      <c r="A21" s="30">
        <v>20</v>
      </c>
      <c r="B21" s="17">
        <v>468412</v>
      </c>
      <c r="C21" s="17" t="s">
        <v>254</v>
      </c>
      <c r="D21" s="17" t="s">
        <v>52</v>
      </c>
      <c r="E21" s="17" t="s">
        <v>292</v>
      </c>
      <c r="F21" s="17" t="s">
        <v>256</v>
      </c>
      <c r="G21" s="17" t="s">
        <v>281</v>
      </c>
      <c r="H21" s="17" t="s">
        <v>64</v>
      </c>
      <c r="I21" s="17">
        <v>20140</v>
      </c>
      <c r="J21" s="17" t="s">
        <v>53</v>
      </c>
      <c r="K21" s="17" t="s">
        <v>65</v>
      </c>
      <c r="L21" s="17" t="s">
        <v>55</v>
      </c>
      <c r="M21" s="17" t="s">
        <v>121</v>
      </c>
      <c r="N21" s="17" t="s">
        <v>56</v>
      </c>
      <c r="O21" s="17" t="s">
        <v>222</v>
      </c>
      <c r="P21" s="17" t="s">
        <v>55</v>
      </c>
      <c r="Q21" s="17" t="s">
        <v>223</v>
      </c>
      <c r="R21" s="17" t="s">
        <v>101</v>
      </c>
      <c r="S21" s="17" t="s">
        <v>131</v>
      </c>
      <c r="T21" s="17">
        <v>2214</v>
      </c>
      <c r="U21" s="18">
        <v>0</v>
      </c>
      <c r="V21" s="17" t="s">
        <v>283</v>
      </c>
      <c r="W21" s="17" t="s">
        <v>284</v>
      </c>
      <c r="X21" s="17" t="s">
        <v>63</v>
      </c>
      <c r="Y21" s="17" t="s">
        <v>107</v>
      </c>
      <c r="Z21" s="17" t="s">
        <v>120</v>
      </c>
      <c r="AA21" s="29">
        <v>780080.40741999994</v>
      </c>
      <c r="AB21" s="29">
        <v>2424648.9550399999</v>
      </c>
    </row>
    <row r="22" spans="1:28" x14ac:dyDescent="0.25">
      <c r="A22" s="30">
        <v>21</v>
      </c>
      <c r="B22" s="17">
        <v>468412</v>
      </c>
      <c r="C22" s="17" t="s">
        <v>254</v>
      </c>
      <c r="D22" s="17" t="s">
        <v>52</v>
      </c>
      <c r="E22" s="17" t="s">
        <v>320</v>
      </c>
      <c r="F22" s="17" t="s">
        <v>256</v>
      </c>
      <c r="G22" s="17" t="s">
        <v>321</v>
      </c>
      <c r="H22" s="17" t="s">
        <v>74</v>
      </c>
      <c r="I22" s="17">
        <v>20010</v>
      </c>
      <c r="J22" s="17" t="s">
        <v>53</v>
      </c>
      <c r="K22" s="17" t="s">
        <v>54</v>
      </c>
      <c r="L22" s="17" t="s">
        <v>55</v>
      </c>
      <c r="M22" s="17" t="s">
        <v>122</v>
      </c>
      <c r="N22" s="17" t="s">
        <v>20</v>
      </c>
      <c r="O22" s="17" t="s">
        <v>129</v>
      </c>
      <c r="P22" s="17" t="s">
        <v>55</v>
      </c>
      <c r="Q22" s="17" t="s">
        <v>130</v>
      </c>
      <c r="R22" s="17" t="s">
        <v>20</v>
      </c>
      <c r="S22" s="17" t="s">
        <v>109</v>
      </c>
      <c r="T22" s="17">
        <v>2301</v>
      </c>
      <c r="U22" s="18">
        <v>0</v>
      </c>
      <c r="X22" s="17" t="s">
        <v>58</v>
      </c>
      <c r="Y22" s="17" t="s">
        <v>107</v>
      </c>
      <c r="Z22" s="17" t="s">
        <v>120</v>
      </c>
      <c r="AA22" s="29">
        <v>777913.92974399996</v>
      </c>
      <c r="AB22" s="29">
        <v>2423729.9051100002</v>
      </c>
    </row>
    <row r="23" spans="1:28" x14ac:dyDescent="0.25">
      <c r="A23" s="30">
        <v>22</v>
      </c>
      <c r="B23" s="17">
        <v>468414</v>
      </c>
      <c r="C23" s="17" t="s">
        <v>254</v>
      </c>
      <c r="D23" s="17" t="s">
        <v>52</v>
      </c>
      <c r="E23" s="17" t="s">
        <v>322</v>
      </c>
      <c r="F23" s="17" t="s">
        <v>315</v>
      </c>
      <c r="G23" s="17" t="s">
        <v>320</v>
      </c>
      <c r="H23" s="17" t="s">
        <v>74</v>
      </c>
      <c r="I23" s="17">
        <v>20010</v>
      </c>
      <c r="J23" s="17" t="s">
        <v>53</v>
      </c>
      <c r="K23" s="17" t="s">
        <v>61</v>
      </c>
      <c r="L23" s="17" t="s">
        <v>55</v>
      </c>
      <c r="M23" s="17" t="s">
        <v>122</v>
      </c>
      <c r="N23" s="17" t="s">
        <v>20</v>
      </c>
      <c r="O23" s="17" t="s">
        <v>129</v>
      </c>
      <c r="P23" s="17" t="s">
        <v>55</v>
      </c>
      <c r="Q23" s="17" t="s">
        <v>130</v>
      </c>
      <c r="R23" s="17" t="s">
        <v>20</v>
      </c>
      <c r="S23" s="17" t="s">
        <v>109</v>
      </c>
      <c r="T23" s="17">
        <v>2301</v>
      </c>
      <c r="U23" s="18">
        <v>4499755050</v>
      </c>
      <c r="X23" s="17" t="s">
        <v>58</v>
      </c>
      <c r="Y23" s="17" t="s">
        <v>107</v>
      </c>
      <c r="Z23" s="17" t="s">
        <v>120</v>
      </c>
      <c r="AA23" s="29">
        <v>777913.92974399996</v>
      </c>
      <c r="AB23" s="29">
        <v>2423729.9051100002</v>
      </c>
    </row>
    <row r="24" spans="1:28" x14ac:dyDescent="0.25">
      <c r="A24" s="30">
        <v>23</v>
      </c>
      <c r="B24" s="17">
        <v>468412</v>
      </c>
      <c r="C24" s="17" t="s">
        <v>254</v>
      </c>
      <c r="D24" s="17" t="s">
        <v>52</v>
      </c>
      <c r="E24" s="17" t="s">
        <v>323</v>
      </c>
      <c r="F24" s="17" t="s">
        <v>256</v>
      </c>
      <c r="G24" s="17" t="s">
        <v>227</v>
      </c>
      <c r="H24" s="17" t="s">
        <v>64</v>
      </c>
      <c r="I24" s="17">
        <v>20060</v>
      </c>
      <c r="J24" s="17" t="s">
        <v>53</v>
      </c>
      <c r="K24" s="17" t="s">
        <v>54</v>
      </c>
      <c r="L24" s="17" t="s">
        <v>55</v>
      </c>
      <c r="M24" s="17" t="s">
        <v>124</v>
      </c>
      <c r="N24" s="17" t="s">
        <v>20</v>
      </c>
      <c r="O24" s="17" t="s">
        <v>125</v>
      </c>
      <c r="P24" s="17" t="s">
        <v>20</v>
      </c>
      <c r="Q24" s="17" t="s">
        <v>82</v>
      </c>
      <c r="R24" s="17" t="s">
        <v>20</v>
      </c>
      <c r="S24" s="17" t="s">
        <v>123</v>
      </c>
      <c r="T24" s="17">
        <v>738</v>
      </c>
      <c r="U24" s="18">
        <v>4499154646</v>
      </c>
      <c r="X24" s="17" t="s">
        <v>58</v>
      </c>
      <c r="Y24" s="17" t="s">
        <v>117</v>
      </c>
      <c r="Z24" s="17" t="s">
        <v>120</v>
      </c>
      <c r="AA24" s="29">
        <v>777700.93090799998</v>
      </c>
      <c r="AB24" s="29">
        <v>2422144.5272599999</v>
      </c>
    </row>
    <row r="25" spans="1:28" x14ac:dyDescent="0.25">
      <c r="A25" s="30">
        <v>24</v>
      </c>
      <c r="B25" s="17">
        <v>468412</v>
      </c>
      <c r="C25" s="17" t="s">
        <v>254</v>
      </c>
      <c r="D25" s="17" t="s">
        <v>52</v>
      </c>
      <c r="E25" s="17" t="s">
        <v>324</v>
      </c>
      <c r="F25" s="17" t="s">
        <v>256</v>
      </c>
      <c r="G25" s="17" t="s">
        <v>266</v>
      </c>
      <c r="H25" s="17" t="s">
        <v>64</v>
      </c>
      <c r="I25" s="17">
        <v>20210</v>
      </c>
      <c r="J25" s="17" t="s">
        <v>53</v>
      </c>
      <c r="K25" s="17" t="s">
        <v>69</v>
      </c>
      <c r="L25" s="17" t="s">
        <v>101</v>
      </c>
      <c r="M25" s="17" t="s">
        <v>117</v>
      </c>
      <c r="N25" s="17" t="s">
        <v>20</v>
      </c>
      <c r="O25" s="17" t="s">
        <v>229</v>
      </c>
      <c r="P25" s="17" t="s">
        <v>70</v>
      </c>
      <c r="Q25" s="17" t="s">
        <v>57</v>
      </c>
      <c r="R25" s="17" t="s">
        <v>20</v>
      </c>
      <c r="S25" s="17" t="s">
        <v>325</v>
      </c>
      <c r="T25" s="17">
        <v>401</v>
      </c>
      <c r="U25" s="18">
        <v>0</v>
      </c>
      <c r="V25" s="17" t="s">
        <v>269</v>
      </c>
      <c r="X25" s="17" t="s">
        <v>71</v>
      </c>
      <c r="Y25" s="17" t="s">
        <v>98</v>
      </c>
      <c r="Z25" s="17" t="s">
        <v>134</v>
      </c>
      <c r="AA25" s="29">
        <v>777374.71360799996</v>
      </c>
      <c r="AB25" s="29">
        <v>2420810.3272699998</v>
      </c>
    </row>
    <row r="26" spans="1:28" x14ac:dyDescent="0.25">
      <c r="A26" s="30">
        <v>25</v>
      </c>
      <c r="B26" s="17">
        <v>468412</v>
      </c>
      <c r="C26" s="17" t="s">
        <v>254</v>
      </c>
      <c r="D26" s="17" t="s">
        <v>52</v>
      </c>
      <c r="E26" s="17" t="s">
        <v>326</v>
      </c>
      <c r="F26" s="17" t="s">
        <v>256</v>
      </c>
      <c r="G26" s="17" t="s">
        <v>266</v>
      </c>
      <c r="H26" s="17" t="s">
        <v>74</v>
      </c>
      <c r="I26" s="17">
        <v>20270</v>
      </c>
      <c r="J26" s="17" t="s">
        <v>53</v>
      </c>
      <c r="K26" s="17" t="s">
        <v>54</v>
      </c>
      <c r="L26" s="17" t="s">
        <v>55</v>
      </c>
      <c r="M26" s="17" t="s">
        <v>237</v>
      </c>
      <c r="N26" s="17" t="s">
        <v>20</v>
      </c>
      <c r="O26" s="17" t="s">
        <v>238</v>
      </c>
      <c r="P26" s="17" t="s">
        <v>20</v>
      </c>
      <c r="Q26" s="17" t="s">
        <v>327</v>
      </c>
      <c r="R26" s="17" t="s">
        <v>20</v>
      </c>
      <c r="S26" s="17" t="s">
        <v>239</v>
      </c>
      <c r="T26" s="17">
        <v>903</v>
      </c>
      <c r="U26" s="18">
        <v>0</v>
      </c>
      <c r="V26" s="17" t="s">
        <v>269</v>
      </c>
      <c r="W26" s="17" t="s">
        <v>270</v>
      </c>
      <c r="X26" s="17" t="s">
        <v>58</v>
      </c>
      <c r="Y26" s="17" t="s">
        <v>108</v>
      </c>
      <c r="Z26" s="17" t="s">
        <v>136</v>
      </c>
      <c r="AA26" s="29">
        <v>781769.96132300003</v>
      </c>
      <c r="AB26" s="29">
        <v>2420369.4630499999</v>
      </c>
    </row>
    <row r="27" spans="1:28" x14ac:dyDescent="0.25">
      <c r="A27" s="30">
        <v>26</v>
      </c>
      <c r="B27" s="17">
        <v>468412</v>
      </c>
      <c r="C27" s="17" t="s">
        <v>254</v>
      </c>
      <c r="D27" s="17" t="s">
        <v>52</v>
      </c>
      <c r="E27" s="17" t="s">
        <v>328</v>
      </c>
      <c r="F27" s="17" t="s">
        <v>256</v>
      </c>
      <c r="G27" s="17" t="s">
        <v>266</v>
      </c>
      <c r="H27" s="17" t="s">
        <v>64</v>
      </c>
      <c r="I27" s="17">
        <v>20367</v>
      </c>
      <c r="J27" s="17" t="s">
        <v>53</v>
      </c>
      <c r="K27" s="17" t="s">
        <v>54</v>
      </c>
      <c r="L27" s="17" t="s">
        <v>76</v>
      </c>
      <c r="M27" s="17" t="s">
        <v>329</v>
      </c>
      <c r="N27" s="17" t="s">
        <v>92</v>
      </c>
      <c r="O27" s="17" t="s">
        <v>72</v>
      </c>
      <c r="P27" s="17" t="s">
        <v>92</v>
      </c>
      <c r="Q27" s="17" t="s">
        <v>72</v>
      </c>
      <c r="R27" s="17" t="s">
        <v>92</v>
      </c>
      <c r="S27" s="17" t="s">
        <v>57</v>
      </c>
      <c r="T27" s="17">
        <v>1099</v>
      </c>
      <c r="U27" s="18">
        <v>0</v>
      </c>
      <c r="W27" s="17" t="s">
        <v>270</v>
      </c>
      <c r="X27" s="17" t="s">
        <v>94</v>
      </c>
      <c r="Y27" s="17" t="s">
        <v>144</v>
      </c>
      <c r="Z27" s="17" t="s">
        <v>145</v>
      </c>
      <c r="AA27" s="29">
        <v>785761.034568</v>
      </c>
      <c r="AB27" s="29">
        <v>2421952.0926000001</v>
      </c>
    </row>
    <row r="28" spans="1:28" x14ac:dyDescent="0.25">
      <c r="A28" s="30">
        <v>27</v>
      </c>
      <c r="B28" s="17">
        <v>468412</v>
      </c>
      <c r="C28" s="17" t="s">
        <v>254</v>
      </c>
      <c r="D28" s="17" t="s">
        <v>52</v>
      </c>
      <c r="E28" s="17" t="s">
        <v>330</v>
      </c>
      <c r="F28" s="17" t="s">
        <v>256</v>
      </c>
      <c r="G28" s="17" t="s">
        <v>276</v>
      </c>
      <c r="H28" s="17" t="s">
        <v>74</v>
      </c>
      <c r="I28" s="17">
        <v>0</v>
      </c>
      <c r="J28" s="17" t="s">
        <v>53</v>
      </c>
      <c r="K28" s="17" t="s">
        <v>54</v>
      </c>
      <c r="L28" s="17" t="s">
        <v>55</v>
      </c>
      <c r="M28" s="17" t="s">
        <v>150</v>
      </c>
      <c r="N28" s="17" t="s">
        <v>20</v>
      </c>
      <c r="O28" s="17" t="s">
        <v>232</v>
      </c>
      <c r="P28" s="17" t="s">
        <v>20</v>
      </c>
      <c r="Q28" s="17" t="s">
        <v>231</v>
      </c>
      <c r="R28" s="17" t="s">
        <v>20</v>
      </c>
      <c r="S28" s="17" t="s">
        <v>151</v>
      </c>
      <c r="T28" s="17">
        <v>0</v>
      </c>
      <c r="U28" s="18">
        <v>4499764400</v>
      </c>
      <c r="X28" s="17" t="s">
        <v>88</v>
      </c>
      <c r="Y28" s="17" t="s">
        <v>144</v>
      </c>
      <c r="Z28" s="17" t="s">
        <v>145</v>
      </c>
      <c r="AA28" s="29">
        <v>786285.49545199994</v>
      </c>
      <c r="AB28" s="29">
        <v>2422344.02306</v>
      </c>
    </row>
    <row r="29" spans="1:28" x14ac:dyDescent="0.25">
      <c r="A29" s="30">
        <v>28</v>
      </c>
      <c r="B29" s="17">
        <v>468412</v>
      </c>
      <c r="C29" s="17" t="s">
        <v>254</v>
      </c>
      <c r="D29" s="17" t="s">
        <v>52</v>
      </c>
      <c r="E29" s="17" t="s">
        <v>331</v>
      </c>
      <c r="F29" s="17" t="s">
        <v>256</v>
      </c>
      <c r="G29" s="17" t="s">
        <v>266</v>
      </c>
      <c r="H29" s="17" t="s">
        <v>74</v>
      </c>
      <c r="I29" s="17">
        <v>20196</v>
      </c>
      <c r="J29" s="17" t="s">
        <v>53</v>
      </c>
      <c r="K29" s="17" t="s">
        <v>69</v>
      </c>
      <c r="L29" s="17" t="s">
        <v>55</v>
      </c>
      <c r="M29" s="17" t="s">
        <v>149</v>
      </c>
      <c r="N29" s="17" t="s">
        <v>20</v>
      </c>
      <c r="O29" s="17" t="s">
        <v>332</v>
      </c>
      <c r="P29" s="17" t="s">
        <v>55</v>
      </c>
      <c r="Q29" s="17" t="s">
        <v>333</v>
      </c>
      <c r="R29" s="17" t="s">
        <v>20</v>
      </c>
      <c r="S29" s="17" t="s">
        <v>334</v>
      </c>
      <c r="T29" s="17">
        <v>202</v>
      </c>
      <c r="U29" s="18">
        <v>0</v>
      </c>
      <c r="V29" s="17" t="s">
        <v>269</v>
      </c>
      <c r="X29" s="17" t="s">
        <v>71</v>
      </c>
      <c r="Y29" s="17" t="s">
        <v>144</v>
      </c>
      <c r="Z29" s="17" t="s">
        <v>145</v>
      </c>
      <c r="AA29" s="29">
        <v>785617.59658799996</v>
      </c>
      <c r="AB29" s="29">
        <v>2422279.7059399998</v>
      </c>
    </row>
    <row r="30" spans="1:28" x14ac:dyDescent="0.25">
      <c r="A30" s="30">
        <v>29</v>
      </c>
      <c r="B30" s="17">
        <v>468412</v>
      </c>
      <c r="C30" s="17" t="s">
        <v>254</v>
      </c>
      <c r="D30" s="17" t="s">
        <v>52</v>
      </c>
      <c r="E30" s="17" t="s">
        <v>335</v>
      </c>
      <c r="F30" s="17" t="s">
        <v>256</v>
      </c>
      <c r="G30" s="17" t="s">
        <v>266</v>
      </c>
      <c r="H30" s="17" t="s">
        <v>64</v>
      </c>
      <c r="I30" s="17">
        <v>20174</v>
      </c>
      <c r="J30" s="17" t="s">
        <v>53</v>
      </c>
      <c r="K30" s="17" t="s">
        <v>54</v>
      </c>
      <c r="L30" s="17" t="s">
        <v>55</v>
      </c>
      <c r="M30" s="17" t="s">
        <v>155</v>
      </c>
      <c r="N30" s="17" t="s">
        <v>20</v>
      </c>
      <c r="O30" s="17" t="s">
        <v>234</v>
      </c>
      <c r="P30" s="17" t="s">
        <v>20</v>
      </c>
      <c r="Q30" s="17" t="s">
        <v>157</v>
      </c>
      <c r="R30" s="17" t="s">
        <v>20</v>
      </c>
      <c r="S30" s="17" t="s">
        <v>234</v>
      </c>
      <c r="T30" s="17">
        <v>0</v>
      </c>
      <c r="U30" s="18">
        <v>0</v>
      </c>
      <c r="W30" s="17" t="s">
        <v>336</v>
      </c>
      <c r="X30" s="17" t="s">
        <v>58</v>
      </c>
      <c r="Y30" s="17" t="s">
        <v>154</v>
      </c>
      <c r="Z30" s="17" t="s">
        <v>145</v>
      </c>
      <c r="AA30" s="29">
        <v>784839.59060800006</v>
      </c>
      <c r="AB30" s="29">
        <v>2425839.7472999999</v>
      </c>
    </row>
    <row r="31" spans="1:28" x14ac:dyDescent="0.25">
      <c r="A31" s="30">
        <v>30</v>
      </c>
      <c r="B31" s="17">
        <v>468412</v>
      </c>
      <c r="C31" s="17" t="s">
        <v>254</v>
      </c>
      <c r="D31" s="17" t="s">
        <v>52</v>
      </c>
      <c r="E31" s="17" t="s">
        <v>337</v>
      </c>
      <c r="F31" s="17" t="s">
        <v>256</v>
      </c>
      <c r="G31" s="17" t="s">
        <v>266</v>
      </c>
      <c r="H31" s="17" t="s">
        <v>64</v>
      </c>
      <c r="I31" s="17">
        <v>20174</v>
      </c>
      <c r="J31" s="17" t="s">
        <v>53</v>
      </c>
      <c r="K31" s="17" t="s">
        <v>69</v>
      </c>
      <c r="L31" s="17" t="s">
        <v>55</v>
      </c>
      <c r="M31" s="17" t="s">
        <v>155</v>
      </c>
      <c r="N31" s="17" t="s">
        <v>20</v>
      </c>
      <c r="O31" s="17" t="s">
        <v>338</v>
      </c>
      <c r="P31" s="17" t="s">
        <v>70</v>
      </c>
      <c r="Q31" s="17" t="s">
        <v>57</v>
      </c>
      <c r="R31" s="17" t="s">
        <v>20</v>
      </c>
      <c r="S31" s="17" t="s">
        <v>339</v>
      </c>
      <c r="T31" s="17">
        <v>409</v>
      </c>
      <c r="U31" s="18">
        <v>0</v>
      </c>
      <c r="V31" s="17" t="s">
        <v>269</v>
      </c>
      <c r="X31" s="17" t="s">
        <v>71</v>
      </c>
      <c r="Y31" s="17" t="s">
        <v>154</v>
      </c>
      <c r="Z31" s="17" t="s">
        <v>145</v>
      </c>
      <c r="AA31" s="29">
        <v>784848.89733299997</v>
      </c>
      <c r="AB31" s="29">
        <v>2425831.55479</v>
      </c>
    </row>
    <row r="32" spans="1:28" x14ac:dyDescent="0.25">
      <c r="A32" s="30">
        <v>31</v>
      </c>
      <c r="B32" s="17">
        <v>468412</v>
      </c>
      <c r="C32" s="17" t="s">
        <v>254</v>
      </c>
      <c r="D32" s="17" t="s">
        <v>52</v>
      </c>
      <c r="E32" s="17" t="s">
        <v>340</v>
      </c>
      <c r="F32" s="17" t="s">
        <v>256</v>
      </c>
      <c r="G32" s="17" t="s">
        <v>266</v>
      </c>
      <c r="H32" s="17" t="s">
        <v>74</v>
      </c>
      <c r="I32" s="17">
        <v>20292</v>
      </c>
      <c r="J32" s="17" t="s">
        <v>53</v>
      </c>
      <c r="K32" s="17" t="s">
        <v>69</v>
      </c>
      <c r="L32" s="17" t="s">
        <v>70</v>
      </c>
      <c r="M32" s="17" t="s">
        <v>57</v>
      </c>
      <c r="N32" s="17" t="s">
        <v>70</v>
      </c>
      <c r="O32" s="17" t="s">
        <v>57</v>
      </c>
      <c r="P32" s="17" t="s">
        <v>70</v>
      </c>
      <c r="Q32" s="17" t="s">
        <v>57</v>
      </c>
      <c r="R32" s="17" t="s">
        <v>70</v>
      </c>
      <c r="S32" s="17" t="s">
        <v>57</v>
      </c>
      <c r="T32" s="17">
        <v>1701</v>
      </c>
      <c r="U32" s="18">
        <v>0</v>
      </c>
      <c r="V32" s="17" t="s">
        <v>269</v>
      </c>
      <c r="X32" s="17" t="s">
        <v>71</v>
      </c>
      <c r="Y32" s="17" t="s">
        <v>154</v>
      </c>
      <c r="Z32" s="17" t="s">
        <v>145</v>
      </c>
      <c r="AA32" s="29">
        <v>785789.340264</v>
      </c>
      <c r="AB32" s="29">
        <v>2425522.1945099998</v>
      </c>
    </row>
    <row r="33" spans="1:28" x14ac:dyDescent="0.25">
      <c r="A33" s="30">
        <v>32</v>
      </c>
      <c r="B33" s="17">
        <v>468412</v>
      </c>
      <c r="C33" s="17" t="s">
        <v>254</v>
      </c>
      <c r="D33" s="17" t="s">
        <v>52</v>
      </c>
      <c r="E33" s="17" t="s">
        <v>341</v>
      </c>
      <c r="F33" s="17" t="s">
        <v>256</v>
      </c>
      <c r="G33" s="17" t="s">
        <v>266</v>
      </c>
      <c r="H33" s="17" t="s">
        <v>64</v>
      </c>
      <c r="I33" s="17">
        <v>20199</v>
      </c>
      <c r="J33" s="17" t="s">
        <v>53</v>
      </c>
      <c r="K33" s="17" t="s">
        <v>69</v>
      </c>
      <c r="L33" s="17" t="s">
        <v>55</v>
      </c>
      <c r="M33" s="17" t="s">
        <v>147</v>
      </c>
      <c r="N33" s="17" t="s">
        <v>55</v>
      </c>
      <c r="O33" s="17" t="s">
        <v>233</v>
      </c>
      <c r="P33" s="17" t="s">
        <v>20</v>
      </c>
      <c r="Q33" s="17" t="s">
        <v>135</v>
      </c>
      <c r="R33" s="17" t="s">
        <v>56</v>
      </c>
      <c r="S33" s="17" t="s">
        <v>342</v>
      </c>
      <c r="T33" s="17">
        <v>906</v>
      </c>
      <c r="U33" s="18">
        <v>0</v>
      </c>
      <c r="V33" s="17" t="s">
        <v>269</v>
      </c>
      <c r="X33" s="17" t="s">
        <v>71</v>
      </c>
      <c r="Y33" s="17" t="s">
        <v>144</v>
      </c>
      <c r="Z33" s="17" t="s">
        <v>158</v>
      </c>
      <c r="AA33" s="29">
        <v>784552.696245</v>
      </c>
      <c r="AB33" s="29">
        <v>2423877.32859</v>
      </c>
    </row>
    <row r="34" spans="1:28" x14ac:dyDescent="0.25">
      <c r="A34" s="30">
        <v>33</v>
      </c>
      <c r="B34" s="17">
        <v>468412</v>
      </c>
      <c r="C34" s="17" t="s">
        <v>254</v>
      </c>
      <c r="D34" s="17" t="s">
        <v>52</v>
      </c>
      <c r="E34" s="17" t="s">
        <v>343</v>
      </c>
      <c r="F34" s="17" t="s">
        <v>256</v>
      </c>
      <c r="G34" s="17" t="s">
        <v>266</v>
      </c>
      <c r="H34" s="17" t="s">
        <v>116</v>
      </c>
      <c r="I34" s="17">
        <v>20179</v>
      </c>
      <c r="J34" s="17" t="s">
        <v>53</v>
      </c>
      <c r="K34" s="17" t="s">
        <v>54</v>
      </c>
      <c r="L34" s="17" t="s">
        <v>55</v>
      </c>
      <c r="M34" s="17" t="s">
        <v>105</v>
      </c>
      <c r="N34" s="17" t="s">
        <v>55</v>
      </c>
      <c r="O34" s="17" t="s">
        <v>344</v>
      </c>
      <c r="P34" s="17" t="s">
        <v>20</v>
      </c>
      <c r="Q34" s="17" t="s">
        <v>345</v>
      </c>
      <c r="R34" s="17" t="s">
        <v>56</v>
      </c>
      <c r="S34" s="17" t="s">
        <v>346</v>
      </c>
      <c r="T34" s="17">
        <v>3013</v>
      </c>
      <c r="U34" s="18">
        <v>0</v>
      </c>
      <c r="V34" s="17" t="s">
        <v>269</v>
      </c>
      <c r="W34" s="17" t="s">
        <v>270</v>
      </c>
      <c r="X34" s="17" t="s">
        <v>62</v>
      </c>
      <c r="Y34" s="17" t="s">
        <v>159</v>
      </c>
      <c r="Z34" s="17" t="s">
        <v>158</v>
      </c>
      <c r="AA34" s="29">
        <v>782952.16985299997</v>
      </c>
      <c r="AB34" s="29">
        <v>2425849.0663299998</v>
      </c>
    </row>
    <row r="35" spans="1:28" x14ac:dyDescent="0.25">
      <c r="A35" s="30">
        <v>34</v>
      </c>
      <c r="B35" s="17">
        <v>468412</v>
      </c>
      <c r="C35" s="17" t="s">
        <v>254</v>
      </c>
      <c r="D35" s="17" t="s">
        <v>52</v>
      </c>
      <c r="E35" s="17" t="s">
        <v>275</v>
      </c>
      <c r="F35" s="17" t="s">
        <v>256</v>
      </c>
      <c r="H35" s="17" t="s">
        <v>74</v>
      </c>
      <c r="I35" s="17">
        <v>0</v>
      </c>
      <c r="J35" s="17" t="s">
        <v>53</v>
      </c>
      <c r="K35" s="17" t="s">
        <v>54</v>
      </c>
      <c r="L35" s="17" t="s">
        <v>55</v>
      </c>
      <c r="M35" s="17" t="s">
        <v>153</v>
      </c>
      <c r="N35" s="17" t="s">
        <v>20</v>
      </c>
      <c r="O35" s="17" t="s">
        <v>162</v>
      </c>
      <c r="P35" s="17" t="s">
        <v>20</v>
      </c>
      <c r="Q35" s="17" t="s">
        <v>160</v>
      </c>
      <c r="R35" s="17" t="s">
        <v>20</v>
      </c>
      <c r="S35" s="17" t="s">
        <v>206</v>
      </c>
      <c r="T35" s="17">
        <v>0</v>
      </c>
      <c r="U35" s="18">
        <v>0</v>
      </c>
      <c r="W35" s="17" t="s">
        <v>347</v>
      </c>
      <c r="X35" s="17" t="s">
        <v>88</v>
      </c>
      <c r="Y35" s="17" t="s">
        <v>143</v>
      </c>
      <c r="Z35" s="17" t="s">
        <v>158</v>
      </c>
      <c r="AA35" s="29">
        <v>783238.30437400006</v>
      </c>
      <c r="AB35" s="29">
        <v>2423658.0039599999</v>
      </c>
    </row>
    <row r="36" spans="1:28" x14ac:dyDescent="0.25">
      <c r="A36" s="30">
        <v>35</v>
      </c>
      <c r="B36" s="17">
        <v>468414</v>
      </c>
      <c r="C36" s="17" t="s">
        <v>254</v>
      </c>
      <c r="D36" s="17" t="s">
        <v>52</v>
      </c>
      <c r="E36" s="17" t="s">
        <v>314</v>
      </c>
      <c r="F36" s="17" t="s">
        <v>315</v>
      </c>
      <c r="G36" s="17" t="s">
        <v>316</v>
      </c>
      <c r="H36" s="17" t="s">
        <v>128</v>
      </c>
      <c r="I36" s="17">
        <v>20198</v>
      </c>
      <c r="J36" s="17" t="s">
        <v>53</v>
      </c>
      <c r="K36" s="17" t="s">
        <v>65</v>
      </c>
      <c r="L36" s="17" t="s">
        <v>55</v>
      </c>
      <c r="M36" s="17" t="s">
        <v>161</v>
      </c>
      <c r="N36" s="17" t="s">
        <v>20</v>
      </c>
      <c r="O36" s="17" t="s">
        <v>135</v>
      </c>
      <c r="P36" s="17" t="s">
        <v>20</v>
      </c>
      <c r="Q36" s="17" t="s">
        <v>236</v>
      </c>
      <c r="R36" s="17" t="s">
        <v>20</v>
      </c>
      <c r="S36" s="17" t="s">
        <v>226</v>
      </c>
      <c r="T36" s="17">
        <v>2106</v>
      </c>
      <c r="U36" s="18">
        <v>0</v>
      </c>
      <c r="V36" s="17" t="s">
        <v>318</v>
      </c>
      <c r="W36" s="17" t="s">
        <v>319</v>
      </c>
      <c r="X36" s="17" t="s">
        <v>71</v>
      </c>
      <c r="Y36" s="17" t="s">
        <v>143</v>
      </c>
      <c r="Z36" s="17" t="s">
        <v>158</v>
      </c>
      <c r="AA36" s="29">
        <v>782731.82415799994</v>
      </c>
      <c r="AB36" s="29">
        <v>2423422.5313599999</v>
      </c>
    </row>
    <row r="37" spans="1:28" x14ac:dyDescent="0.25">
      <c r="A37" s="30">
        <v>36</v>
      </c>
      <c r="B37" s="17">
        <v>468412</v>
      </c>
      <c r="C37" s="17" t="s">
        <v>254</v>
      </c>
      <c r="D37" s="17" t="s">
        <v>52</v>
      </c>
      <c r="E37" s="17" t="s">
        <v>348</v>
      </c>
      <c r="F37" s="17" t="s">
        <v>256</v>
      </c>
      <c r="G37" s="17" t="s">
        <v>263</v>
      </c>
      <c r="H37" s="17" t="s">
        <v>64</v>
      </c>
      <c r="I37" s="17">
        <v>20267</v>
      </c>
      <c r="J37" s="17" t="s">
        <v>53</v>
      </c>
      <c r="K37" s="17" t="s">
        <v>54</v>
      </c>
      <c r="L37" s="17" t="s">
        <v>20</v>
      </c>
      <c r="M37" s="17" t="s">
        <v>166</v>
      </c>
      <c r="N37" s="17" t="s">
        <v>20</v>
      </c>
      <c r="O37" s="17" t="s">
        <v>349</v>
      </c>
      <c r="P37" s="17" t="s">
        <v>20</v>
      </c>
      <c r="Q37" s="17" t="s">
        <v>191</v>
      </c>
      <c r="R37" s="17" t="s">
        <v>20</v>
      </c>
      <c r="S37" s="17" t="s">
        <v>350</v>
      </c>
      <c r="T37" s="17">
        <v>300</v>
      </c>
      <c r="U37" s="18">
        <v>0</v>
      </c>
      <c r="V37" s="17" t="s">
        <v>303</v>
      </c>
      <c r="X37" s="17" t="s">
        <v>71</v>
      </c>
      <c r="Y37" s="17" t="s">
        <v>108</v>
      </c>
      <c r="Z37" s="17" t="s">
        <v>165</v>
      </c>
      <c r="AA37" s="29">
        <v>781895.29535399994</v>
      </c>
      <c r="AB37" s="29">
        <v>2420882.1365899998</v>
      </c>
    </row>
    <row r="38" spans="1:28" x14ac:dyDescent="0.25">
      <c r="A38" s="30">
        <v>37</v>
      </c>
      <c r="B38" s="17">
        <v>468412</v>
      </c>
      <c r="C38" s="17" t="s">
        <v>254</v>
      </c>
      <c r="D38" s="17" t="s">
        <v>52</v>
      </c>
      <c r="E38" s="17" t="s">
        <v>351</v>
      </c>
      <c r="F38" s="17" t="s">
        <v>256</v>
      </c>
      <c r="G38" s="17" t="s">
        <v>266</v>
      </c>
      <c r="H38" s="17" t="s">
        <v>116</v>
      </c>
      <c r="I38" s="17">
        <v>20190</v>
      </c>
      <c r="J38" s="17" t="s">
        <v>53</v>
      </c>
      <c r="K38" s="17" t="s">
        <v>61</v>
      </c>
      <c r="L38" s="17" t="s">
        <v>55</v>
      </c>
      <c r="M38" s="17" t="s">
        <v>57</v>
      </c>
      <c r="N38" s="17" t="s">
        <v>55</v>
      </c>
      <c r="O38" s="17" t="s">
        <v>86</v>
      </c>
      <c r="P38" s="17" t="s">
        <v>55</v>
      </c>
      <c r="Q38" s="17" t="s">
        <v>161</v>
      </c>
      <c r="R38" s="17" t="s">
        <v>20</v>
      </c>
      <c r="S38" s="17" t="s">
        <v>81</v>
      </c>
      <c r="T38" s="17">
        <v>2687</v>
      </c>
      <c r="U38" s="18">
        <v>0</v>
      </c>
      <c r="W38" s="17" t="s">
        <v>270</v>
      </c>
      <c r="X38" s="17" t="s">
        <v>63</v>
      </c>
      <c r="Y38" s="17" t="s">
        <v>153</v>
      </c>
      <c r="Z38" s="17" t="s">
        <v>165</v>
      </c>
      <c r="AA38" s="29">
        <v>783220.06511700002</v>
      </c>
      <c r="AB38" s="29">
        <v>2422404.70946</v>
      </c>
    </row>
    <row r="39" spans="1:28" x14ac:dyDescent="0.25">
      <c r="A39" s="30">
        <v>38</v>
      </c>
      <c r="B39" s="17">
        <v>468414</v>
      </c>
      <c r="C39" s="17" t="s">
        <v>254</v>
      </c>
      <c r="D39" s="17" t="s">
        <v>52</v>
      </c>
      <c r="E39" s="17" t="s">
        <v>314</v>
      </c>
      <c r="F39" s="17" t="s">
        <v>315</v>
      </c>
      <c r="G39" s="17" t="s">
        <v>316</v>
      </c>
      <c r="H39" s="17" t="s">
        <v>74</v>
      </c>
      <c r="I39" s="17">
        <v>20149</v>
      </c>
      <c r="J39" s="17" t="s">
        <v>53</v>
      </c>
      <c r="K39" s="17" t="s">
        <v>69</v>
      </c>
      <c r="L39" s="17" t="s">
        <v>55</v>
      </c>
      <c r="M39" s="17" t="s">
        <v>121</v>
      </c>
      <c r="N39" s="17" t="s">
        <v>20</v>
      </c>
      <c r="O39" s="17" t="s">
        <v>135</v>
      </c>
      <c r="P39" s="17" t="s">
        <v>20</v>
      </c>
      <c r="Q39" s="17" t="s">
        <v>224</v>
      </c>
      <c r="R39" s="17" t="s">
        <v>101</v>
      </c>
      <c r="S39" s="17" t="s">
        <v>132</v>
      </c>
      <c r="T39" s="17">
        <v>2910</v>
      </c>
      <c r="U39" s="18">
        <v>0</v>
      </c>
      <c r="V39" s="17" t="s">
        <v>352</v>
      </c>
      <c r="W39" s="17" t="s">
        <v>353</v>
      </c>
      <c r="X39" s="17" t="s">
        <v>94</v>
      </c>
      <c r="Y39" s="17" t="s">
        <v>107</v>
      </c>
      <c r="Z39" s="17" t="s">
        <v>168</v>
      </c>
      <c r="AA39" s="29">
        <v>779859.78771099995</v>
      </c>
      <c r="AB39" s="29">
        <v>2425323.9408200001</v>
      </c>
    </row>
    <row r="40" spans="1:28" x14ac:dyDescent="0.25">
      <c r="A40" s="30">
        <v>39</v>
      </c>
      <c r="B40" s="17">
        <v>468412</v>
      </c>
      <c r="C40" s="17" t="s">
        <v>254</v>
      </c>
      <c r="D40" s="17" t="s">
        <v>52</v>
      </c>
      <c r="E40" s="17" t="s">
        <v>354</v>
      </c>
      <c r="F40" s="17" t="s">
        <v>256</v>
      </c>
      <c r="G40" s="17" t="s">
        <v>266</v>
      </c>
      <c r="H40" s="17" t="s">
        <v>152</v>
      </c>
      <c r="I40" s="17">
        <v>20120</v>
      </c>
      <c r="J40" s="17" t="s">
        <v>53</v>
      </c>
      <c r="K40" s="17" t="s">
        <v>54</v>
      </c>
      <c r="L40" s="17" t="s">
        <v>70</v>
      </c>
      <c r="M40" s="17" t="s">
        <v>57</v>
      </c>
      <c r="N40" s="17" t="s">
        <v>70</v>
      </c>
      <c r="O40" s="17" t="s">
        <v>57</v>
      </c>
      <c r="P40" s="17" t="s">
        <v>70</v>
      </c>
      <c r="Q40" s="17" t="s">
        <v>57</v>
      </c>
      <c r="R40" s="17" t="s">
        <v>70</v>
      </c>
      <c r="S40" s="17" t="s">
        <v>57</v>
      </c>
      <c r="T40" s="17">
        <v>0</v>
      </c>
      <c r="U40" s="18">
        <v>0</v>
      </c>
      <c r="V40" s="17" t="s">
        <v>269</v>
      </c>
      <c r="W40" s="17" t="s">
        <v>270</v>
      </c>
      <c r="X40" s="17" t="s">
        <v>63</v>
      </c>
      <c r="Y40" s="17" t="s">
        <v>159</v>
      </c>
      <c r="Z40" s="17" t="s">
        <v>168</v>
      </c>
      <c r="AA40" s="29">
        <v>779903.71239799995</v>
      </c>
      <c r="AB40" s="29">
        <v>2430177.8987599998</v>
      </c>
    </row>
    <row r="41" spans="1:28" x14ac:dyDescent="0.25">
      <c r="A41" s="30">
        <v>40</v>
      </c>
      <c r="B41" s="17">
        <v>468412</v>
      </c>
      <c r="C41" s="17" t="s">
        <v>254</v>
      </c>
      <c r="D41" s="17" t="s">
        <v>52</v>
      </c>
      <c r="E41" s="17" t="s">
        <v>355</v>
      </c>
      <c r="F41" s="17" t="s">
        <v>256</v>
      </c>
      <c r="G41" s="17" t="s">
        <v>266</v>
      </c>
      <c r="H41" s="17" t="s">
        <v>74</v>
      </c>
      <c r="I41" s="17">
        <v>20290</v>
      </c>
      <c r="J41" s="17" t="s">
        <v>53</v>
      </c>
      <c r="K41" s="17" t="s">
        <v>54</v>
      </c>
      <c r="L41" s="17" t="s">
        <v>55</v>
      </c>
      <c r="M41" s="17" t="s">
        <v>172</v>
      </c>
      <c r="N41" s="17" t="s">
        <v>55</v>
      </c>
      <c r="O41" s="17" t="s">
        <v>207</v>
      </c>
      <c r="P41" s="17" t="s">
        <v>20</v>
      </c>
      <c r="Q41" s="17" t="s">
        <v>225</v>
      </c>
      <c r="R41" s="17" t="s">
        <v>20</v>
      </c>
      <c r="S41" s="17" t="s">
        <v>164</v>
      </c>
      <c r="T41" s="17">
        <v>901</v>
      </c>
      <c r="U41" s="18">
        <v>0</v>
      </c>
      <c r="V41" s="17" t="s">
        <v>269</v>
      </c>
      <c r="W41" s="17" t="s">
        <v>270</v>
      </c>
      <c r="X41" s="17" t="s">
        <v>58</v>
      </c>
      <c r="Y41" s="17" t="s">
        <v>159</v>
      </c>
      <c r="Z41" s="17" t="s">
        <v>168</v>
      </c>
      <c r="AA41" s="29">
        <v>780392.62225599994</v>
      </c>
      <c r="AB41" s="29">
        <v>2425094.6319900001</v>
      </c>
    </row>
    <row r="42" spans="1:28" x14ac:dyDescent="0.25">
      <c r="A42" s="30">
        <v>41</v>
      </c>
      <c r="B42" s="17">
        <v>468412</v>
      </c>
      <c r="C42" s="17" t="s">
        <v>254</v>
      </c>
      <c r="D42" s="17" t="s">
        <v>52</v>
      </c>
      <c r="E42" s="17" t="s">
        <v>356</v>
      </c>
      <c r="F42" s="17" t="s">
        <v>256</v>
      </c>
      <c r="G42" s="17" t="s">
        <v>266</v>
      </c>
      <c r="H42" s="17" t="s">
        <v>77</v>
      </c>
      <c r="I42" s="17">
        <v>20126</v>
      </c>
      <c r="J42" s="17" t="s">
        <v>53</v>
      </c>
      <c r="K42" s="17" t="s">
        <v>205</v>
      </c>
      <c r="L42" s="17" t="s">
        <v>70</v>
      </c>
      <c r="M42" s="17" t="s">
        <v>57</v>
      </c>
      <c r="N42" s="17" t="s">
        <v>70</v>
      </c>
      <c r="O42" s="17" t="s">
        <v>57</v>
      </c>
      <c r="P42" s="17" t="s">
        <v>70</v>
      </c>
      <c r="Q42" s="17" t="s">
        <v>57</v>
      </c>
      <c r="R42" s="17" t="s">
        <v>70</v>
      </c>
      <c r="S42" s="17" t="s">
        <v>57</v>
      </c>
      <c r="T42" s="17">
        <v>0</v>
      </c>
      <c r="U42" s="18">
        <v>0</v>
      </c>
      <c r="V42" s="17" t="s">
        <v>269</v>
      </c>
      <c r="W42" s="17" t="s">
        <v>270</v>
      </c>
      <c r="X42" s="17" t="s">
        <v>63</v>
      </c>
      <c r="Y42" s="17" t="s">
        <v>159</v>
      </c>
      <c r="Z42" s="17" t="s">
        <v>168</v>
      </c>
      <c r="AA42" s="29">
        <v>779900.85821800004</v>
      </c>
      <c r="AB42" s="29">
        <v>2430181.93603</v>
      </c>
    </row>
    <row r="43" spans="1:28" x14ac:dyDescent="0.25">
      <c r="A43" s="30">
        <v>42</v>
      </c>
      <c r="B43" s="17">
        <v>468413</v>
      </c>
      <c r="C43" s="17" t="s">
        <v>254</v>
      </c>
      <c r="D43" s="17" t="s">
        <v>52</v>
      </c>
      <c r="E43" s="17" t="s">
        <v>357</v>
      </c>
      <c r="F43" s="17" t="s">
        <v>272</v>
      </c>
      <c r="G43" s="17" t="s">
        <v>358</v>
      </c>
      <c r="H43" s="17" t="s">
        <v>64</v>
      </c>
      <c r="I43" s="17">
        <v>0</v>
      </c>
      <c r="J43" s="17" t="s">
        <v>53</v>
      </c>
      <c r="K43" s="17" t="s">
        <v>54</v>
      </c>
      <c r="L43" s="17" t="s">
        <v>101</v>
      </c>
      <c r="M43" s="17" t="s">
        <v>169</v>
      </c>
      <c r="N43" s="17" t="s">
        <v>56</v>
      </c>
      <c r="O43" s="17" t="s">
        <v>57</v>
      </c>
      <c r="P43" s="17" t="s">
        <v>55</v>
      </c>
      <c r="Q43" s="17" t="s">
        <v>170</v>
      </c>
      <c r="R43" s="17" t="s">
        <v>20</v>
      </c>
      <c r="S43" s="17" t="s">
        <v>72</v>
      </c>
      <c r="T43" s="17">
        <v>0</v>
      </c>
      <c r="U43" s="18">
        <v>0</v>
      </c>
      <c r="V43" s="17" t="s">
        <v>359</v>
      </c>
      <c r="X43" s="17" t="s">
        <v>62</v>
      </c>
      <c r="Y43" s="17" t="s">
        <v>159</v>
      </c>
      <c r="Z43" s="17" t="s">
        <v>168</v>
      </c>
      <c r="AA43" s="29">
        <v>779835.51275300002</v>
      </c>
      <c r="AB43" s="29">
        <v>2428019.6570799998</v>
      </c>
    </row>
    <row r="44" spans="1:28" x14ac:dyDescent="0.25">
      <c r="A44" s="30">
        <v>43</v>
      </c>
      <c r="B44" s="17">
        <v>468413</v>
      </c>
      <c r="C44" s="17" t="s">
        <v>254</v>
      </c>
      <c r="D44" s="17" t="s">
        <v>52</v>
      </c>
      <c r="E44" s="17" t="s">
        <v>360</v>
      </c>
      <c r="F44" s="17" t="s">
        <v>272</v>
      </c>
      <c r="G44" s="17" t="s">
        <v>361</v>
      </c>
      <c r="H44" s="17" t="s">
        <v>64</v>
      </c>
      <c r="I44" s="17">
        <v>20913</v>
      </c>
      <c r="J44" s="17" t="s">
        <v>53</v>
      </c>
      <c r="K44" s="17" t="s">
        <v>54</v>
      </c>
      <c r="L44" s="17" t="s">
        <v>55</v>
      </c>
      <c r="M44" s="17" t="s">
        <v>138</v>
      </c>
      <c r="N44" s="17" t="s">
        <v>20</v>
      </c>
      <c r="O44" s="17" t="s">
        <v>87</v>
      </c>
      <c r="P44" s="17" t="s">
        <v>20</v>
      </c>
      <c r="Q44" s="17" t="s">
        <v>57</v>
      </c>
      <c r="R44" s="17" t="s">
        <v>20</v>
      </c>
      <c r="S44" s="17" t="s">
        <v>57</v>
      </c>
      <c r="T44" s="17">
        <v>504</v>
      </c>
      <c r="U44" s="18">
        <v>0</v>
      </c>
      <c r="X44" s="17" t="s">
        <v>79</v>
      </c>
      <c r="Y44" s="17" t="s">
        <v>159</v>
      </c>
      <c r="Z44" s="17" t="s">
        <v>168</v>
      </c>
      <c r="AA44" s="29">
        <v>779792.47487000003</v>
      </c>
      <c r="AB44" s="29">
        <v>2426035.9437799999</v>
      </c>
    </row>
    <row r="45" spans="1:28" x14ac:dyDescent="0.25">
      <c r="A45" s="30">
        <v>44</v>
      </c>
      <c r="B45" s="17">
        <v>468413</v>
      </c>
      <c r="C45" s="17" t="s">
        <v>254</v>
      </c>
      <c r="D45" s="17" t="s">
        <v>52</v>
      </c>
      <c r="E45" s="17" t="s">
        <v>360</v>
      </c>
      <c r="F45" s="17" t="s">
        <v>272</v>
      </c>
      <c r="G45" s="17" t="s">
        <v>361</v>
      </c>
      <c r="H45" s="17" t="s">
        <v>73</v>
      </c>
      <c r="I45" s="17">
        <v>0</v>
      </c>
      <c r="J45" s="17" t="s">
        <v>53</v>
      </c>
      <c r="K45" s="17" t="s">
        <v>69</v>
      </c>
      <c r="M45" s="17" t="s">
        <v>169</v>
      </c>
      <c r="T45" s="17">
        <v>0</v>
      </c>
      <c r="U45" s="18">
        <v>0</v>
      </c>
      <c r="V45" s="17" t="s">
        <v>362</v>
      </c>
      <c r="X45" s="17" t="s">
        <v>79</v>
      </c>
      <c r="Y45" s="17" t="s">
        <v>159</v>
      </c>
      <c r="Z45" s="17" t="s">
        <v>168</v>
      </c>
      <c r="AA45" s="29">
        <v>779792.89539700001</v>
      </c>
      <c r="AB45" s="29">
        <v>2426070.7453100001</v>
      </c>
    </row>
    <row r="46" spans="1:28" x14ac:dyDescent="0.25">
      <c r="A46" s="30">
        <v>45</v>
      </c>
      <c r="B46" s="17">
        <v>468414</v>
      </c>
      <c r="C46" s="17" t="s">
        <v>254</v>
      </c>
      <c r="D46" s="17" t="s">
        <v>52</v>
      </c>
      <c r="E46" s="17" t="s">
        <v>314</v>
      </c>
      <c r="F46" s="17" t="s">
        <v>315</v>
      </c>
      <c r="G46" s="17" t="s">
        <v>316</v>
      </c>
      <c r="H46" s="17" t="s">
        <v>64</v>
      </c>
      <c r="I46" s="17">
        <v>20116</v>
      </c>
      <c r="J46" s="17" t="s">
        <v>53</v>
      </c>
      <c r="K46" s="17" t="s">
        <v>65</v>
      </c>
      <c r="L46" s="17" t="s">
        <v>70</v>
      </c>
      <c r="M46" s="17" t="s">
        <v>57</v>
      </c>
      <c r="N46" s="17" t="s">
        <v>70</v>
      </c>
      <c r="O46" s="17" t="s">
        <v>57</v>
      </c>
      <c r="P46" s="17" t="s">
        <v>70</v>
      </c>
      <c r="Q46" s="17" t="s">
        <v>57</v>
      </c>
      <c r="R46" s="17" t="s">
        <v>70</v>
      </c>
      <c r="S46" s="17" t="s">
        <v>57</v>
      </c>
      <c r="T46" s="17">
        <v>0</v>
      </c>
      <c r="U46" s="18">
        <v>0</v>
      </c>
      <c r="V46" s="17" t="s">
        <v>318</v>
      </c>
      <c r="W46" s="17" t="s">
        <v>319</v>
      </c>
      <c r="X46" s="17" t="s">
        <v>71</v>
      </c>
      <c r="Y46" s="17" t="s">
        <v>159</v>
      </c>
      <c r="Z46" s="17" t="s">
        <v>168</v>
      </c>
      <c r="AA46" s="29">
        <v>779846.45603300002</v>
      </c>
      <c r="AB46" s="29">
        <v>2429221.1744200001</v>
      </c>
    </row>
    <row r="47" spans="1:28" x14ac:dyDescent="0.25">
      <c r="A47" s="30">
        <v>46</v>
      </c>
      <c r="B47" s="17">
        <v>468412</v>
      </c>
      <c r="C47" s="17" t="s">
        <v>254</v>
      </c>
      <c r="D47" s="17" t="s">
        <v>52</v>
      </c>
      <c r="E47" s="17" t="s">
        <v>363</v>
      </c>
      <c r="F47" s="17" t="s">
        <v>256</v>
      </c>
      <c r="G47" s="17" t="s">
        <v>266</v>
      </c>
      <c r="H47" s="17" t="s">
        <v>64</v>
      </c>
      <c r="I47" s="17">
        <v>20290</v>
      </c>
      <c r="J47" s="17" t="s">
        <v>53</v>
      </c>
      <c r="K47" s="17" t="s">
        <v>54</v>
      </c>
      <c r="L47" s="17" t="s">
        <v>101</v>
      </c>
      <c r="M47" s="17" t="s">
        <v>140</v>
      </c>
      <c r="N47" s="17" t="s">
        <v>55</v>
      </c>
      <c r="O47" s="17" t="s">
        <v>137</v>
      </c>
      <c r="P47" s="17" t="s">
        <v>100</v>
      </c>
      <c r="Q47" s="17" t="s">
        <v>173</v>
      </c>
      <c r="R47" s="17" t="s">
        <v>55</v>
      </c>
      <c r="S47" s="17" t="s">
        <v>175</v>
      </c>
      <c r="T47" s="17">
        <v>2906</v>
      </c>
      <c r="U47" s="18">
        <v>0</v>
      </c>
      <c r="V47" s="17" t="s">
        <v>269</v>
      </c>
      <c r="W47" s="17" t="s">
        <v>270</v>
      </c>
      <c r="X47" s="17" t="s">
        <v>63</v>
      </c>
      <c r="Y47" s="17" t="s">
        <v>103</v>
      </c>
      <c r="Z47" s="17" t="s">
        <v>174</v>
      </c>
      <c r="AA47" s="29">
        <v>780043.59014600003</v>
      </c>
      <c r="AB47" s="29">
        <v>2417932.26449</v>
      </c>
    </row>
    <row r="48" spans="1:28" x14ac:dyDescent="0.25">
      <c r="A48" s="30">
        <v>47</v>
      </c>
      <c r="B48" s="17">
        <v>468412</v>
      </c>
      <c r="C48" s="17" t="s">
        <v>254</v>
      </c>
      <c r="D48" s="17" t="s">
        <v>52</v>
      </c>
      <c r="E48" s="17" t="s">
        <v>262</v>
      </c>
      <c r="F48" s="17" t="s">
        <v>256</v>
      </c>
      <c r="G48" s="17" t="s">
        <v>263</v>
      </c>
      <c r="H48" s="17" t="s">
        <v>64</v>
      </c>
      <c r="I48" s="17">
        <v>20280</v>
      </c>
      <c r="J48" s="17" t="s">
        <v>53</v>
      </c>
      <c r="K48" s="17" t="s">
        <v>54</v>
      </c>
      <c r="L48" s="17" t="s">
        <v>55</v>
      </c>
      <c r="M48" s="17" t="s">
        <v>102</v>
      </c>
      <c r="N48" s="17" t="s">
        <v>55</v>
      </c>
      <c r="O48" s="17" t="s">
        <v>135</v>
      </c>
      <c r="P48" s="17" t="s">
        <v>56</v>
      </c>
      <c r="Q48" s="17" t="s">
        <v>135</v>
      </c>
      <c r="R48" s="17" t="s">
        <v>70</v>
      </c>
      <c r="S48" s="17" t="s">
        <v>91</v>
      </c>
      <c r="T48" s="17">
        <v>0</v>
      </c>
      <c r="U48" s="18">
        <v>0</v>
      </c>
      <c r="V48" s="17" t="s">
        <v>291</v>
      </c>
      <c r="X48" s="17" t="s">
        <v>94</v>
      </c>
      <c r="Y48" s="17" t="s">
        <v>103</v>
      </c>
      <c r="Z48" s="17" t="s">
        <v>174</v>
      </c>
      <c r="AA48" s="29">
        <v>779746.83338299999</v>
      </c>
      <c r="AB48" s="29">
        <v>2415919.16659</v>
      </c>
    </row>
    <row r="49" spans="1:28" x14ac:dyDescent="0.25">
      <c r="A49" s="30">
        <v>48</v>
      </c>
      <c r="B49" s="17">
        <v>468414</v>
      </c>
      <c r="C49" s="17" t="s">
        <v>254</v>
      </c>
      <c r="D49" s="17" t="s">
        <v>52</v>
      </c>
      <c r="E49" s="17" t="s">
        <v>314</v>
      </c>
      <c r="F49" s="17" t="s">
        <v>315</v>
      </c>
      <c r="G49" s="17" t="s">
        <v>316</v>
      </c>
      <c r="H49" s="17" t="s">
        <v>64</v>
      </c>
      <c r="I49" s="17">
        <v>20280</v>
      </c>
      <c r="J49" s="17" t="s">
        <v>53</v>
      </c>
      <c r="K49" s="17" t="s">
        <v>65</v>
      </c>
      <c r="L49" s="17" t="s">
        <v>101</v>
      </c>
      <c r="M49" s="17" t="s">
        <v>228</v>
      </c>
      <c r="N49" s="17" t="s">
        <v>55</v>
      </c>
      <c r="O49" s="17" t="s">
        <v>137</v>
      </c>
      <c r="P49" s="17" t="s">
        <v>100</v>
      </c>
      <c r="Q49" s="17" t="s">
        <v>173</v>
      </c>
      <c r="R49" s="17" t="s">
        <v>55</v>
      </c>
      <c r="S49" s="17" t="s">
        <v>175</v>
      </c>
      <c r="T49" s="17">
        <v>2113</v>
      </c>
      <c r="U49" s="18">
        <v>0</v>
      </c>
      <c r="V49" s="17" t="s">
        <v>364</v>
      </c>
      <c r="W49" s="17" t="s">
        <v>365</v>
      </c>
      <c r="X49" s="17" t="s">
        <v>94</v>
      </c>
      <c r="Y49" s="17" t="s">
        <v>103</v>
      </c>
      <c r="Z49" s="17" t="s">
        <v>174</v>
      </c>
      <c r="AA49" s="29">
        <v>780220.04833599995</v>
      </c>
      <c r="AB49" s="29">
        <v>2416931.8146899999</v>
      </c>
    </row>
    <row r="50" spans="1:28" x14ac:dyDescent="0.25">
      <c r="A50" s="30">
        <v>49</v>
      </c>
      <c r="B50" s="17">
        <v>468412</v>
      </c>
      <c r="C50" s="17" t="s">
        <v>254</v>
      </c>
      <c r="D50" s="17" t="s">
        <v>52</v>
      </c>
      <c r="E50" s="17" t="s">
        <v>292</v>
      </c>
      <c r="F50" s="17" t="s">
        <v>256</v>
      </c>
      <c r="G50" s="17" t="s">
        <v>281</v>
      </c>
      <c r="H50" s="17" t="s">
        <v>176</v>
      </c>
      <c r="I50" s="17">
        <v>20290</v>
      </c>
      <c r="J50" s="17" t="s">
        <v>53</v>
      </c>
      <c r="K50" s="17" t="s">
        <v>54</v>
      </c>
      <c r="L50" s="17" t="s">
        <v>55</v>
      </c>
      <c r="M50" s="17" t="s">
        <v>105</v>
      </c>
      <c r="N50" s="17" t="s">
        <v>101</v>
      </c>
      <c r="O50" s="17" t="s">
        <v>230</v>
      </c>
      <c r="P50" s="17" t="s">
        <v>20</v>
      </c>
      <c r="Q50" s="17" t="s">
        <v>178</v>
      </c>
      <c r="R50" s="17" t="s">
        <v>20</v>
      </c>
      <c r="S50" s="17" t="s">
        <v>177</v>
      </c>
      <c r="T50" s="17">
        <v>1209</v>
      </c>
      <c r="U50" s="18">
        <v>0</v>
      </c>
      <c r="V50" s="17" t="s">
        <v>283</v>
      </c>
      <c r="W50" s="17" t="s">
        <v>284</v>
      </c>
      <c r="X50" s="17" t="s">
        <v>63</v>
      </c>
      <c r="Y50" s="17" t="s">
        <v>115</v>
      </c>
      <c r="Z50" s="17" t="s">
        <v>174</v>
      </c>
      <c r="AA50" s="29">
        <v>780208.83540600003</v>
      </c>
      <c r="AB50" s="29">
        <v>2418151.2747499999</v>
      </c>
    </row>
    <row r="51" spans="1:28" x14ac:dyDescent="0.25">
      <c r="A51" s="30">
        <v>50</v>
      </c>
      <c r="B51" s="17">
        <v>468412</v>
      </c>
      <c r="C51" s="17" t="s">
        <v>254</v>
      </c>
      <c r="D51" s="17" t="s">
        <v>52</v>
      </c>
      <c r="E51" s="17" t="s">
        <v>366</v>
      </c>
      <c r="F51" s="17" t="s">
        <v>256</v>
      </c>
      <c r="G51" s="17" t="s">
        <v>367</v>
      </c>
      <c r="H51" s="17" t="s">
        <v>57</v>
      </c>
      <c r="I51" s="17">
        <v>20340</v>
      </c>
      <c r="J51" s="17" t="s">
        <v>53</v>
      </c>
      <c r="K51" s="17" t="s">
        <v>89</v>
      </c>
      <c r="L51" s="17" t="s">
        <v>20</v>
      </c>
      <c r="M51" s="17" t="s">
        <v>368</v>
      </c>
      <c r="N51" s="17" t="s">
        <v>20</v>
      </c>
      <c r="P51" s="17" t="s">
        <v>20</v>
      </c>
      <c r="R51" s="17" t="s">
        <v>20</v>
      </c>
      <c r="T51" s="17">
        <v>0</v>
      </c>
      <c r="U51" s="18">
        <v>0</v>
      </c>
      <c r="X51" s="17" t="s">
        <v>63</v>
      </c>
      <c r="Y51" s="17" t="s">
        <v>115</v>
      </c>
      <c r="Z51" s="17" t="s">
        <v>174</v>
      </c>
      <c r="AA51" s="29">
        <v>783050.82758599997</v>
      </c>
      <c r="AB51" s="29">
        <v>2413054.0949800001</v>
      </c>
    </row>
    <row r="52" spans="1:28" x14ac:dyDescent="0.25">
      <c r="A52" s="30">
        <v>51</v>
      </c>
      <c r="B52" s="17">
        <v>468412</v>
      </c>
      <c r="C52" s="17" t="s">
        <v>254</v>
      </c>
      <c r="D52" s="17" t="s">
        <v>52</v>
      </c>
      <c r="E52" s="17" t="s">
        <v>369</v>
      </c>
      <c r="F52" s="17" t="s">
        <v>256</v>
      </c>
      <c r="G52" s="17" t="s">
        <v>266</v>
      </c>
      <c r="H52" s="17" t="s">
        <v>64</v>
      </c>
      <c r="I52" s="17">
        <v>20126</v>
      </c>
      <c r="J52" s="17" t="s">
        <v>53</v>
      </c>
      <c r="K52" s="17" t="s">
        <v>61</v>
      </c>
      <c r="L52" s="17" t="s">
        <v>55</v>
      </c>
      <c r="M52" s="17" t="s">
        <v>105</v>
      </c>
      <c r="N52" s="17" t="s">
        <v>20</v>
      </c>
      <c r="O52" s="17" t="s">
        <v>370</v>
      </c>
      <c r="P52" s="17" t="s">
        <v>20</v>
      </c>
      <c r="Q52" s="17" t="s">
        <v>241</v>
      </c>
      <c r="R52" s="17" t="s">
        <v>20</v>
      </c>
      <c r="S52" s="17" t="s">
        <v>371</v>
      </c>
      <c r="T52" s="17">
        <v>2101</v>
      </c>
      <c r="U52" s="18">
        <v>0</v>
      </c>
      <c r="V52" s="17" t="s">
        <v>269</v>
      </c>
      <c r="W52" s="17" t="s">
        <v>270</v>
      </c>
      <c r="X52" s="17" t="s">
        <v>94</v>
      </c>
      <c r="Y52" s="17" t="s">
        <v>159</v>
      </c>
      <c r="Z52" s="17" t="s">
        <v>179</v>
      </c>
      <c r="AA52" s="29">
        <v>782211.55697200005</v>
      </c>
      <c r="AB52" s="29">
        <v>2427513.42906</v>
      </c>
    </row>
    <row r="53" spans="1:28" x14ac:dyDescent="0.25">
      <c r="A53" s="30">
        <v>52</v>
      </c>
      <c r="B53" s="17">
        <v>468412</v>
      </c>
      <c r="C53" s="17" t="s">
        <v>254</v>
      </c>
      <c r="D53" s="17" t="s">
        <v>52</v>
      </c>
      <c r="E53" s="17" t="s">
        <v>372</v>
      </c>
      <c r="F53" s="17" t="s">
        <v>256</v>
      </c>
      <c r="G53" s="17" t="s">
        <v>266</v>
      </c>
      <c r="H53" s="17" t="s">
        <v>74</v>
      </c>
      <c r="I53" s="17">
        <v>20126</v>
      </c>
      <c r="J53" s="17" t="s">
        <v>53</v>
      </c>
      <c r="K53" s="17" t="s">
        <v>69</v>
      </c>
      <c r="L53" s="17" t="s">
        <v>55</v>
      </c>
      <c r="M53" s="17" t="s">
        <v>105</v>
      </c>
      <c r="N53" s="17" t="s">
        <v>20</v>
      </c>
      <c r="O53" s="17" t="s">
        <v>240</v>
      </c>
      <c r="P53" s="17" t="s">
        <v>20</v>
      </c>
      <c r="Q53" s="17" t="s">
        <v>373</v>
      </c>
      <c r="R53" s="17" t="s">
        <v>20</v>
      </c>
      <c r="S53" s="17" t="s">
        <v>374</v>
      </c>
      <c r="T53" s="17">
        <v>2600</v>
      </c>
      <c r="U53" s="18">
        <v>0</v>
      </c>
      <c r="V53" s="17" t="s">
        <v>269</v>
      </c>
      <c r="X53" s="17" t="s">
        <v>71</v>
      </c>
      <c r="Y53" s="17" t="s">
        <v>159</v>
      </c>
      <c r="Z53" s="17" t="s">
        <v>179</v>
      </c>
      <c r="AA53" s="29">
        <v>782656.72786600003</v>
      </c>
      <c r="AB53" s="29">
        <v>2427098.44594</v>
      </c>
    </row>
    <row r="54" spans="1:28" x14ac:dyDescent="0.25">
      <c r="A54" s="30">
        <v>53</v>
      </c>
      <c r="B54" s="17">
        <v>468413</v>
      </c>
      <c r="C54" s="17" t="s">
        <v>254</v>
      </c>
      <c r="D54" s="17" t="s">
        <v>52</v>
      </c>
      <c r="E54" s="17" t="s">
        <v>375</v>
      </c>
      <c r="F54" s="17" t="s">
        <v>272</v>
      </c>
      <c r="G54" s="17" t="s">
        <v>266</v>
      </c>
      <c r="H54" s="17" t="s">
        <v>74</v>
      </c>
      <c r="I54" s="17">
        <v>20126</v>
      </c>
      <c r="J54" s="17" t="s">
        <v>53</v>
      </c>
      <c r="K54" s="17" t="s">
        <v>54</v>
      </c>
      <c r="L54" s="17" t="s">
        <v>55</v>
      </c>
      <c r="M54" s="17" t="s">
        <v>105</v>
      </c>
      <c r="N54" s="17" t="s">
        <v>20</v>
      </c>
      <c r="O54" s="17" t="s">
        <v>241</v>
      </c>
      <c r="P54" s="17" t="s">
        <v>20</v>
      </c>
      <c r="Q54" s="17" t="s">
        <v>135</v>
      </c>
      <c r="R54" s="17" t="s">
        <v>20</v>
      </c>
      <c r="S54" s="17" t="s">
        <v>371</v>
      </c>
      <c r="T54" s="17">
        <v>0</v>
      </c>
      <c r="U54" s="18">
        <v>0</v>
      </c>
      <c r="V54" s="17" t="s">
        <v>269</v>
      </c>
      <c r="W54" s="17" t="s">
        <v>336</v>
      </c>
      <c r="X54" s="17" t="s">
        <v>58</v>
      </c>
      <c r="Y54" s="17" t="s">
        <v>159</v>
      </c>
      <c r="Z54" s="17" t="s">
        <v>179</v>
      </c>
      <c r="AA54" s="29">
        <v>782233.57908399997</v>
      </c>
      <c r="AB54" s="29">
        <v>2427485.5235600001</v>
      </c>
    </row>
    <row r="55" spans="1:28" x14ac:dyDescent="0.25">
      <c r="A55" s="30">
        <v>54</v>
      </c>
      <c r="B55" s="17">
        <v>468412</v>
      </c>
      <c r="C55" s="17" t="s">
        <v>254</v>
      </c>
      <c r="D55" s="17" t="s">
        <v>52</v>
      </c>
      <c r="E55" s="17" t="s">
        <v>262</v>
      </c>
      <c r="F55" s="17" t="s">
        <v>256</v>
      </c>
      <c r="G55" s="17" t="s">
        <v>263</v>
      </c>
      <c r="H55" s="17" t="s">
        <v>64</v>
      </c>
      <c r="I55" s="17">
        <v>20172</v>
      </c>
      <c r="J55" s="17" t="s">
        <v>53</v>
      </c>
      <c r="K55" s="17" t="s">
        <v>54</v>
      </c>
      <c r="L55" s="17" t="s">
        <v>101</v>
      </c>
      <c r="M55" s="17" t="s">
        <v>156</v>
      </c>
      <c r="N55" s="17" t="s">
        <v>20</v>
      </c>
      <c r="O55" s="17" t="s">
        <v>135</v>
      </c>
      <c r="P55" s="17" t="s">
        <v>56</v>
      </c>
      <c r="Q55" s="17" t="s">
        <v>135</v>
      </c>
      <c r="R55" s="17" t="s">
        <v>70</v>
      </c>
      <c r="S55" s="17" t="s">
        <v>91</v>
      </c>
      <c r="T55" s="17">
        <v>0</v>
      </c>
      <c r="U55" s="18">
        <v>0</v>
      </c>
      <c r="V55" s="17" t="s">
        <v>264</v>
      </c>
      <c r="X55" s="17" t="s">
        <v>94</v>
      </c>
      <c r="Y55" s="17" t="s">
        <v>154</v>
      </c>
      <c r="Z55" s="17" t="s">
        <v>179</v>
      </c>
      <c r="AA55" s="29">
        <v>784631.13611399999</v>
      </c>
      <c r="AB55" s="29">
        <v>2426325.64964</v>
      </c>
    </row>
    <row r="56" spans="1:28" x14ac:dyDescent="0.25">
      <c r="A56" s="30">
        <v>55</v>
      </c>
      <c r="B56" s="17">
        <v>468412</v>
      </c>
      <c r="C56" s="17" t="s">
        <v>254</v>
      </c>
      <c r="D56" s="17" t="s">
        <v>52</v>
      </c>
      <c r="E56" s="17" t="s">
        <v>275</v>
      </c>
      <c r="F56" s="17" t="s">
        <v>256</v>
      </c>
      <c r="G56" s="17" t="s">
        <v>276</v>
      </c>
      <c r="H56" s="17" t="s">
        <v>64</v>
      </c>
      <c r="I56" s="17">
        <v>20366</v>
      </c>
      <c r="J56" s="17" t="s">
        <v>53</v>
      </c>
      <c r="K56" s="17" t="s">
        <v>65</v>
      </c>
      <c r="L56" s="17" t="s">
        <v>20</v>
      </c>
      <c r="M56" s="17" t="s">
        <v>156</v>
      </c>
      <c r="O56" s="17" t="s">
        <v>57</v>
      </c>
      <c r="Q56" s="17" t="s">
        <v>57</v>
      </c>
      <c r="R56" s="17" t="s">
        <v>20</v>
      </c>
      <c r="S56" s="17" t="s">
        <v>163</v>
      </c>
      <c r="T56" s="17">
        <v>1501</v>
      </c>
      <c r="U56" s="18">
        <v>0</v>
      </c>
      <c r="V56" s="17" t="s">
        <v>279</v>
      </c>
      <c r="X56" s="17" t="s">
        <v>63</v>
      </c>
      <c r="Y56" s="17" t="s">
        <v>154</v>
      </c>
      <c r="Z56" s="17" t="s">
        <v>179</v>
      </c>
      <c r="AA56" s="29">
        <v>784797.80909200001</v>
      </c>
      <c r="AB56" s="29">
        <v>2426533.70107</v>
      </c>
    </row>
    <row r="57" spans="1:28" x14ac:dyDescent="0.25">
      <c r="A57" s="30">
        <v>56</v>
      </c>
      <c r="B57" s="17">
        <v>468412</v>
      </c>
      <c r="C57" s="17" t="s">
        <v>254</v>
      </c>
      <c r="D57" s="17" t="s">
        <v>52</v>
      </c>
      <c r="E57" s="17" t="s">
        <v>376</v>
      </c>
      <c r="F57" s="17" t="s">
        <v>256</v>
      </c>
      <c r="G57" s="17" t="s">
        <v>263</v>
      </c>
      <c r="H57" s="17" t="s">
        <v>64</v>
      </c>
      <c r="I57" s="17">
        <v>20126</v>
      </c>
      <c r="J57" s="17" t="s">
        <v>53</v>
      </c>
      <c r="K57" s="17" t="s">
        <v>54</v>
      </c>
      <c r="L57" s="17" t="s">
        <v>20</v>
      </c>
      <c r="M57" s="17" t="s">
        <v>180</v>
      </c>
      <c r="N57" s="17" t="s">
        <v>20</v>
      </c>
      <c r="O57" s="17" t="s">
        <v>377</v>
      </c>
      <c r="P57" s="17" t="s">
        <v>55</v>
      </c>
      <c r="Q57" s="17" t="s">
        <v>378</v>
      </c>
      <c r="R57" s="17" t="s">
        <v>20</v>
      </c>
      <c r="S57" s="17" t="s">
        <v>379</v>
      </c>
      <c r="T57" s="17">
        <v>0</v>
      </c>
      <c r="U57" s="18">
        <v>0</v>
      </c>
      <c r="V57" s="17" t="s">
        <v>303</v>
      </c>
      <c r="X57" s="17" t="s">
        <v>71</v>
      </c>
      <c r="Y57" s="17" t="s">
        <v>154</v>
      </c>
      <c r="Z57" s="17" t="s">
        <v>179</v>
      </c>
      <c r="AA57" s="29">
        <v>782933.43328</v>
      </c>
      <c r="AB57" s="29">
        <v>2427757.82125</v>
      </c>
    </row>
    <row r="58" spans="1:28" x14ac:dyDescent="0.25">
      <c r="A58" s="30">
        <v>57</v>
      </c>
      <c r="B58" s="17">
        <v>468412</v>
      </c>
      <c r="C58" s="17" t="s">
        <v>254</v>
      </c>
      <c r="D58" s="17" t="s">
        <v>52</v>
      </c>
      <c r="E58" s="17" t="s">
        <v>380</v>
      </c>
      <c r="F58" s="17" t="s">
        <v>256</v>
      </c>
      <c r="G58" s="17" t="s">
        <v>266</v>
      </c>
      <c r="H58" s="17" t="s">
        <v>74</v>
      </c>
      <c r="I58" s="17">
        <v>20179</v>
      </c>
      <c r="J58" s="17" t="s">
        <v>53</v>
      </c>
      <c r="K58" s="17" t="s">
        <v>54</v>
      </c>
      <c r="L58" s="17" t="s">
        <v>101</v>
      </c>
      <c r="M58" s="17" t="s">
        <v>156</v>
      </c>
      <c r="N58" s="17" t="s">
        <v>20</v>
      </c>
      <c r="O58" s="17" t="s">
        <v>135</v>
      </c>
      <c r="P58" s="17" t="s">
        <v>20</v>
      </c>
      <c r="Q58" s="17" t="s">
        <v>135</v>
      </c>
      <c r="R58" s="17" t="s">
        <v>70</v>
      </c>
      <c r="S58" s="17" t="s">
        <v>91</v>
      </c>
      <c r="T58" s="17">
        <v>0</v>
      </c>
      <c r="U58" s="18">
        <v>0</v>
      </c>
      <c r="V58" s="17" t="s">
        <v>269</v>
      </c>
      <c r="W58" s="17" t="s">
        <v>270</v>
      </c>
      <c r="X58" s="17" t="s">
        <v>93</v>
      </c>
      <c r="Y58" s="17" t="s">
        <v>154</v>
      </c>
      <c r="Z58" s="17" t="s">
        <v>179</v>
      </c>
      <c r="AA58" s="29">
        <v>784631.45212999999</v>
      </c>
      <c r="AB58" s="29">
        <v>2426326.0742000001</v>
      </c>
    </row>
    <row r="59" spans="1:28" x14ac:dyDescent="0.25">
      <c r="A59" s="30">
        <v>58</v>
      </c>
      <c r="B59" s="17">
        <v>468412</v>
      </c>
      <c r="C59" s="17" t="s">
        <v>254</v>
      </c>
      <c r="D59" s="17" t="s">
        <v>52</v>
      </c>
      <c r="E59" s="17" t="s">
        <v>292</v>
      </c>
      <c r="F59" s="17" t="s">
        <v>256</v>
      </c>
      <c r="G59" s="17" t="s">
        <v>281</v>
      </c>
      <c r="H59" s="17" t="s">
        <v>64</v>
      </c>
      <c r="I59" s="17">
        <v>20341</v>
      </c>
      <c r="J59" s="17" t="s">
        <v>53</v>
      </c>
      <c r="K59" s="17" t="s">
        <v>54</v>
      </c>
      <c r="L59" s="17" t="s">
        <v>55</v>
      </c>
      <c r="M59" s="17" t="s">
        <v>183</v>
      </c>
      <c r="N59" s="17" t="s">
        <v>20</v>
      </c>
      <c r="O59" s="17" t="s">
        <v>243</v>
      </c>
      <c r="P59" s="17" t="s">
        <v>56</v>
      </c>
      <c r="Q59" s="17" t="s">
        <v>244</v>
      </c>
      <c r="R59" s="17" t="s">
        <v>20</v>
      </c>
      <c r="S59" s="17" t="s">
        <v>381</v>
      </c>
      <c r="T59" s="17">
        <v>517</v>
      </c>
      <c r="U59" s="18">
        <v>0</v>
      </c>
      <c r="V59" s="17" t="s">
        <v>283</v>
      </c>
      <c r="W59" s="17" t="s">
        <v>284</v>
      </c>
      <c r="X59" s="17" t="s">
        <v>63</v>
      </c>
      <c r="Y59" s="17" t="s">
        <v>144</v>
      </c>
      <c r="Z59" s="17" t="s">
        <v>181</v>
      </c>
      <c r="AA59" s="29">
        <v>785527.91882000002</v>
      </c>
      <c r="AB59" s="29">
        <v>2420459.4286199999</v>
      </c>
    </row>
    <row r="60" spans="1:28" x14ac:dyDescent="0.25">
      <c r="A60" s="30">
        <v>59</v>
      </c>
      <c r="B60" s="17">
        <v>468412</v>
      </c>
      <c r="C60" s="17" t="s">
        <v>254</v>
      </c>
      <c r="D60" s="17" t="s">
        <v>52</v>
      </c>
      <c r="E60" s="17" t="s">
        <v>360</v>
      </c>
      <c r="F60" s="17" t="s">
        <v>256</v>
      </c>
      <c r="G60" s="17" t="s">
        <v>358</v>
      </c>
      <c r="H60" s="17" t="s">
        <v>74</v>
      </c>
      <c r="I60" s="17">
        <v>0</v>
      </c>
      <c r="J60" s="17" t="s">
        <v>53</v>
      </c>
      <c r="K60" s="17" t="s">
        <v>54</v>
      </c>
      <c r="L60" s="17" t="s">
        <v>101</v>
      </c>
      <c r="M60" s="17" t="s">
        <v>382</v>
      </c>
      <c r="T60" s="17">
        <v>1243</v>
      </c>
      <c r="U60" s="18">
        <v>0</v>
      </c>
      <c r="V60" s="17" t="s">
        <v>359</v>
      </c>
      <c r="X60" s="17" t="s">
        <v>90</v>
      </c>
      <c r="Y60" s="17" t="s">
        <v>144</v>
      </c>
      <c r="Z60" s="17" t="s">
        <v>181</v>
      </c>
      <c r="AA60" s="29">
        <v>785490.38856800005</v>
      </c>
      <c r="AB60" s="29">
        <v>2420542.9204000002</v>
      </c>
    </row>
    <row r="61" spans="1:28" x14ac:dyDescent="0.25">
      <c r="A61" s="30">
        <v>60</v>
      </c>
      <c r="B61" s="17">
        <v>468413</v>
      </c>
      <c r="C61" s="17" t="s">
        <v>254</v>
      </c>
      <c r="D61" s="17" t="s">
        <v>52</v>
      </c>
      <c r="E61" s="17" t="s">
        <v>360</v>
      </c>
      <c r="F61" s="17" t="s">
        <v>272</v>
      </c>
      <c r="G61" s="17" t="s">
        <v>361</v>
      </c>
      <c r="H61" s="17" t="s">
        <v>73</v>
      </c>
      <c r="I61" s="17">
        <v>0</v>
      </c>
      <c r="J61" s="17" t="s">
        <v>53</v>
      </c>
      <c r="K61" s="17" t="s">
        <v>54</v>
      </c>
      <c r="M61" s="17" t="s">
        <v>167</v>
      </c>
      <c r="T61" s="17">
        <v>1243</v>
      </c>
      <c r="U61" s="18">
        <v>0</v>
      </c>
      <c r="X61" s="17" t="s">
        <v>79</v>
      </c>
      <c r="Y61" s="17" t="s">
        <v>144</v>
      </c>
      <c r="Z61" s="17" t="s">
        <v>181</v>
      </c>
      <c r="AA61" s="29">
        <v>785645.05891000002</v>
      </c>
      <c r="AB61" s="29">
        <v>2420467.45511</v>
      </c>
    </row>
    <row r="62" spans="1:28" x14ac:dyDescent="0.25">
      <c r="A62" s="30">
        <v>61</v>
      </c>
      <c r="B62" s="17">
        <v>468412</v>
      </c>
      <c r="C62" s="17" t="s">
        <v>254</v>
      </c>
      <c r="D62" s="17" t="s">
        <v>52</v>
      </c>
      <c r="E62" s="17" t="s">
        <v>383</v>
      </c>
      <c r="F62" s="17" t="s">
        <v>256</v>
      </c>
      <c r="G62" s="17" t="s">
        <v>266</v>
      </c>
      <c r="H62" s="17" t="s">
        <v>77</v>
      </c>
      <c r="I62" s="17">
        <v>20298</v>
      </c>
      <c r="J62" s="17" t="s">
        <v>53</v>
      </c>
      <c r="K62" s="17" t="s">
        <v>54</v>
      </c>
      <c r="L62" s="17" t="s">
        <v>70</v>
      </c>
      <c r="M62" s="17" t="s">
        <v>57</v>
      </c>
      <c r="N62" s="17" t="s">
        <v>70</v>
      </c>
      <c r="O62" s="17" t="s">
        <v>57</v>
      </c>
      <c r="P62" s="17" t="s">
        <v>70</v>
      </c>
      <c r="Q62" s="17" t="s">
        <v>57</v>
      </c>
      <c r="R62" s="17" t="s">
        <v>70</v>
      </c>
      <c r="S62" s="17" t="s">
        <v>57</v>
      </c>
      <c r="T62" s="17">
        <v>0</v>
      </c>
      <c r="U62" s="18">
        <v>0</v>
      </c>
      <c r="V62" s="17" t="s">
        <v>269</v>
      </c>
      <c r="X62" s="17" t="s">
        <v>58</v>
      </c>
      <c r="Y62" s="17" t="s">
        <v>115</v>
      </c>
      <c r="Z62" s="17" t="s">
        <v>181</v>
      </c>
      <c r="AA62" s="29">
        <v>782606.910255</v>
      </c>
      <c r="AB62" s="29">
        <v>2415643.8058600002</v>
      </c>
    </row>
    <row r="63" spans="1:28" x14ac:dyDescent="0.25">
      <c r="A63" s="30">
        <v>62</v>
      </c>
      <c r="B63" s="17">
        <v>468412</v>
      </c>
      <c r="C63" s="17" t="s">
        <v>254</v>
      </c>
      <c r="D63" s="17" t="s">
        <v>52</v>
      </c>
      <c r="E63" s="17" t="s">
        <v>384</v>
      </c>
      <c r="F63" s="17" t="s">
        <v>256</v>
      </c>
      <c r="G63" s="17" t="s">
        <v>263</v>
      </c>
      <c r="H63" s="17" t="s">
        <v>64</v>
      </c>
      <c r="I63" s="17">
        <v>20298</v>
      </c>
      <c r="J63" s="17" t="s">
        <v>53</v>
      </c>
      <c r="K63" s="17" t="s">
        <v>54</v>
      </c>
      <c r="L63" s="17" t="s">
        <v>70</v>
      </c>
      <c r="M63" s="17" t="s">
        <v>57</v>
      </c>
      <c r="N63" s="17" t="s">
        <v>70</v>
      </c>
      <c r="O63" s="17" t="s">
        <v>57</v>
      </c>
      <c r="P63" s="17" t="s">
        <v>70</v>
      </c>
      <c r="Q63" s="17" t="s">
        <v>57</v>
      </c>
      <c r="R63" s="17" t="s">
        <v>70</v>
      </c>
      <c r="S63" s="17" t="s">
        <v>57</v>
      </c>
      <c r="T63" s="17">
        <v>857</v>
      </c>
      <c r="U63" s="18">
        <v>0</v>
      </c>
      <c r="V63" s="17" t="s">
        <v>291</v>
      </c>
      <c r="X63" s="17" t="s">
        <v>71</v>
      </c>
      <c r="Y63" s="17" t="s">
        <v>115</v>
      </c>
      <c r="Z63" s="17" t="s">
        <v>184</v>
      </c>
      <c r="AA63" s="29">
        <v>782825.64184399997</v>
      </c>
      <c r="AB63" s="29">
        <v>2418061.7083700001</v>
      </c>
    </row>
    <row r="64" spans="1:28" x14ac:dyDescent="0.25">
      <c r="A64" s="30">
        <v>63</v>
      </c>
      <c r="B64" s="17">
        <v>468412</v>
      </c>
      <c r="C64" s="17" t="s">
        <v>254</v>
      </c>
      <c r="D64" s="17" t="s">
        <v>52</v>
      </c>
      <c r="E64" s="17" t="s">
        <v>385</v>
      </c>
      <c r="F64" s="17" t="s">
        <v>256</v>
      </c>
      <c r="G64" s="17" t="s">
        <v>386</v>
      </c>
      <c r="H64" s="17" t="s">
        <v>152</v>
      </c>
      <c r="I64" s="17">
        <v>20196</v>
      </c>
      <c r="J64" s="17" t="s">
        <v>53</v>
      </c>
      <c r="K64" s="17" t="s">
        <v>65</v>
      </c>
      <c r="L64" s="17" t="s">
        <v>55</v>
      </c>
      <c r="M64" s="17" t="s">
        <v>105</v>
      </c>
      <c r="N64" s="17" t="s">
        <v>20</v>
      </c>
      <c r="O64" s="17" t="s">
        <v>146</v>
      </c>
      <c r="P64" s="17" t="s">
        <v>55</v>
      </c>
      <c r="Q64" s="17" t="s">
        <v>148</v>
      </c>
      <c r="R64" s="17" t="s">
        <v>55</v>
      </c>
      <c r="S64" s="17" t="s">
        <v>105</v>
      </c>
      <c r="T64" s="17">
        <v>6106</v>
      </c>
      <c r="U64" s="18">
        <v>0</v>
      </c>
      <c r="V64" s="17" t="s">
        <v>387</v>
      </c>
      <c r="W64" s="17" t="s">
        <v>388</v>
      </c>
      <c r="X64" s="17" t="s">
        <v>58</v>
      </c>
      <c r="Y64" s="17" t="s">
        <v>153</v>
      </c>
      <c r="Z64" s="17" t="s">
        <v>184</v>
      </c>
      <c r="AA64" s="29">
        <v>784707.75716599997</v>
      </c>
      <c r="AB64" s="29">
        <v>2421093.1945400001</v>
      </c>
    </row>
    <row r="65" spans="1:28" x14ac:dyDescent="0.25">
      <c r="A65" s="30">
        <v>64</v>
      </c>
      <c r="B65" s="17">
        <v>468412</v>
      </c>
      <c r="C65" s="17" t="s">
        <v>254</v>
      </c>
      <c r="D65" s="17" t="s">
        <v>52</v>
      </c>
      <c r="E65" s="17" t="s">
        <v>389</v>
      </c>
      <c r="F65" s="17" t="s">
        <v>256</v>
      </c>
      <c r="G65" s="17" t="s">
        <v>266</v>
      </c>
      <c r="H65" s="17" t="s">
        <v>74</v>
      </c>
      <c r="I65" s="17">
        <v>20263</v>
      </c>
      <c r="J65" s="17" t="s">
        <v>53</v>
      </c>
      <c r="K65" s="17" t="s">
        <v>54</v>
      </c>
      <c r="L65" s="17" t="s">
        <v>20</v>
      </c>
      <c r="M65" s="17" t="s">
        <v>182</v>
      </c>
      <c r="N65" s="17" t="s">
        <v>20</v>
      </c>
      <c r="O65" s="17" t="s">
        <v>390</v>
      </c>
      <c r="P65" s="17" t="s">
        <v>55</v>
      </c>
      <c r="Q65" s="17" t="s">
        <v>391</v>
      </c>
      <c r="R65" s="17" t="s">
        <v>20</v>
      </c>
      <c r="S65" s="17" t="s">
        <v>139</v>
      </c>
      <c r="T65" s="17">
        <v>247</v>
      </c>
      <c r="U65" s="18">
        <v>0</v>
      </c>
      <c r="V65" s="17" t="s">
        <v>269</v>
      </c>
      <c r="W65" s="17" t="s">
        <v>270</v>
      </c>
      <c r="X65" s="17" t="s">
        <v>58</v>
      </c>
      <c r="Y65" s="17" t="s">
        <v>153</v>
      </c>
      <c r="Z65" s="17" t="s">
        <v>184</v>
      </c>
      <c r="AA65" s="29">
        <v>784519.48155000003</v>
      </c>
      <c r="AB65" s="29">
        <v>2419642.5282200002</v>
      </c>
    </row>
    <row r="66" spans="1:28" x14ac:dyDescent="0.25">
      <c r="A66" s="30">
        <v>65</v>
      </c>
      <c r="B66" s="17">
        <v>468412</v>
      </c>
      <c r="C66" s="17" t="s">
        <v>254</v>
      </c>
      <c r="D66" s="17" t="s">
        <v>52</v>
      </c>
      <c r="E66" s="17" t="s">
        <v>392</v>
      </c>
      <c r="F66" s="17" t="s">
        <v>256</v>
      </c>
      <c r="G66" s="17" t="s">
        <v>266</v>
      </c>
      <c r="H66" s="17" t="s">
        <v>74</v>
      </c>
      <c r="I66" s="17">
        <v>20190</v>
      </c>
      <c r="J66" s="17" t="s">
        <v>53</v>
      </c>
      <c r="K66" s="17" t="s">
        <v>54</v>
      </c>
      <c r="L66" s="17" t="s">
        <v>55</v>
      </c>
      <c r="M66" s="17" t="s">
        <v>105</v>
      </c>
      <c r="N66" s="17" t="s">
        <v>20</v>
      </c>
      <c r="O66" s="17" t="s">
        <v>247</v>
      </c>
      <c r="P66" s="17" t="s">
        <v>20</v>
      </c>
      <c r="Q66" s="17" t="s">
        <v>393</v>
      </c>
      <c r="R66" s="17" t="s">
        <v>20</v>
      </c>
      <c r="S66" s="17" t="s">
        <v>248</v>
      </c>
      <c r="T66" s="17">
        <v>5047</v>
      </c>
      <c r="U66" s="18">
        <v>0</v>
      </c>
      <c r="V66" s="17" t="s">
        <v>269</v>
      </c>
      <c r="W66" s="17" t="s">
        <v>270</v>
      </c>
      <c r="X66" s="17" t="s">
        <v>58</v>
      </c>
      <c r="Y66" s="17" t="s">
        <v>153</v>
      </c>
      <c r="Z66" s="17" t="s">
        <v>184</v>
      </c>
      <c r="AA66" s="29">
        <v>783863.95049700001</v>
      </c>
      <c r="AB66" s="29">
        <v>2423219.64812</v>
      </c>
    </row>
    <row r="67" spans="1:28" x14ac:dyDescent="0.25">
      <c r="A67" s="30">
        <v>66</v>
      </c>
      <c r="B67" s="17">
        <v>468412</v>
      </c>
      <c r="C67" s="17" t="s">
        <v>254</v>
      </c>
      <c r="D67" s="17" t="s">
        <v>52</v>
      </c>
      <c r="E67" s="17" t="s">
        <v>394</v>
      </c>
      <c r="F67" s="17" t="s">
        <v>256</v>
      </c>
      <c r="G67" s="17" t="s">
        <v>266</v>
      </c>
      <c r="H67" s="17" t="s">
        <v>74</v>
      </c>
      <c r="I67" s="17">
        <v>20190</v>
      </c>
      <c r="J67" s="17" t="s">
        <v>53</v>
      </c>
      <c r="K67" s="17" t="s">
        <v>54</v>
      </c>
      <c r="L67" s="17" t="s">
        <v>55</v>
      </c>
      <c r="M67" s="17" t="s">
        <v>105</v>
      </c>
      <c r="N67" s="17" t="s">
        <v>20</v>
      </c>
      <c r="O67" s="17" t="s">
        <v>235</v>
      </c>
      <c r="P67" s="17" t="s">
        <v>20</v>
      </c>
      <c r="Q67" s="17" t="s">
        <v>245</v>
      </c>
      <c r="R67" s="17" t="s">
        <v>20</v>
      </c>
      <c r="S67" s="17" t="s">
        <v>211</v>
      </c>
      <c r="T67" s="17">
        <v>5047</v>
      </c>
      <c r="U67" s="18">
        <v>0</v>
      </c>
      <c r="W67" s="17" t="s">
        <v>336</v>
      </c>
      <c r="X67" s="17" t="s">
        <v>58</v>
      </c>
      <c r="Y67" s="17" t="s">
        <v>153</v>
      </c>
      <c r="Z67" s="17" t="s">
        <v>184</v>
      </c>
      <c r="AA67" s="29">
        <v>783866.16610000003</v>
      </c>
      <c r="AB67" s="29">
        <v>2423214.7144999998</v>
      </c>
    </row>
    <row r="68" spans="1:28" x14ac:dyDescent="0.25">
      <c r="A68" s="30">
        <v>67</v>
      </c>
      <c r="B68" s="17">
        <v>468412</v>
      </c>
      <c r="C68" s="17" t="s">
        <v>254</v>
      </c>
      <c r="D68" s="17" t="s">
        <v>52</v>
      </c>
      <c r="E68" s="17" t="s">
        <v>395</v>
      </c>
      <c r="F68" s="17" t="s">
        <v>256</v>
      </c>
      <c r="G68" s="17" t="s">
        <v>396</v>
      </c>
      <c r="H68" s="17" t="s">
        <v>74</v>
      </c>
      <c r="I68" s="17">
        <v>20299</v>
      </c>
      <c r="J68" s="17" t="s">
        <v>53</v>
      </c>
      <c r="K68" s="17" t="s">
        <v>65</v>
      </c>
      <c r="L68" s="17" t="s">
        <v>56</v>
      </c>
      <c r="M68" s="17" t="s">
        <v>242</v>
      </c>
      <c r="O68" s="17" t="s">
        <v>242</v>
      </c>
      <c r="P68" s="17" t="s">
        <v>55</v>
      </c>
      <c r="Q68" s="17" t="s">
        <v>185</v>
      </c>
      <c r="R68" s="17" t="s">
        <v>56</v>
      </c>
      <c r="S68" s="17" t="s">
        <v>397</v>
      </c>
      <c r="T68" s="17">
        <v>200</v>
      </c>
      <c r="U68" s="18">
        <v>4491960786</v>
      </c>
      <c r="V68" s="17" t="s">
        <v>398</v>
      </c>
      <c r="X68" s="17" t="s">
        <v>58</v>
      </c>
      <c r="Y68" s="17" t="s">
        <v>153</v>
      </c>
      <c r="Z68" s="17" t="s">
        <v>184</v>
      </c>
      <c r="AA68" s="29">
        <v>784970.40957599995</v>
      </c>
      <c r="AB68" s="29">
        <v>2419248.34619</v>
      </c>
    </row>
    <row r="69" spans="1:28" x14ac:dyDescent="0.25">
      <c r="A69" s="30">
        <v>68</v>
      </c>
      <c r="B69" s="17">
        <v>468412</v>
      </c>
      <c r="C69" s="17" t="s">
        <v>254</v>
      </c>
      <c r="D69" s="17" t="s">
        <v>52</v>
      </c>
      <c r="E69" s="17" t="s">
        <v>399</v>
      </c>
      <c r="F69" s="17" t="s">
        <v>256</v>
      </c>
      <c r="G69" s="17" t="s">
        <v>266</v>
      </c>
      <c r="H69" s="17" t="s">
        <v>64</v>
      </c>
      <c r="I69" s="17">
        <v>20326</v>
      </c>
      <c r="J69" s="17" t="s">
        <v>53</v>
      </c>
      <c r="K69" s="17" t="s">
        <v>54</v>
      </c>
      <c r="L69" s="17" t="s">
        <v>70</v>
      </c>
      <c r="M69" s="17" t="s">
        <v>57</v>
      </c>
      <c r="N69" s="17" t="s">
        <v>70</v>
      </c>
      <c r="O69" s="17" t="s">
        <v>57</v>
      </c>
      <c r="P69" s="17" t="s">
        <v>70</v>
      </c>
      <c r="Q69" s="17" t="s">
        <v>57</v>
      </c>
      <c r="R69" s="17" t="s">
        <v>70</v>
      </c>
      <c r="S69" s="17" t="s">
        <v>57</v>
      </c>
      <c r="T69" s="17">
        <v>504</v>
      </c>
      <c r="U69" s="18">
        <v>0</v>
      </c>
      <c r="V69" s="17" t="s">
        <v>269</v>
      </c>
      <c r="W69" s="17" t="s">
        <v>270</v>
      </c>
      <c r="X69" s="17" t="s">
        <v>58</v>
      </c>
      <c r="Y69" s="17" t="s">
        <v>117</v>
      </c>
      <c r="Z69" s="17" t="s">
        <v>186</v>
      </c>
      <c r="AA69" s="29">
        <v>774600.31137100002</v>
      </c>
      <c r="AB69" s="29">
        <v>2423324.6555599999</v>
      </c>
    </row>
    <row r="70" spans="1:28" x14ac:dyDescent="0.25">
      <c r="A70" s="30">
        <v>69</v>
      </c>
      <c r="B70" s="17">
        <v>468412</v>
      </c>
      <c r="C70" s="17" t="s">
        <v>254</v>
      </c>
      <c r="D70" s="17" t="s">
        <v>52</v>
      </c>
      <c r="E70" s="17" t="s">
        <v>262</v>
      </c>
      <c r="F70" s="17" t="s">
        <v>256</v>
      </c>
      <c r="G70" s="17" t="s">
        <v>263</v>
      </c>
      <c r="H70" s="17" t="s">
        <v>64</v>
      </c>
      <c r="I70" s="17">
        <v>20326</v>
      </c>
      <c r="J70" s="17" t="s">
        <v>53</v>
      </c>
      <c r="K70" s="17" t="s">
        <v>54</v>
      </c>
      <c r="L70" s="17" t="s">
        <v>70</v>
      </c>
      <c r="M70" s="17" t="s">
        <v>57</v>
      </c>
      <c r="N70" s="17" t="s">
        <v>70</v>
      </c>
      <c r="O70" s="17" t="s">
        <v>57</v>
      </c>
      <c r="P70" s="17" t="s">
        <v>70</v>
      </c>
      <c r="Q70" s="17" t="s">
        <v>57</v>
      </c>
      <c r="R70" s="17" t="s">
        <v>70</v>
      </c>
      <c r="S70" s="17" t="s">
        <v>57</v>
      </c>
      <c r="T70" s="17">
        <v>0</v>
      </c>
      <c r="U70" s="18">
        <v>0</v>
      </c>
      <c r="V70" s="17" t="s">
        <v>264</v>
      </c>
      <c r="X70" s="17" t="s">
        <v>94</v>
      </c>
      <c r="Y70" s="17" t="s">
        <v>117</v>
      </c>
      <c r="Z70" s="17" t="s">
        <v>186</v>
      </c>
      <c r="AA70" s="29">
        <v>775038.99545699998</v>
      </c>
      <c r="AB70" s="29">
        <v>2423137.87634</v>
      </c>
    </row>
    <row r="71" spans="1:28" x14ac:dyDescent="0.25">
      <c r="A71" s="30">
        <v>70</v>
      </c>
      <c r="B71" s="17">
        <v>468412</v>
      </c>
      <c r="C71" s="17" t="s">
        <v>254</v>
      </c>
      <c r="D71" s="17" t="s">
        <v>52</v>
      </c>
      <c r="E71" s="17" t="s">
        <v>400</v>
      </c>
      <c r="F71" s="17" t="s">
        <v>256</v>
      </c>
      <c r="G71" s="17" t="s">
        <v>266</v>
      </c>
      <c r="H71" s="17" t="s">
        <v>64</v>
      </c>
      <c r="I71" s="17">
        <v>20310</v>
      </c>
      <c r="J71" s="17" t="s">
        <v>53</v>
      </c>
      <c r="K71" s="17" t="s">
        <v>69</v>
      </c>
      <c r="L71" s="17" t="s">
        <v>70</v>
      </c>
      <c r="M71" s="17" t="s">
        <v>57</v>
      </c>
      <c r="N71" s="17" t="s">
        <v>70</v>
      </c>
      <c r="O71" s="17" t="s">
        <v>57</v>
      </c>
      <c r="P71" s="17" t="s">
        <v>70</v>
      </c>
      <c r="Q71" s="17" t="s">
        <v>57</v>
      </c>
      <c r="R71" s="17" t="s">
        <v>70</v>
      </c>
      <c r="S71" s="17" t="s">
        <v>57</v>
      </c>
      <c r="T71" s="17">
        <v>600</v>
      </c>
      <c r="U71" s="18">
        <v>0</v>
      </c>
      <c r="V71" s="17" t="s">
        <v>269</v>
      </c>
      <c r="X71" s="17" t="s">
        <v>71</v>
      </c>
      <c r="Y71" s="17" t="s">
        <v>117</v>
      </c>
      <c r="Z71" s="17" t="s">
        <v>187</v>
      </c>
      <c r="AA71" s="29">
        <v>775059.67666700005</v>
      </c>
      <c r="AB71" s="29">
        <v>2421048.7559400001</v>
      </c>
    </row>
    <row r="72" spans="1:28" x14ac:dyDescent="0.25">
      <c r="A72" s="30">
        <v>71</v>
      </c>
      <c r="B72" s="17">
        <v>468412</v>
      </c>
      <c r="C72" s="17" t="s">
        <v>254</v>
      </c>
      <c r="D72" s="17" t="s">
        <v>52</v>
      </c>
      <c r="E72" s="17" t="s">
        <v>275</v>
      </c>
      <c r="F72" s="17" t="s">
        <v>256</v>
      </c>
      <c r="G72" s="17" t="s">
        <v>276</v>
      </c>
      <c r="H72" s="17" t="s">
        <v>116</v>
      </c>
      <c r="I72" s="17">
        <v>20326</v>
      </c>
      <c r="J72" s="17" t="s">
        <v>53</v>
      </c>
      <c r="K72" s="17" t="s">
        <v>65</v>
      </c>
      <c r="L72" s="17" t="s">
        <v>101</v>
      </c>
      <c r="M72" s="17" t="s">
        <v>212</v>
      </c>
      <c r="N72" s="17" t="s">
        <v>20</v>
      </c>
      <c r="O72" s="17" t="s">
        <v>57</v>
      </c>
      <c r="P72" s="17" t="s">
        <v>20</v>
      </c>
      <c r="Q72" s="17" t="s">
        <v>188</v>
      </c>
      <c r="R72" s="17" t="s">
        <v>20</v>
      </c>
      <c r="S72" s="17" t="s">
        <v>57</v>
      </c>
      <c r="T72" s="17">
        <v>0</v>
      </c>
      <c r="U72" s="18">
        <v>0</v>
      </c>
      <c r="V72" s="17" t="s">
        <v>279</v>
      </c>
      <c r="X72" s="17" t="s">
        <v>63</v>
      </c>
      <c r="Y72" s="17" t="s">
        <v>117</v>
      </c>
      <c r="Z72" s="17" t="s">
        <v>187</v>
      </c>
      <c r="AA72" s="29">
        <v>775086.40015799995</v>
      </c>
      <c r="AB72" s="29">
        <v>2421344.8805</v>
      </c>
    </row>
    <row r="73" spans="1:28" x14ac:dyDescent="0.25">
      <c r="A73" s="30">
        <v>72</v>
      </c>
      <c r="B73" s="17">
        <v>468412</v>
      </c>
      <c r="C73" s="17" t="s">
        <v>254</v>
      </c>
      <c r="D73" s="17" t="s">
        <v>52</v>
      </c>
      <c r="E73" s="17" t="s">
        <v>262</v>
      </c>
      <c r="F73" s="17" t="s">
        <v>256</v>
      </c>
      <c r="G73" s="17" t="s">
        <v>263</v>
      </c>
      <c r="H73" s="17" t="s">
        <v>77</v>
      </c>
      <c r="I73" s="17">
        <v>20310</v>
      </c>
      <c r="J73" s="17" t="s">
        <v>53</v>
      </c>
      <c r="K73" s="17" t="s">
        <v>84</v>
      </c>
      <c r="L73" s="17" t="s">
        <v>20</v>
      </c>
      <c r="M73" s="17" t="s">
        <v>401</v>
      </c>
      <c r="N73" s="17" t="s">
        <v>70</v>
      </c>
      <c r="O73" s="17" t="s">
        <v>57</v>
      </c>
      <c r="P73" s="17" t="s">
        <v>20</v>
      </c>
      <c r="Q73" s="17" t="s">
        <v>57</v>
      </c>
      <c r="R73" s="17" t="s">
        <v>70</v>
      </c>
      <c r="S73" s="17" t="s">
        <v>83</v>
      </c>
      <c r="T73" s="17">
        <v>0</v>
      </c>
      <c r="U73" s="18">
        <v>0</v>
      </c>
      <c r="V73" s="17" t="s">
        <v>291</v>
      </c>
      <c r="W73" s="17" t="s">
        <v>402</v>
      </c>
      <c r="X73" s="17" t="s">
        <v>63</v>
      </c>
      <c r="Y73" s="17" t="s">
        <v>117</v>
      </c>
      <c r="Z73" s="17" t="s">
        <v>187</v>
      </c>
      <c r="AA73" s="29">
        <v>771882.28668200003</v>
      </c>
      <c r="AB73" s="29">
        <v>2421597.4645199999</v>
      </c>
    </row>
    <row r="74" spans="1:28" x14ac:dyDescent="0.25">
      <c r="A74" s="30">
        <v>73</v>
      </c>
      <c r="B74" s="17">
        <v>468412</v>
      </c>
      <c r="C74" s="17" t="s">
        <v>254</v>
      </c>
      <c r="D74" s="17" t="s">
        <v>52</v>
      </c>
      <c r="E74" s="17" t="s">
        <v>403</v>
      </c>
      <c r="F74" s="17" t="s">
        <v>256</v>
      </c>
      <c r="G74" s="17" t="s">
        <v>404</v>
      </c>
      <c r="H74" s="17" t="s">
        <v>64</v>
      </c>
      <c r="I74" s="17">
        <v>20130</v>
      </c>
      <c r="J74" s="17" t="s">
        <v>53</v>
      </c>
      <c r="K74" s="17" t="s">
        <v>54</v>
      </c>
      <c r="L74" s="17" t="s">
        <v>97</v>
      </c>
      <c r="M74" s="17" t="s">
        <v>85</v>
      </c>
      <c r="N74" s="17" t="s">
        <v>20</v>
      </c>
      <c r="O74" s="17" t="s">
        <v>189</v>
      </c>
      <c r="P74" s="17" t="s">
        <v>20</v>
      </c>
      <c r="Q74" s="17" t="s">
        <v>141</v>
      </c>
      <c r="R74" s="17" t="s">
        <v>20</v>
      </c>
      <c r="S74" s="17" t="s">
        <v>142</v>
      </c>
      <c r="T74" s="17">
        <v>2442</v>
      </c>
      <c r="U74" s="18">
        <v>0</v>
      </c>
      <c r="X74" s="17" t="s">
        <v>58</v>
      </c>
      <c r="Y74" s="17" t="s">
        <v>107</v>
      </c>
      <c r="Z74" s="17" t="s">
        <v>190</v>
      </c>
      <c r="AA74" s="29">
        <v>778732.601502</v>
      </c>
      <c r="AB74" s="29">
        <v>2425188.1085399999</v>
      </c>
    </row>
    <row r="75" spans="1:28" x14ac:dyDescent="0.25">
      <c r="A75" s="30">
        <v>74</v>
      </c>
      <c r="B75" s="17">
        <v>468412</v>
      </c>
      <c r="C75" s="17" t="s">
        <v>254</v>
      </c>
      <c r="D75" s="17" t="s">
        <v>52</v>
      </c>
      <c r="E75" s="17" t="s">
        <v>405</v>
      </c>
      <c r="F75" s="17" t="s">
        <v>256</v>
      </c>
      <c r="G75" s="17" t="s">
        <v>266</v>
      </c>
      <c r="H75" s="17" t="s">
        <v>74</v>
      </c>
      <c r="I75" s="17">
        <v>20116</v>
      </c>
      <c r="J75" s="17" t="s">
        <v>53</v>
      </c>
      <c r="K75" s="17" t="s">
        <v>54</v>
      </c>
      <c r="L75" s="17" t="s">
        <v>55</v>
      </c>
      <c r="M75" s="17" t="s">
        <v>75</v>
      </c>
      <c r="N75" s="17" t="s">
        <v>55</v>
      </c>
      <c r="O75" s="17" t="s">
        <v>192</v>
      </c>
      <c r="P75" s="17" t="s">
        <v>20</v>
      </c>
      <c r="Q75" s="17" t="s">
        <v>246</v>
      </c>
      <c r="R75" s="17" t="s">
        <v>20</v>
      </c>
      <c r="S75" s="17" t="s">
        <v>246</v>
      </c>
      <c r="T75" s="17">
        <v>2301</v>
      </c>
      <c r="U75" s="18">
        <v>0</v>
      </c>
      <c r="W75" s="17" t="s">
        <v>336</v>
      </c>
      <c r="X75" s="17" t="s">
        <v>58</v>
      </c>
      <c r="Y75" s="17" t="s">
        <v>107</v>
      </c>
      <c r="Z75" s="17" t="s">
        <v>190</v>
      </c>
      <c r="AA75" s="29">
        <v>779169.99063000001</v>
      </c>
      <c r="AB75" s="29">
        <v>2428155.6705200002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24EU_SU_GAS</vt:lpstr>
      <vt:lpstr>BASE DE DATOS_SU_GAS</vt:lpstr>
      <vt:lpstr>'24EU_SU_GAS'!Área_de_impresión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2024-08-12T17:36:18Z</dcterms:modified>
</cp:coreProperties>
</file>