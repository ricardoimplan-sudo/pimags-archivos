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Z:\EQUIPAMIENTO URBANO_CLASIFICADO POR DELEGACION, ZUFO,REFOM\24CENTROS COMERCIALES\"/>
    </mc:Choice>
  </mc:AlternateContent>
  <xr:revisionPtr revIDLastSave="0" documentId="13_ncr:1_{14C6CB2B-DE22-40EE-B85C-7F826B63BBE9}" xr6:coauthVersionLast="47" xr6:coauthVersionMax="47" xr10:uidLastSave="{00000000-0000-0000-0000-000000000000}"/>
  <bookViews>
    <workbookView xWindow="-21720" yWindow="930" windowWidth="21840" windowHeight="13020" xr2:uid="{00000000-000D-0000-FFFF-FFFF00000000}"/>
  </bookViews>
  <sheets>
    <sheet name="24EU_CENTRO COMERCIAL" sheetId="1" r:id="rId1"/>
    <sheet name="BASE DE DATOS_CENTRO COMERCIAL" sheetId="2" r:id="rId2"/>
  </sheets>
  <definedNames>
    <definedName name="_xlnm.Print_Area" localSheetId="0">'24EU_CENTRO COMERCIAL'!$A$1:$C$35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0" i="1" l="1"/>
  <c r="C29" i="1"/>
  <c r="C28" i="1"/>
  <c r="C27" i="1"/>
  <c r="C26" i="1"/>
  <c r="C25" i="1"/>
  <c r="C24" i="1"/>
  <c r="C23" i="1"/>
  <c r="C22" i="1"/>
  <c r="C31" i="1"/>
  <c r="C32" i="1"/>
  <c r="C34" i="1"/>
  <c r="C33" i="1"/>
  <c r="C20" i="1"/>
  <c r="C19" i="1"/>
</calcChain>
</file>

<file path=xl/sharedStrings.xml><?xml version="1.0" encoding="utf-8"?>
<sst xmlns="http://schemas.openxmlformats.org/spreadsheetml/2006/main" count="1166" uniqueCount="376">
  <si>
    <t>FICHA TÉCNICA</t>
  </si>
  <si>
    <t>INSTITUTO MUNICIPAL DE PLANEACIÓN  Y EVALUACIÓN DE AGUASCALIENTES (IMPLAN) 2024</t>
  </si>
  <si>
    <t>NOMBRE DEL ARCHIVO:</t>
  </si>
  <si>
    <t>FUENTE:</t>
  </si>
  <si>
    <t>FORMATO:</t>
  </si>
  <si>
    <t>SHAPE FILE</t>
  </si>
  <si>
    <t>REPRESENACIÓN DE ELEMENTOS:</t>
  </si>
  <si>
    <t>PUNTOS</t>
  </si>
  <si>
    <t>PROYECCIÓN CARTOGRÁFICA:</t>
  </si>
  <si>
    <t>DÁTUM:</t>
  </si>
  <si>
    <t>ÁMBITO TERRITORIAL:</t>
  </si>
  <si>
    <t>MUNICIPAL</t>
  </si>
  <si>
    <t>INFORMACIÓN TÉCNICA:</t>
  </si>
  <si>
    <t>DESCRIPCIÓN DEL CAMPO</t>
  </si>
  <si>
    <t>CAMPO</t>
  </si>
  <si>
    <t>DESCRIPCIÓN</t>
  </si>
  <si>
    <t>ESTADO</t>
  </si>
  <si>
    <t>MUNICIPIO</t>
  </si>
  <si>
    <t>DELEGACIÓN</t>
  </si>
  <si>
    <t>ID_EU</t>
  </si>
  <si>
    <t>CALLE</t>
  </si>
  <si>
    <t>NÚMERO</t>
  </si>
  <si>
    <t>X_COORD</t>
  </si>
  <si>
    <t>Y_COORD</t>
  </si>
  <si>
    <t>TELÉFONO</t>
  </si>
  <si>
    <t>CVE_ACT</t>
  </si>
  <si>
    <t>TIPO_ACTIV</t>
  </si>
  <si>
    <t>PUB_O_PRIV</t>
  </si>
  <si>
    <t>NOMBRE_EST</t>
  </si>
  <si>
    <t>NOMBRE_ACT</t>
  </si>
  <si>
    <t>RAZ_SOC</t>
  </si>
  <si>
    <t>TIP_ASEN</t>
  </si>
  <si>
    <t>COD_POST</t>
  </si>
  <si>
    <t>TIP_U_EC</t>
  </si>
  <si>
    <t>per_ocu</t>
  </si>
  <si>
    <t>tipo_vial</t>
  </si>
  <si>
    <t>nom_vial</t>
  </si>
  <si>
    <t>tipo_v_e_1</t>
  </si>
  <si>
    <t>nom_v_e_1</t>
  </si>
  <si>
    <t>tipo_v_e_2</t>
  </si>
  <si>
    <t>nom_v_e_2</t>
  </si>
  <si>
    <t>tipo_v_e_3</t>
  </si>
  <si>
    <t>nom_v_e_3</t>
  </si>
  <si>
    <t>numero_ext</t>
  </si>
  <si>
    <t>telefono</t>
  </si>
  <si>
    <t>correoelec</t>
  </si>
  <si>
    <t>www</t>
  </si>
  <si>
    <t>fecha_alta</t>
  </si>
  <si>
    <t>DELEGACION</t>
  </si>
  <si>
    <t>ZUFO_REFOM</t>
  </si>
  <si>
    <t>X</t>
  </si>
  <si>
    <t>Y</t>
  </si>
  <si>
    <t>PRIVADO</t>
  </si>
  <si>
    <t>BARRIO</t>
  </si>
  <si>
    <t>Fijo</t>
  </si>
  <si>
    <t>0 a 5 personas</t>
  </si>
  <si>
    <t>AVENIDA</t>
  </si>
  <si>
    <t>PRIVADA</t>
  </si>
  <si>
    <t>NINGUNO</t>
  </si>
  <si>
    <t>2019-11</t>
  </si>
  <si>
    <t>2014-12</t>
  </si>
  <si>
    <t>JOSE MARIA MORELOS Y PAVON</t>
  </si>
  <si>
    <t>2010-07</t>
  </si>
  <si>
    <t>COLONIA</t>
  </si>
  <si>
    <t>11 a 30 personas</t>
  </si>
  <si>
    <t>5 DE MAYO</t>
  </si>
  <si>
    <t>FELIPE ANGELES</t>
  </si>
  <si>
    <t>EJIDO</t>
  </si>
  <si>
    <t>31 a 50 personas</t>
  </si>
  <si>
    <t>OTRO(ESPECIFIQUE)</t>
  </si>
  <si>
    <t>2023-11</t>
  </si>
  <si>
    <t>UNIDAD HABITACIONAL</t>
  </si>
  <si>
    <t>CIRCUITO</t>
  </si>
  <si>
    <t>BENITO JUAREZ</t>
  </si>
  <si>
    <t>MEXICO</t>
  </si>
  <si>
    <t>FRACCIONAMIENTO</t>
  </si>
  <si>
    <t>INDEPENDENCIA</t>
  </si>
  <si>
    <t>RANCHO</t>
  </si>
  <si>
    <t>CARRETERA</t>
  </si>
  <si>
    <t>20 DE NOVIEMBRE</t>
  </si>
  <si>
    <t>2016-01</t>
  </si>
  <si>
    <t>101 a 250 personas</t>
  </si>
  <si>
    <t>2017-11</t>
  </si>
  <si>
    <t>2021-05</t>
  </si>
  <si>
    <t>51 a 100 personas</t>
  </si>
  <si>
    <t>2020-11</t>
  </si>
  <si>
    <t>OTRO (ESPECIFIQUE)</t>
  </si>
  <si>
    <t>2017-03</t>
  </si>
  <si>
    <t>2019-04</t>
  </si>
  <si>
    <t>2018-11</t>
  </si>
  <si>
    <t>GUADALUPE</t>
  </si>
  <si>
    <t>PROLONGACION</t>
  </si>
  <si>
    <t>CENTRO PONIENTE</t>
  </si>
  <si>
    <t>(ZUFO)- SAN FRANCISCO</t>
  </si>
  <si>
    <t>BELISARIO DOMINGUEZ</t>
  </si>
  <si>
    <t>ANDADOR</t>
  </si>
  <si>
    <t>VALENTE QUINTANA</t>
  </si>
  <si>
    <t>BOULEVARD</t>
  </si>
  <si>
    <t>MAHATMA GANDHI</t>
  </si>
  <si>
    <t>AGUASCALIENTES SUR</t>
  </si>
  <si>
    <t>SUR</t>
  </si>
  <si>
    <t>2011-03</t>
  </si>
  <si>
    <t>INSURGENTES</t>
  </si>
  <si>
    <t>SIGLO XXI</t>
  </si>
  <si>
    <t>AVENIDA DE LOS MAESTROS</t>
  </si>
  <si>
    <t>POCITOS</t>
  </si>
  <si>
    <t>MORELOS</t>
  </si>
  <si>
    <t>CORONEL VALENTE ARTEAGA</t>
  </si>
  <si>
    <t>DE LOS MAESTROS</t>
  </si>
  <si>
    <t>2013-07</t>
  </si>
  <si>
    <t>MUJERES ILUSTRES</t>
  </si>
  <si>
    <t>HACIENDA</t>
  </si>
  <si>
    <t>SAN MARCOS</t>
  </si>
  <si>
    <t>AGUASCALIENTES PONIENTE</t>
  </si>
  <si>
    <t>CENTRO ORIENTE</t>
  </si>
  <si>
    <t>(ZUFO)-ARELLANO</t>
  </si>
  <si>
    <t>GENERAL IGNACIO ZARAGOZA</t>
  </si>
  <si>
    <t>26 DE MARZO</t>
  </si>
  <si>
    <t>CONVENCION DE 1914 PONIENTE</t>
  </si>
  <si>
    <t>Aguascalientes Poniente</t>
  </si>
  <si>
    <t>FERROCARRIL</t>
  </si>
  <si>
    <t>AGUASCALIENTES NORTE</t>
  </si>
  <si>
    <t>CANAL INTERCEPTOR</t>
  </si>
  <si>
    <t>Boulevard a Zacatecas</t>
  </si>
  <si>
    <t>PEATONAL</t>
  </si>
  <si>
    <t>ARROYO</t>
  </si>
  <si>
    <t>TLAXCALA</t>
  </si>
  <si>
    <t>DOCTOR SALVADOR QUEZADA LIMON</t>
  </si>
  <si>
    <t>ARROYO DE LOS ARELLANO</t>
  </si>
  <si>
    <t>AGUASCALIENTES PTE.</t>
  </si>
  <si>
    <t>(ZUFO)-AYUNTAMIENTO</t>
  </si>
  <si>
    <t>Paseo de la Cruz</t>
  </si>
  <si>
    <t>JOSE MARIA CHAVEZ</t>
  </si>
  <si>
    <t>ANGEL GONZALEZ</t>
  </si>
  <si>
    <t>REPUBLICA DE ECUADOR</t>
  </si>
  <si>
    <t>(ZUFO)-CENTRO</t>
  </si>
  <si>
    <t>Siglo XXI</t>
  </si>
  <si>
    <t>GENERAL ALVARO OBREGON</t>
  </si>
  <si>
    <t>SIGLO XIX</t>
  </si>
  <si>
    <t>PASEO DE LA CRUZ</t>
  </si>
  <si>
    <t>LICENCIADO BENITO JUAREZ</t>
  </si>
  <si>
    <t>CONSTITUCION</t>
  </si>
  <si>
    <t>GUZMAN</t>
  </si>
  <si>
    <t>ALLENDE ORIENTE</t>
  </si>
  <si>
    <t>ZACATECAS</t>
  </si>
  <si>
    <t>LA SOLEDAD</t>
  </si>
  <si>
    <t>EPIFANIO DE SILVA</t>
  </si>
  <si>
    <t>SANTA ANITA</t>
  </si>
  <si>
    <t>GUADALUPE PERALTA</t>
  </si>
  <si>
    <t>(ZUFO)-DON PASCUAL ORIENTE</t>
  </si>
  <si>
    <t>VALLARTA</t>
  </si>
  <si>
    <t>VISTAS DE ORIENTE</t>
  </si>
  <si>
    <t>OJOCALIENTE</t>
  </si>
  <si>
    <t>VILLAS</t>
  </si>
  <si>
    <t>CULTURA MAYA</t>
  </si>
  <si>
    <t>CULTURA AZTECA</t>
  </si>
  <si>
    <t>SANTA CECILIA</t>
  </si>
  <si>
    <t>GUADALUPANO</t>
  </si>
  <si>
    <t>CULTURA TEOTIHUACANA</t>
  </si>
  <si>
    <t>(ZUFO)-DON PASCUAL PONIENTE</t>
  </si>
  <si>
    <t>POZO BRAVO</t>
  </si>
  <si>
    <t>JOSE LUIS CUEVAS</t>
  </si>
  <si>
    <t>HERMENEGILDO BUSTOS</t>
  </si>
  <si>
    <t>ESFUERZO NACIONAL</t>
  </si>
  <si>
    <t>JOSE H. ESCOBEDO</t>
  </si>
  <si>
    <t>TINAJUELA</t>
  </si>
  <si>
    <t>AGUASCALIENTES ORIENTE</t>
  </si>
  <si>
    <t>SIERRA DE SAN BERNARDINO</t>
  </si>
  <si>
    <t>MARIANO ESCOBEDO</t>
  </si>
  <si>
    <t>(ZUFO)-EL CEDAZO</t>
  </si>
  <si>
    <t>EDEN</t>
  </si>
  <si>
    <t>COMERCIO</t>
  </si>
  <si>
    <t>30 DE SEPTIEMBRE</t>
  </si>
  <si>
    <t>VALERIO TRUJANO</t>
  </si>
  <si>
    <t>MARIANO HIDALGO</t>
  </si>
  <si>
    <t>PANFILO NATERA</t>
  </si>
  <si>
    <t>BONAMPAK</t>
  </si>
  <si>
    <t>PUENTE DE ALVARADO</t>
  </si>
  <si>
    <t>TECNOLOGICO</t>
  </si>
  <si>
    <t>JOSE GONZALEZ CARRILLO</t>
  </si>
  <si>
    <t>(ZUFO)-FERROCARRIL</t>
  </si>
  <si>
    <t>CONVENCION DE 1914</t>
  </si>
  <si>
    <t>A</t>
  </si>
  <si>
    <t>CAPRICORNIO</t>
  </si>
  <si>
    <t>POZO DE CRISTAL</t>
  </si>
  <si>
    <t>GRITO DE LA LIBERTAD</t>
  </si>
  <si>
    <t>AGUASCALIENTES</t>
  </si>
  <si>
    <t>LUIS DONALDO COLOSIO</t>
  </si>
  <si>
    <t>(ZUFO)-LA HACIENDA</t>
  </si>
  <si>
    <t>ERMITA DE SAN SEBASTIAN</t>
  </si>
  <si>
    <t>JOSE E. FEMAT GUTIERREZ</t>
  </si>
  <si>
    <t>JOSE DE JESUS GONZALEZ GARCIA</t>
  </si>
  <si>
    <t>TECUEXE</t>
  </si>
  <si>
    <t>DIAGONAL ALFIL</t>
  </si>
  <si>
    <t>HACIENDA DE OJOCALIENTE</t>
  </si>
  <si>
    <t>(ZUFO)-OJOCALIENTE</t>
  </si>
  <si>
    <t>HACIENDA EL TORIL</t>
  </si>
  <si>
    <t>HACIENDA JALTOMATE</t>
  </si>
  <si>
    <t>PIEZAS BLANCAS</t>
  </si>
  <si>
    <t>MARRUBIO</t>
  </si>
  <si>
    <t>GUAYACAN</t>
  </si>
  <si>
    <t>LOS CONOS</t>
  </si>
  <si>
    <t>SAN FRANCISCO DE LOS ROMO</t>
  </si>
  <si>
    <t>(ZUFO)-UNIVERSIDAD</t>
  </si>
  <si>
    <t>MONTES HIMALAYA</t>
  </si>
  <si>
    <t>SANTA MONICA</t>
  </si>
  <si>
    <t>CALVILLO</t>
  </si>
  <si>
    <t>CVE</t>
  </si>
  <si>
    <t>WGS_1984</t>
  </si>
  <si>
    <t>UTM ZONA 13 NORTE</t>
  </si>
  <si>
    <t>REFOM_ZUFO</t>
  </si>
  <si>
    <t>NOMBRE ESTABLECIMIENTO</t>
  </si>
  <si>
    <t>TIPO DE ACTIVIDAD</t>
  </si>
  <si>
    <t>SECTOR</t>
  </si>
  <si>
    <t>NUMERO DE EMPLEADOS</t>
  </si>
  <si>
    <t>LUGAR</t>
  </si>
  <si>
    <t>TIPO DE CALLE</t>
  </si>
  <si>
    <t xml:space="preserve">NOMBRE DE CALLE </t>
  </si>
  <si>
    <t>CORREO ELECTRONICO</t>
  </si>
  <si>
    <t>MB RINCON DE ROMOS PLAZA 4649</t>
  </si>
  <si>
    <t>Comercio al por menor en supermercados</t>
  </si>
  <si>
    <t>NUEVA WAL MART DE MEXICO S DE RL DE CV</t>
  </si>
  <si>
    <t>RAFAEL.MIRAMON@WALMART.COM</t>
  </si>
  <si>
    <t>WWW.WALMART.COM</t>
  </si>
  <si>
    <t>BA EXPRESS PASEO DE LA ASUNCION  5642</t>
  </si>
  <si>
    <t>Paseo de la Asuncinn</t>
  </si>
  <si>
    <t>General JuliAn Medina</t>
  </si>
  <si>
    <t>JULIAN MEDIANA</t>
  </si>
  <si>
    <t>ATENCIONACLIENTES@WALMART.COM</t>
  </si>
  <si>
    <t>BA EXPRESS JULIAN MEDINA  5641</t>
  </si>
  <si>
    <t>GRAL. JULIAN MEDINA</t>
  </si>
  <si>
    <t>MANUEL RAMOS ARIZPE</t>
  </si>
  <si>
    <t>ATENCIONACLIENTES@WALMART.COM.MX</t>
  </si>
  <si>
    <t>SAM S SANTA MONICA AGS  4985</t>
  </si>
  <si>
    <t>AVENIDA SIGLO XXI SUR</t>
  </si>
  <si>
    <t>PROVIDENCIA</t>
  </si>
  <si>
    <t>SUPERCENTER AV DE LOS MAESTROS  1549</t>
  </si>
  <si>
    <t>FRAY TORIBIO DE BERNABETE</t>
  </si>
  <si>
    <t>TIENDA SUPERISSSTE 168</t>
  </si>
  <si>
    <t>SUPERISSSTE</t>
  </si>
  <si>
    <t>FAlix de la Paz</t>
  </si>
  <si>
    <t>Marina Nacional</t>
  </si>
  <si>
    <t>RAo Morcinique</t>
  </si>
  <si>
    <t>TIENDA.168@SUPERISSSTE.GOB.MX</t>
  </si>
  <si>
    <t>WWW.UBICAISSSTE.GOB.MX</t>
  </si>
  <si>
    <t>SORIANA SUCURSAL SAN MARCOS 307</t>
  </si>
  <si>
    <t>TIENDAS SORIANA SA DE CV</t>
  </si>
  <si>
    <t>Convencipn de 1914 Norte</t>
  </si>
  <si>
    <t>Carlos Sagredo</t>
  </si>
  <si>
    <t>Fundici</t>
  </si>
  <si>
    <t>0</t>
  </si>
  <si>
    <t>6046 WALDOS AGUASCALIENTES CONVENCION</t>
  </si>
  <si>
    <t>WALDO S DOLAR MART DE MEXICO S DE RL DE CV</t>
  </si>
  <si>
    <t>WWW.WALDOS.COM</t>
  </si>
  <si>
    <t>BA EXPRESS FRACC DEL VALLE  5409</t>
  </si>
  <si>
    <t>Roma</t>
  </si>
  <si>
    <t>Paseo del Rto</t>
  </si>
  <si>
    <t>CHEDRAUI AGUASCALIENTES ASUNCIdN T250</t>
  </si>
  <si>
    <t>TIENDAS CHEDRAUI SA DE CV</t>
  </si>
  <si>
    <t>AVELAZQUEZ@CHEDRAUI.COM.MX</t>
  </si>
  <si>
    <t>SUPERCENTER MAHATMA GANDHI 2211</t>
  </si>
  <si>
    <t>FRAY JUNIPERO SERRA</t>
  </si>
  <si>
    <t>PASEO DE LA ASUNCI</t>
  </si>
  <si>
    <t>TIENDAS SORIANA SUC 45 AGUASCALIENTES II</t>
  </si>
  <si>
    <t>AVENIDA DE LAS AMERICAS</t>
  </si>
  <si>
    <t>BODEGA AGUASCALIENTES  3865</t>
  </si>
  <si>
    <t>JOSE MARIA CHAVEZ CARRETERA MEXICO</t>
  </si>
  <si>
    <t>ABRHAM GONZCLEZ</t>
  </si>
  <si>
    <t>MAHATMA GHANDI</t>
  </si>
  <si>
    <t>BA EXPRESS PASEO DE LA CRUZ  5682</t>
  </si>
  <si>
    <t>PROF. FRANCISCO MELCHOR</t>
  </si>
  <si>
    <t>DE LA LUNA</t>
  </si>
  <si>
    <t>MERCADO MORELOS</t>
  </si>
  <si>
    <t>DIRECCION DE MERCADOS ESTACIONAMIENTOS Y AREAS COM</t>
  </si>
  <si>
    <t>SALVADOR.VELAZQUEZ@AGS.GOB.MX</t>
  </si>
  <si>
    <t>6073 WALDOS AGUASCALIENTES CENTRO</t>
  </si>
  <si>
    <t>6208 AGUASCALIENTES 5 DE MAYO</t>
  </si>
  <si>
    <t>PLAZA PRINCIPAL NORTE</t>
  </si>
  <si>
    <t>6055 WALDOS AGUASCALIENTES DE LA CRUZ</t>
  </si>
  <si>
    <t>BODEGA CONVENCION AGUASCALIENTES  3802</t>
  </si>
  <si>
    <t>BA EXPRESS VISTAS DEL ORIENTE  5643</t>
  </si>
  <si>
    <t>PLAYA AZUL</t>
  </si>
  <si>
    <t>JANITZIO</t>
  </si>
  <si>
    <t>BA EXPRESS RODOLFO LANDEROS 5684</t>
  </si>
  <si>
    <t>PROLONGACION RODOLFO LANDERS</t>
  </si>
  <si>
    <t>BA EXPRESS FRACC EL RIEGO  2604</t>
  </si>
  <si>
    <t>HACIENDA DE OJO CALIENTE</t>
  </si>
  <si>
    <t>BODEGA SIGLO XXI  3056</t>
  </si>
  <si>
    <t>WWW.WALMART.COM.MX</t>
  </si>
  <si>
    <t>BA EXPRESS BLVD GUADALUPANO  5637</t>
  </si>
  <si>
    <t>BLAS ROMO</t>
  </si>
  <si>
    <t>ARIAS MOJICA</t>
  </si>
  <si>
    <t>ATENCIONACLIENTES@WALMAR.COM</t>
  </si>
  <si>
    <t>BODEGA AURRERA PRIMER ANILLO 1975</t>
  </si>
  <si>
    <t>AVENIDA DE LA CONVENCION DE 1914 SUR</t>
  </si>
  <si>
    <t>BA EXPRESS INFONAVIT MORELOS  2489</t>
  </si>
  <si>
    <t>XEL HA</t>
  </si>
  <si>
    <t>3A PLAZA PALENQUE</t>
  </si>
  <si>
    <t>PALENQUE</t>
  </si>
  <si>
    <t>BA EXPRESS HERMENEGILDO GALEANA  58</t>
  </si>
  <si>
    <t>STA MONICA</t>
  </si>
  <si>
    <t>BA EXPRESS EL COBANO  5638</t>
  </si>
  <si>
    <t>EL COBANO</t>
  </si>
  <si>
    <t>BODEGA MARIANO HIDALGO 3714</t>
  </si>
  <si>
    <t>TIENDAS SORIANA SUC 276 AGUASCALIENTES CASA BLANCA</t>
  </si>
  <si>
    <t>BA EXPRESS UNIDAD VOLCANES  2913</t>
  </si>
  <si>
    <t>CARRETERO</t>
  </si>
  <si>
    <t>VVA LACTEA</t>
  </si>
  <si>
    <t>HALLEY</t>
  </si>
  <si>
    <t>SORIANA HIPER</t>
  </si>
  <si>
    <t>AGUASCALIENTES OTE</t>
  </si>
  <si>
    <t>6224 OJOCALIENTE</t>
  </si>
  <si>
    <t>BALNEARIO</t>
  </si>
  <si>
    <t>BA. EXPRESS POZO BRAVO  5640</t>
  </si>
  <si>
    <t>POZO DE ZAFIRO</t>
  </si>
  <si>
    <t>430 LA COMER ALTARIA AGUASCALIENTES</t>
  </si>
  <si>
    <t>COMERCIAL CITY FRESKO S DE RL DE CV</t>
  </si>
  <si>
    <t>YPALACIOS@LACOMER.COM.MX</t>
  </si>
  <si>
    <t>LACOMER.COM.MX</t>
  </si>
  <si>
    <t>TIENDAS SORIANA AGUASCALIENTES SUC 397</t>
  </si>
  <si>
    <t>COSTCO DE MEXICO SUCURSAL AGUASCALIENTES</t>
  </si>
  <si>
    <t>COSTCO DE MEXICO SA DE CV</t>
  </si>
  <si>
    <t>251 y mos personas</t>
  </si>
  <si>
    <t>ArtLculo Primero</t>
  </si>
  <si>
    <t>Barda</t>
  </si>
  <si>
    <t>IMPUESTOS@COSTCO.COM.MX</t>
  </si>
  <si>
    <t>WWW.COSTCO.COM.MX</t>
  </si>
  <si>
    <t>SUPERMERCADO LA OBRERA</t>
  </si>
  <si>
    <t>SORIANA SUCURSAL LA ASUNCION 192</t>
  </si>
  <si>
    <t>D SIGLO XXI</t>
  </si>
  <si>
    <t>BODEGA SANTA ANITA 3905</t>
  </si>
  <si>
    <t>DE LA CONVENCION DE 1914 OTE</t>
  </si>
  <si>
    <t>BA EXPRESS GONZALEZ GARCIA  5683</t>
  </si>
  <si>
    <t>FERNEN GONZALEZ ESLAVA</t>
  </si>
  <si>
    <t>ROGELIO RODRIGO DE LA TORRE</t>
  </si>
  <si>
    <t>BA EXPRESS VILLA NATURA  5440</t>
  </si>
  <si>
    <t>SALVADOR RANGEL LOPEZ</t>
  </si>
  <si>
    <t>CELESTINO LOPEZ SANCHEZ</t>
  </si>
  <si>
    <t>TALIO</t>
  </si>
  <si>
    <t>WWW.SWALMART.COM.MX</t>
  </si>
  <si>
    <t>6060 WALDOS AGUASCALIENTES OJO CALIENTE</t>
  </si>
  <si>
    <t>BODEGA OJO CALIENTE  3744</t>
  </si>
  <si>
    <t>HACIENDA DE JALTOMATE</t>
  </si>
  <si>
    <t>BODEGA AURRERA EXPRESS 2549</t>
  </si>
  <si>
    <t>DIAGONAL</t>
  </si>
  <si>
    <t>DE LA DAMA</t>
  </si>
  <si>
    <t>DE LA INFANTERIA</t>
  </si>
  <si>
    <t>SUPERCENTER AGUASCALIENTES ORIENTE 2271</t>
  </si>
  <si>
    <t>COTORINAS</t>
  </si>
  <si>
    <t>BA EXPRESS LOMAS DEL CHAPULIN     2486</t>
  </si>
  <si>
    <t>BA EXPRESS ESFUERZO NACIONAL  5639</t>
  </si>
  <si>
    <t>OJO CALIENTE</t>
  </si>
  <si>
    <t>SAN MIGUELITO</t>
  </si>
  <si>
    <t>BA EXPRESS COLINAS DE SAN IGNACIO  5412</t>
  </si>
  <si>
    <t>MAGISTERIAL IV</t>
  </si>
  <si>
    <t>MAGISTERIAL I</t>
  </si>
  <si>
    <t>SAM S AGUASCALIENTES  8118</t>
  </si>
  <si>
    <t>SUPERCENTER AGUASCALIENTES  2346</t>
  </si>
  <si>
    <t>LUID DONALDO COLOSIO MURRIETA</t>
  </si>
  <si>
    <t>A. ZACATECAS</t>
  </si>
  <si>
    <t>HEB SUCURSAL AGUASCALIENTES</t>
  </si>
  <si>
    <t>SUPERMERCADOS INTERNACIONALES HEB SA DE CV</t>
  </si>
  <si>
    <t>Harold R. Pape</t>
  </si>
  <si>
    <t>Aguascalientes Norte</t>
  </si>
  <si>
    <t>CLARA@HEBMX.COM</t>
  </si>
  <si>
    <t>WWW.HEB.COM.MX</t>
  </si>
  <si>
    <t>SORIANA SUCURSAL 40</t>
  </si>
  <si>
    <t>UNIVERSIDAD Y BOULEVARD AGUASCALIENTES</t>
  </si>
  <si>
    <t>SUPERAMA CAMPESTRE 2092</t>
  </si>
  <si>
    <t>CERRO DE LAS TORRES</t>
  </si>
  <si>
    <t>GRANEROS</t>
  </si>
  <si>
    <t>MONTECARLO</t>
  </si>
  <si>
    <t>CVE (1-54)</t>
  </si>
  <si>
    <t>EU_CENTRO COMERCIAL</t>
  </si>
  <si>
    <t>UBICACIÓN DE CENTRO COMERCIAL</t>
  </si>
  <si>
    <t>LA CLASIFICACIÓN DE ELEMENTOS ESTÁ BASADA EN EL SISTEMA NORMATIVO DE EQUIPAMIENTO URBANO DE LA SEDESOL FEDERAL, SUBSISTEMA COMERCIO. LA INTEGRACIÓN FUE REALIZADA POR EL IMPLAN CON INFORMACIÓN DEL DIRECTORIO ESTADISTICO NACIONAL DE UNIDADES ECONOMICAS (INEGI)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</si>
</sst>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00"/>
    <numFmt numFmtId="165" formatCode="0.0000"/>
  </numFmts>
  <fonts count="10" x14ac:knownFonts="1">
    <font>
      <sz val="11"/>
      <color theme="1"/>
      <name val="Calibri"/>
      <family val="2"/>
      <scheme val="minor"/>
    </font>
    <font>
      <b/>
      <sz val="10"/>
      <color theme="1"/>
      <name val="Arial Nova"/>
      <family val="2"/>
    </font>
    <font>
      <sz val="10"/>
      <color theme="1"/>
      <name val="Bahnschrift Light SemiCondensed"/>
      <family val="2"/>
    </font>
    <font>
      <sz val="11"/>
      <color theme="1"/>
      <name val="Bahnschrift Light SemiCondensed"/>
      <family val="2"/>
    </font>
    <font>
      <b/>
      <sz val="10"/>
      <color theme="1"/>
      <name val="Bahnschrift Light SemiCondensed"/>
      <family val="2"/>
    </font>
    <font>
      <b/>
      <sz val="14"/>
      <color theme="1"/>
      <name val="Bahnschrift Light SemiCondensed"/>
      <family val="2"/>
    </font>
    <font>
      <b/>
      <sz val="14"/>
      <name val="Bahnschrift Light SemiCondensed"/>
      <family val="2"/>
    </font>
    <font>
      <b/>
      <sz val="12"/>
      <color theme="1"/>
      <name val="Bahnschrift Light SemiCondensed"/>
      <family val="2"/>
    </font>
    <font>
      <sz val="11"/>
      <color rgb="FFFF0000"/>
      <name val="Calibri"/>
      <family val="2"/>
      <scheme val="minor"/>
    </font>
    <font>
      <b/>
      <sz val="16"/>
      <color theme="1" tint="4.9989318521683403E-2"/>
      <name val="Bahnschrift Light SemiCondensed"/>
      <family val="2"/>
    </font>
  </fonts>
  <fills count="8">
    <fill>
      <patternFill patternType="none"/>
    </fill>
    <fill>
      <patternFill patternType="gray125"/>
    </fill>
    <fill>
      <patternFill patternType="solid">
        <fgColor theme="0"/>
        <bgColor theme="4" tint="0.79998168889431442"/>
      </patternFill>
    </fill>
    <fill>
      <patternFill patternType="solid">
        <fgColor theme="0" tint="-0.14999847407452621"/>
        <bgColor theme="4" tint="0.79998168889431442"/>
      </patternFill>
    </fill>
    <fill>
      <patternFill patternType="solid">
        <fgColor theme="0" tint="-0.34998626667073579"/>
        <bgColor indexed="64"/>
      </patternFill>
    </fill>
    <fill>
      <patternFill patternType="solid">
        <fgColor theme="0" tint="-0.34998626667073579"/>
        <bgColor theme="4"/>
      </patternFill>
    </fill>
    <fill>
      <patternFill patternType="solid">
        <fgColor theme="2" tint="-0.249977111117893"/>
        <bgColor indexed="64"/>
      </patternFill>
    </fill>
    <fill>
      <patternFill patternType="solid">
        <fgColor theme="7" tint="-0.249977111117893"/>
        <bgColor theme="4" tint="0.79998168889431442"/>
      </patternFill>
    </fill>
  </fills>
  <borders count="8">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34">
    <xf numFmtId="0" fontId="0" fillId="0" borderId="0" xfId="0"/>
    <xf numFmtId="0" fontId="2" fillId="0" borderId="5" xfId="0" applyFont="1" applyBorder="1"/>
    <xf numFmtId="0" fontId="2" fillId="0" borderId="6" xfId="0" applyFont="1" applyBorder="1"/>
    <xf numFmtId="0" fontId="2" fillId="2" borderId="6" xfId="0" applyFont="1" applyFill="1" applyBorder="1"/>
    <xf numFmtId="0" fontId="2" fillId="3" borderId="5" xfId="0" applyFont="1" applyFill="1" applyBorder="1"/>
    <xf numFmtId="0" fontId="2" fillId="3" borderId="5" xfId="0" applyFont="1" applyFill="1" applyBorder="1" applyAlignment="1">
      <alignment vertical="center"/>
    </xf>
    <xf numFmtId="0" fontId="2" fillId="3" borderId="7" xfId="0" applyFont="1" applyFill="1" applyBorder="1"/>
    <xf numFmtId="0" fontId="0" fillId="0" borderId="0" xfId="0" applyBorder="1"/>
    <xf numFmtId="0" fontId="3" fillId="0" borderId="0" xfId="0" applyFont="1" applyBorder="1"/>
    <xf numFmtId="0" fontId="1" fillId="0" borderId="0" xfId="0" applyFont="1" applyBorder="1"/>
    <xf numFmtId="0" fontId="4" fillId="0" borderId="0" xfId="0" applyFont="1" applyBorder="1"/>
    <xf numFmtId="0" fontId="2" fillId="0" borderId="0" xfId="0" applyFont="1" applyBorder="1"/>
    <xf numFmtId="0" fontId="2" fillId="0" borderId="0" xfId="0" applyFont="1" applyBorder="1" applyAlignment="1">
      <alignment wrapText="1"/>
    </xf>
    <xf numFmtId="0" fontId="4" fillId="0" borderId="0" xfId="0" applyFont="1" applyBorder="1" applyAlignment="1">
      <alignment vertical="center"/>
    </xf>
    <xf numFmtId="0" fontId="6" fillId="5" borderId="3" xfId="0" applyFont="1" applyFill="1" applyBorder="1" applyAlignment="1">
      <alignment horizontal="center"/>
    </xf>
    <xf numFmtId="0" fontId="6" fillId="5" borderId="4" xfId="0" applyFont="1" applyFill="1" applyBorder="1" applyAlignment="1">
      <alignment horizontal="center"/>
    </xf>
    <xf numFmtId="0" fontId="0" fillId="0" borderId="0" xfId="0" applyFill="1" applyBorder="1"/>
    <xf numFmtId="1" fontId="0" fillId="0" borderId="0" xfId="0" applyNumberFormat="1"/>
    <xf numFmtId="164" fontId="0" fillId="0" borderId="0" xfId="0" applyNumberFormat="1"/>
    <xf numFmtId="1" fontId="0" fillId="6" borderId="0" xfId="0" applyNumberFormat="1" applyFill="1" applyAlignment="1">
      <alignment horizontal="center" vertical="center"/>
    </xf>
    <xf numFmtId="164" fontId="0" fillId="6" borderId="0" xfId="0" applyNumberFormat="1" applyFill="1" applyAlignment="1">
      <alignment horizontal="center" vertical="center"/>
    </xf>
    <xf numFmtId="0" fontId="2" fillId="2" borderId="6" xfId="0" applyFont="1" applyFill="1" applyBorder="1" applyAlignment="1">
      <alignment horizontal="center"/>
    </xf>
    <xf numFmtId="0" fontId="8" fillId="0" borderId="0" xfId="0" applyFont="1" applyFill="1" applyBorder="1"/>
    <xf numFmtId="1" fontId="0" fillId="0" borderId="0" xfId="0" applyNumberFormat="1"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9" fillId="6" borderId="5" xfId="0" applyFont="1" applyFill="1" applyBorder="1" applyAlignment="1">
      <alignment horizontal="center"/>
    </xf>
    <xf numFmtId="0" fontId="9" fillId="7" borderId="6" xfId="0" applyFont="1" applyFill="1" applyBorder="1" applyAlignment="1">
      <alignment horizontal="center"/>
    </xf>
    <xf numFmtId="165" fontId="0" fillId="6" borderId="0" xfId="0" applyNumberFormat="1" applyFill="1" applyAlignment="1">
      <alignment horizontal="center" vertical="center"/>
    </xf>
    <xf numFmtId="165" fontId="0" fillId="0" borderId="0" xfId="0" applyNumberFormat="1"/>
    <xf numFmtId="0" fontId="0" fillId="0" borderId="0" xfId="0" applyBorder="1" applyAlignment="1">
      <alignment horizontal="center" vertical="center"/>
    </xf>
    <xf numFmtId="0" fontId="5" fillId="4" borderId="1" xfId="0" applyFont="1" applyFill="1" applyBorder="1" applyAlignment="1">
      <alignment horizontal="center"/>
    </xf>
    <xf numFmtId="0" fontId="5" fillId="4" borderId="2" xfId="0" applyFont="1" applyFill="1" applyBorder="1" applyAlignment="1">
      <alignment horizontal="center"/>
    </xf>
    <xf numFmtId="0" fontId="7" fillId="0" borderId="0" xfId="0" applyFont="1" applyBorder="1" applyAlignment="1">
      <alignment horizontal="center"/>
    </xf>
  </cellXfs>
  <cellStyles count="1">
    <cellStyle name="Normal" xfId="0" builtinId="0"/>
  </cellStyles>
  <dxfs count="29">
    <dxf>
      <numFmt numFmtId="165" formatCode="0.0000"/>
    </dxf>
    <dxf>
      <numFmt numFmtId="165" formatCode="0.0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fill>
        <patternFill patternType="solid">
          <fgColor indexed="64"/>
          <bgColor theme="2" tint="-0.24997711111789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499532</xdr:colOff>
      <xdr:row>0</xdr:row>
      <xdr:rowOff>42333</xdr:rowOff>
    </xdr:from>
    <xdr:to>
      <xdr:col>2</xdr:col>
      <xdr:colOff>5006974</xdr:colOff>
      <xdr:row>1</xdr:row>
      <xdr:rowOff>556683</xdr:rowOff>
    </xdr:to>
    <xdr:pic>
      <xdr:nvPicPr>
        <xdr:cNvPr id="2" name="Imagen 1">
          <a:extLst>
            <a:ext uri="{FF2B5EF4-FFF2-40B4-BE49-F238E27FC236}">
              <a16:creationId xmlns:a16="http://schemas.microsoft.com/office/drawing/2014/main" id="{D6CD98E2-AFD0-465A-9679-4C9AFD8BD0F1}"/>
            </a:ext>
          </a:extLst>
        </xdr:cNvPr>
        <xdr:cNvPicPr>
          <a:picLocks noChangeAspect="1"/>
        </xdr:cNvPicPr>
      </xdr:nvPicPr>
      <xdr:blipFill>
        <a:blip xmlns:r="http://schemas.openxmlformats.org/officeDocument/2006/relationships" r:embed="rId1"/>
        <a:stretch>
          <a:fillRect/>
        </a:stretch>
      </xdr:blipFill>
      <xdr:spPr>
        <a:xfrm>
          <a:off x="647699" y="42333"/>
          <a:ext cx="6613525" cy="1149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BASTO" displayName="ABASTO" ref="A1:AB55" totalsRowShown="0" headerRowDxfId="28">
  <autoFilter ref="A1:AB55" xr:uid="{00000000-0009-0000-0100-000001000000}"/>
  <tableColumns count="28">
    <tableColumn id="1" xr3:uid="{00000000-0010-0000-0000-000001000000}" name="CVE" dataDxfId="27"/>
    <tableColumn id="2" xr3:uid="{00000000-0010-0000-0000-000002000000}" name="CVE_ACT" dataDxfId="26"/>
    <tableColumn id="3" xr3:uid="{00000000-0010-0000-0000-000003000000}" name="TIPO_ACTIV" dataDxfId="25"/>
    <tableColumn id="4" xr3:uid="{00000000-0010-0000-0000-000004000000}" name="PUB_O_PRIV" dataDxfId="24"/>
    <tableColumn id="5" xr3:uid="{00000000-0010-0000-0000-000005000000}" name="NOMBRE_EST" dataDxfId="23"/>
    <tableColumn id="6" xr3:uid="{00000000-0010-0000-0000-000006000000}" name="NOMBRE_ACT" dataDxfId="22"/>
    <tableColumn id="7" xr3:uid="{00000000-0010-0000-0000-000007000000}" name="RAZ_SOC" dataDxfId="21"/>
    <tableColumn id="8" xr3:uid="{00000000-0010-0000-0000-000008000000}" name="TIP_ASEN" dataDxfId="20"/>
    <tableColumn id="9" xr3:uid="{00000000-0010-0000-0000-000009000000}" name="COD_POST" dataDxfId="19"/>
    <tableColumn id="10" xr3:uid="{00000000-0010-0000-0000-00000A000000}" name="TIP_U_EC" dataDxfId="18"/>
    <tableColumn id="11" xr3:uid="{00000000-0010-0000-0000-00000B000000}" name="per_ocu" dataDxfId="17"/>
    <tableColumn id="12" xr3:uid="{00000000-0010-0000-0000-00000C000000}" name="tipo_vial" dataDxfId="16"/>
    <tableColumn id="13" xr3:uid="{00000000-0010-0000-0000-00000D000000}" name="nom_vial" dataDxfId="15"/>
    <tableColumn id="14" xr3:uid="{00000000-0010-0000-0000-00000E000000}" name="tipo_v_e_1" dataDxfId="14"/>
    <tableColumn id="15" xr3:uid="{00000000-0010-0000-0000-00000F000000}" name="nom_v_e_1" dataDxfId="13"/>
    <tableColumn id="16" xr3:uid="{00000000-0010-0000-0000-000010000000}" name="tipo_v_e_2" dataDxfId="12"/>
    <tableColumn id="17" xr3:uid="{00000000-0010-0000-0000-000011000000}" name="nom_v_e_2" dataDxfId="11"/>
    <tableColumn id="18" xr3:uid="{00000000-0010-0000-0000-000012000000}" name="tipo_v_e_3" dataDxfId="10"/>
    <tableColumn id="19" xr3:uid="{00000000-0010-0000-0000-000013000000}" name="nom_v_e_3" dataDxfId="9"/>
    <tableColumn id="20" xr3:uid="{00000000-0010-0000-0000-000014000000}" name="numero_ext" dataDxfId="8"/>
    <tableColumn id="21" xr3:uid="{00000000-0010-0000-0000-000015000000}" name="telefono" dataDxfId="7"/>
    <tableColumn id="22" xr3:uid="{00000000-0010-0000-0000-000016000000}" name="correoelec" dataDxfId="6"/>
    <tableColumn id="23" xr3:uid="{00000000-0010-0000-0000-000017000000}" name="www" dataDxfId="5"/>
    <tableColumn id="24" xr3:uid="{00000000-0010-0000-0000-000018000000}" name="fecha_alta" dataDxfId="4"/>
    <tableColumn id="25" xr3:uid="{00000000-0010-0000-0000-000019000000}" name="DELEGACION" dataDxfId="3"/>
    <tableColumn id="26" xr3:uid="{00000000-0010-0000-0000-00001A000000}" name="ZUFO_REFOM" dataDxfId="2"/>
    <tableColumn id="27" xr3:uid="{00000000-0010-0000-0000-00001B000000}" name="X" dataDxfId="1"/>
    <tableColumn id="28" xr3:uid="{00000000-0010-0000-0000-00001C000000}" name="Y"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0"/>
  <sheetViews>
    <sheetView tabSelected="1" view="pageBreakPreview" zoomScale="85" zoomScaleNormal="85" zoomScaleSheetLayoutView="85" workbookViewId="0">
      <selection activeCell="C6" sqref="C6"/>
    </sheetView>
  </sheetViews>
  <sheetFormatPr baseColWidth="10" defaultRowHeight="15" x14ac:dyDescent="0.25"/>
  <cols>
    <col min="1" max="1" width="2.140625" style="7" customWidth="1"/>
    <col min="2" max="2" width="31.5703125" style="7" customWidth="1"/>
    <col min="3" max="3" width="81.42578125" style="7" customWidth="1"/>
    <col min="4" max="4" width="2.7109375" style="7" customWidth="1"/>
    <col min="5" max="16384" width="11.42578125" style="7"/>
  </cols>
  <sheetData>
    <row r="1" spans="2:4" ht="50.25" customHeight="1" x14ac:dyDescent="0.25">
      <c r="B1" s="30"/>
      <c r="C1" s="30"/>
    </row>
    <row r="2" spans="2:4" ht="50.25" customHeight="1" thickBot="1" x14ac:dyDescent="0.3">
      <c r="B2" s="30"/>
      <c r="C2" s="30"/>
    </row>
    <row r="3" spans="2:4" ht="18.75" thickBot="1" x14ac:dyDescent="0.3">
      <c r="B3" s="31" t="s">
        <v>374</v>
      </c>
      <c r="C3" s="32"/>
    </row>
    <row r="4" spans="2:4" x14ac:dyDescent="0.25">
      <c r="B4" s="8"/>
      <c r="C4" s="8"/>
    </row>
    <row r="5" spans="2:4" ht="15.75" x14ac:dyDescent="0.25">
      <c r="B5" s="33" t="s">
        <v>0</v>
      </c>
      <c r="C5" s="33"/>
      <c r="D5" s="9"/>
    </row>
    <row r="6" spans="2:4" x14ac:dyDescent="0.25">
      <c r="B6" s="10" t="s">
        <v>2</v>
      </c>
      <c r="C6" s="11" t="s">
        <v>373</v>
      </c>
    </row>
    <row r="7" spans="2:4" ht="24.75" customHeight="1" x14ac:dyDescent="0.25">
      <c r="B7" s="10" t="s">
        <v>3</v>
      </c>
      <c r="C7" s="12" t="s">
        <v>1</v>
      </c>
    </row>
    <row r="8" spans="2:4" x14ac:dyDescent="0.25">
      <c r="B8" s="10" t="s">
        <v>4</v>
      </c>
      <c r="C8" s="11" t="s">
        <v>5</v>
      </c>
    </row>
    <row r="9" spans="2:4" x14ac:dyDescent="0.25">
      <c r="B9" s="10" t="s">
        <v>6</v>
      </c>
      <c r="C9" s="11" t="s">
        <v>7</v>
      </c>
    </row>
    <row r="10" spans="2:4" x14ac:dyDescent="0.25">
      <c r="B10" s="10" t="s">
        <v>8</v>
      </c>
      <c r="C10" s="11" t="s">
        <v>209</v>
      </c>
    </row>
    <row r="11" spans="2:4" x14ac:dyDescent="0.25">
      <c r="B11" s="10" t="s">
        <v>9</v>
      </c>
      <c r="C11" s="11" t="s">
        <v>208</v>
      </c>
    </row>
    <row r="12" spans="2:4" x14ac:dyDescent="0.25">
      <c r="B12" s="10" t="s">
        <v>10</v>
      </c>
      <c r="C12" s="11" t="s">
        <v>11</v>
      </c>
    </row>
    <row r="13" spans="2:4" ht="39" x14ac:dyDescent="0.25">
      <c r="B13" s="13" t="s">
        <v>12</v>
      </c>
      <c r="C13" s="12" t="s">
        <v>375</v>
      </c>
    </row>
    <row r="14" spans="2:4" x14ac:dyDescent="0.25">
      <c r="B14" s="8"/>
      <c r="C14" s="8"/>
    </row>
    <row r="15" spans="2:4" ht="16.5" thickBot="1" x14ac:dyDescent="0.3">
      <c r="B15" s="33" t="s">
        <v>13</v>
      </c>
      <c r="C15" s="33"/>
    </row>
    <row r="16" spans="2:4" ht="18" x14ac:dyDescent="0.25">
      <c r="B16" s="14" t="s">
        <v>14</v>
      </c>
      <c r="C16" s="15" t="s">
        <v>15</v>
      </c>
    </row>
    <row r="17" spans="2:12" x14ac:dyDescent="0.25">
      <c r="B17" s="1" t="s">
        <v>16</v>
      </c>
      <c r="C17" s="2" t="s">
        <v>186</v>
      </c>
    </row>
    <row r="18" spans="2:12" x14ac:dyDescent="0.25">
      <c r="B18" s="1" t="s">
        <v>17</v>
      </c>
      <c r="C18" s="3" t="s">
        <v>186</v>
      </c>
      <c r="G18"/>
      <c r="H18"/>
      <c r="I18"/>
      <c r="J18"/>
      <c r="K18"/>
    </row>
    <row r="19" spans="2:12" x14ac:dyDescent="0.25">
      <c r="B19" s="1" t="s">
        <v>18</v>
      </c>
      <c r="C19" s="3" t="str">
        <f>VLOOKUP($C$21,ABASTO[#All],25,FALSE)</f>
        <v>POCITOS</v>
      </c>
      <c r="G19" s="23"/>
      <c r="H19" s="23"/>
      <c r="I19" s="24"/>
      <c r="J19" s="24"/>
      <c r="K19" s="25"/>
      <c r="L19" s="16"/>
    </row>
    <row r="20" spans="2:12" x14ac:dyDescent="0.25">
      <c r="B20" s="1" t="s">
        <v>210</v>
      </c>
      <c r="C20" s="3" t="str">
        <f>VLOOKUP($C$21,ABASTO[#All],26,FALSE)</f>
        <v>(ZUFO)-UNIVERSIDAD</v>
      </c>
      <c r="G20" s="25"/>
      <c r="H20" s="16"/>
      <c r="I20" s="25"/>
      <c r="J20" s="25"/>
      <c r="K20" s="25"/>
      <c r="L20" s="16"/>
    </row>
    <row r="21" spans="2:12" ht="19.5" x14ac:dyDescent="0.25">
      <c r="B21" s="26" t="s">
        <v>372</v>
      </c>
      <c r="C21" s="27">
        <v>54</v>
      </c>
      <c r="G21" s="25"/>
      <c r="H21" s="25"/>
      <c r="I21" s="25"/>
      <c r="J21" s="25"/>
      <c r="K21" s="25"/>
      <c r="L21" s="16"/>
    </row>
    <row r="22" spans="2:12" x14ac:dyDescent="0.25">
      <c r="B22" s="1" t="s">
        <v>211</v>
      </c>
      <c r="C22" s="21" t="str">
        <f>VLOOKUP($C$21,ABASTO[#All],5,FALSE)</f>
        <v>SUPERAMA CAMPESTRE 2092</v>
      </c>
      <c r="G22"/>
      <c r="H22"/>
      <c r="I22"/>
      <c r="J22"/>
      <c r="K22"/>
    </row>
    <row r="23" spans="2:12" x14ac:dyDescent="0.25">
      <c r="B23" s="4" t="s">
        <v>212</v>
      </c>
      <c r="C23" s="21" t="str">
        <f>VLOOKUP($C$21,ABASTO[#All],6,FALSE)</f>
        <v>Comercio al por menor en supermercados</v>
      </c>
    </row>
    <row r="24" spans="2:12" x14ac:dyDescent="0.25">
      <c r="B24" s="1" t="s">
        <v>19</v>
      </c>
      <c r="C24" s="21">
        <f>VLOOKUP($C$21,ABASTO[#All],2,FALSE)</f>
        <v>462111</v>
      </c>
    </row>
    <row r="25" spans="2:12" x14ac:dyDescent="0.25">
      <c r="B25" s="5" t="s">
        <v>213</v>
      </c>
      <c r="C25" s="21" t="str">
        <f>VLOOKUP($C$21,ABASTO[#All],4,FALSE)</f>
        <v>PRIVADO</v>
      </c>
    </row>
    <row r="26" spans="2:12" x14ac:dyDescent="0.25">
      <c r="B26" s="1" t="s">
        <v>214</v>
      </c>
      <c r="C26" s="21" t="str">
        <f>VLOOKUP($C$21,ABASTO[#All],11,FALSE)</f>
        <v>51 a 100 personas</v>
      </c>
    </row>
    <row r="27" spans="2:12" x14ac:dyDescent="0.25">
      <c r="B27" s="4" t="s">
        <v>215</v>
      </c>
      <c r="C27" s="21" t="str">
        <f>VLOOKUP($C$21,ABASTO[#All],8,FALSE)</f>
        <v>HACIENDA</v>
      </c>
    </row>
    <row r="28" spans="2:12" x14ac:dyDescent="0.25">
      <c r="B28" s="1" t="s">
        <v>217</v>
      </c>
      <c r="C28" s="21" t="str">
        <f>VLOOKUP($C$21,ABASTO[#All],13,FALSE)</f>
        <v>CERRO DE LAS TORRES</v>
      </c>
    </row>
    <row r="29" spans="2:12" x14ac:dyDescent="0.25">
      <c r="B29" s="1" t="s">
        <v>216</v>
      </c>
      <c r="C29" s="21" t="str">
        <f>VLOOKUP($C$21,ABASTO[#All],12,FALSE)</f>
        <v>AVENIDA</v>
      </c>
    </row>
    <row r="30" spans="2:12" x14ac:dyDescent="0.25">
      <c r="B30" s="4" t="s">
        <v>218</v>
      </c>
      <c r="C30" s="21" t="str">
        <f>VLOOKUP($C$21,ABASTO[#All],22,FALSE)</f>
        <v>ATENCIONACLIENTES@WALMART.COM.MX</v>
      </c>
    </row>
    <row r="31" spans="2:12" x14ac:dyDescent="0.25">
      <c r="B31" s="1" t="s">
        <v>21</v>
      </c>
      <c r="C31" s="21">
        <f>VLOOKUP($C$21,ABASTO[#All],20,FALSE)</f>
        <v>101</v>
      </c>
    </row>
    <row r="32" spans="2:12" x14ac:dyDescent="0.25">
      <c r="B32" s="4" t="s">
        <v>24</v>
      </c>
      <c r="C32" s="21">
        <f>VLOOKUP($C$21,ABASTO[#All],21,FALSE)</f>
        <v>0</v>
      </c>
    </row>
    <row r="33" spans="1:3" x14ac:dyDescent="0.25">
      <c r="B33" s="1" t="s">
        <v>22</v>
      </c>
      <c r="C33" s="21">
        <f>VLOOKUP($C$21,ABASTO[#All],27,FALSE)</f>
        <v>777121.84953100001</v>
      </c>
    </row>
    <row r="34" spans="1:3" ht="15.75" thickBot="1" x14ac:dyDescent="0.3">
      <c r="B34" s="6" t="s">
        <v>23</v>
      </c>
      <c r="C34" s="21">
        <f>VLOOKUP($C$21,ABASTO[#All],28,FALSE)</f>
        <v>2426894.6534899999</v>
      </c>
    </row>
    <row r="37" spans="1:3" x14ac:dyDescent="0.25">
      <c r="A37" s="16"/>
      <c r="B37" s="16"/>
      <c r="C37" s="16"/>
    </row>
    <row r="38" spans="1:3" x14ac:dyDescent="0.25">
      <c r="A38" s="16"/>
      <c r="B38" s="22"/>
      <c r="C38" s="16"/>
    </row>
    <row r="39" spans="1:3" x14ac:dyDescent="0.25">
      <c r="A39" s="16"/>
      <c r="B39" s="16"/>
      <c r="C39" s="16"/>
    </row>
    <row r="40" spans="1:3" x14ac:dyDescent="0.25">
      <c r="A40" s="16"/>
      <c r="B40" s="16"/>
      <c r="C40" s="16"/>
    </row>
  </sheetData>
  <mergeCells count="4">
    <mergeCell ref="B1:C2"/>
    <mergeCell ref="B3:C3"/>
    <mergeCell ref="B5:C5"/>
    <mergeCell ref="B15:C15"/>
  </mergeCells>
  <pageMargins left="0.7" right="0.7" top="0.75" bottom="0.75" header="0.3" footer="0.3"/>
  <pageSetup scale="78"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'BASE DE DATOS_CENTRO COMERCIAL'!$A$2:$A$55</xm:f>
          </x14:formula1>
          <xm:sqref>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5"/>
  <sheetViews>
    <sheetView zoomScale="85" zoomScaleNormal="85" workbookViewId="0">
      <selection activeCell="E36" sqref="E36"/>
    </sheetView>
  </sheetViews>
  <sheetFormatPr baseColWidth="10" defaultRowHeight="15" x14ac:dyDescent="0.25"/>
  <cols>
    <col min="1" max="1" width="6.42578125" style="17" customWidth="1"/>
    <col min="2" max="2" width="10.5703125" style="17" customWidth="1"/>
    <col min="3" max="3" width="13" style="17" customWidth="1"/>
    <col min="4" max="4" width="14" style="17" customWidth="1"/>
    <col min="5" max="5" width="64.42578125" style="17" customWidth="1"/>
    <col min="6" max="6" width="60" style="17" customWidth="1"/>
    <col min="7" max="7" width="50.7109375" style="17" customWidth="1"/>
    <col min="8" max="8" width="24.85546875" style="17" bestFit="1" customWidth="1"/>
    <col min="9" max="9" width="12.28515625" style="17" customWidth="1"/>
    <col min="10" max="10" width="11.140625" style="17" customWidth="1"/>
    <col min="11" max="11" width="19.5703125" style="17" bestFit="1" customWidth="1"/>
    <col min="12" max="12" width="19.140625" style="17" bestFit="1" customWidth="1"/>
    <col min="13" max="13" width="66.85546875" style="17" bestFit="1" customWidth="1"/>
    <col min="14" max="14" width="19.140625" style="17" bestFit="1" customWidth="1"/>
    <col min="15" max="15" width="54.85546875" style="17" bestFit="1" customWidth="1"/>
    <col min="16" max="16" width="19.140625" style="17" bestFit="1" customWidth="1"/>
    <col min="17" max="17" width="54.85546875" style="17" bestFit="1" customWidth="1"/>
    <col min="18" max="18" width="19.140625" style="17" bestFit="1" customWidth="1"/>
    <col min="19" max="19" width="54.5703125" style="17" bestFit="1" customWidth="1"/>
    <col min="20" max="20" width="13.28515625" style="17" customWidth="1"/>
    <col min="21" max="21" width="24.140625" style="17" bestFit="1" customWidth="1"/>
    <col min="22" max="22" width="57.42578125" style="17" bestFit="1" customWidth="1"/>
    <col min="23" max="23" width="54.85546875" style="17" bestFit="1" customWidth="1"/>
    <col min="24" max="24" width="12" style="17" customWidth="1"/>
    <col min="25" max="25" width="20.7109375" style="17" bestFit="1" customWidth="1"/>
    <col min="26" max="26" width="30.28515625" style="17" bestFit="1" customWidth="1"/>
    <col min="27" max="27" width="19" style="29" bestFit="1" customWidth="1"/>
    <col min="28" max="28" width="20" style="18" bestFit="1" customWidth="1"/>
  </cols>
  <sheetData>
    <row r="1" spans="1:28" x14ac:dyDescent="0.25">
      <c r="A1" s="19" t="s">
        <v>207</v>
      </c>
      <c r="B1" s="19" t="s">
        <v>25</v>
      </c>
      <c r="C1" s="19" t="s">
        <v>26</v>
      </c>
      <c r="D1" s="19" t="s">
        <v>27</v>
      </c>
      <c r="E1" s="19" t="s">
        <v>28</v>
      </c>
      <c r="F1" s="19" t="s">
        <v>29</v>
      </c>
      <c r="G1" s="19" t="s">
        <v>30</v>
      </c>
      <c r="H1" s="19" t="s">
        <v>31</v>
      </c>
      <c r="I1" s="19" t="s">
        <v>32</v>
      </c>
      <c r="J1" s="19" t="s">
        <v>33</v>
      </c>
      <c r="K1" s="19" t="s">
        <v>34</v>
      </c>
      <c r="L1" s="19" t="s">
        <v>35</v>
      </c>
      <c r="M1" s="19" t="s">
        <v>36</v>
      </c>
      <c r="N1" s="19" t="s">
        <v>37</v>
      </c>
      <c r="O1" s="19" t="s">
        <v>38</v>
      </c>
      <c r="P1" s="19" t="s">
        <v>39</v>
      </c>
      <c r="Q1" s="19" t="s">
        <v>40</v>
      </c>
      <c r="R1" s="19" t="s">
        <v>41</v>
      </c>
      <c r="S1" s="19" t="s">
        <v>42</v>
      </c>
      <c r="T1" s="19" t="s">
        <v>43</v>
      </c>
      <c r="U1" s="19" t="s">
        <v>44</v>
      </c>
      <c r="V1" s="19" t="s">
        <v>45</v>
      </c>
      <c r="W1" s="19" t="s">
        <v>46</v>
      </c>
      <c r="X1" s="19" t="s">
        <v>47</v>
      </c>
      <c r="Y1" s="19" t="s">
        <v>48</v>
      </c>
      <c r="Z1" s="19" t="s">
        <v>49</v>
      </c>
      <c r="AA1" s="28" t="s">
        <v>50</v>
      </c>
      <c r="AB1" s="20" t="s">
        <v>51</v>
      </c>
    </row>
    <row r="2" spans="1:28" x14ac:dyDescent="0.25">
      <c r="A2" s="17">
        <v>1</v>
      </c>
      <c r="B2" s="17">
        <v>462111</v>
      </c>
      <c r="C2" s="17" t="s">
        <v>171</v>
      </c>
      <c r="D2" s="17" t="s">
        <v>52</v>
      </c>
      <c r="E2" s="17" t="s">
        <v>219</v>
      </c>
      <c r="F2" s="17" t="s">
        <v>220</v>
      </c>
      <c r="G2" s="17" t="s">
        <v>221</v>
      </c>
      <c r="H2" s="17" t="s">
        <v>63</v>
      </c>
      <c r="I2" s="17">
        <v>20280</v>
      </c>
      <c r="J2" s="17" t="s">
        <v>54</v>
      </c>
      <c r="K2" s="17" t="s">
        <v>64</v>
      </c>
      <c r="L2" s="17" t="s">
        <v>20</v>
      </c>
      <c r="M2" s="17" t="s">
        <v>100</v>
      </c>
      <c r="N2" s="17" t="s">
        <v>20</v>
      </c>
      <c r="O2" s="17" t="s">
        <v>74</v>
      </c>
      <c r="P2" s="17" t="s">
        <v>20</v>
      </c>
      <c r="Q2" s="17" t="s">
        <v>106</v>
      </c>
      <c r="R2" s="17" t="s">
        <v>20</v>
      </c>
      <c r="S2" s="17" t="s">
        <v>79</v>
      </c>
      <c r="T2" s="17">
        <v>108</v>
      </c>
      <c r="U2" s="18">
        <v>0</v>
      </c>
      <c r="V2" s="17" t="s">
        <v>222</v>
      </c>
      <c r="W2" s="17" t="s">
        <v>223</v>
      </c>
      <c r="X2" s="17" t="s">
        <v>59</v>
      </c>
      <c r="Y2" s="17" t="s">
        <v>102</v>
      </c>
      <c r="Z2" s="17" t="s">
        <v>93</v>
      </c>
      <c r="AA2" s="29">
        <v>779599.55975699995</v>
      </c>
      <c r="AB2" s="29">
        <v>2416378.5067599998</v>
      </c>
    </row>
    <row r="3" spans="1:28" x14ac:dyDescent="0.25">
      <c r="A3" s="17">
        <v>2</v>
      </c>
      <c r="B3" s="17">
        <v>462111</v>
      </c>
      <c r="C3" s="17" t="s">
        <v>171</v>
      </c>
      <c r="D3" s="17" t="s">
        <v>52</v>
      </c>
      <c r="E3" s="17" t="s">
        <v>224</v>
      </c>
      <c r="F3" s="17" t="s">
        <v>220</v>
      </c>
      <c r="G3" s="17" t="s">
        <v>221</v>
      </c>
      <c r="H3" s="17" t="s">
        <v>111</v>
      </c>
      <c r="I3" s="17">
        <v>20286</v>
      </c>
      <c r="J3" s="17" t="s">
        <v>54</v>
      </c>
      <c r="K3" s="17" t="s">
        <v>64</v>
      </c>
      <c r="L3" s="17" t="s">
        <v>78</v>
      </c>
      <c r="M3" s="17" t="s">
        <v>225</v>
      </c>
      <c r="N3" s="17" t="s">
        <v>78</v>
      </c>
      <c r="O3" s="17" t="s">
        <v>226</v>
      </c>
      <c r="P3" s="17" t="s">
        <v>56</v>
      </c>
      <c r="Q3" s="17" t="s">
        <v>136</v>
      </c>
      <c r="R3" s="17" t="s">
        <v>20</v>
      </c>
      <c r="S3" s="17" t="s">
        <v>227</v>
      </c>
      <c r="T3" s="17">
        <v>0</v>
      </c>
      <c r="U3" s="18">
        <v>0</v>
      </c>
      <c r="V3" s="17" t="s">
        <v>228</v>
      </c>
      <c r="W3" s="17" t="s">
        <v>223</v>
      </c>
      <c r="X3" s="17" t="s">
        <v>109</v>
      </c>
      <c r="Y3" s="17" t="s">
        <v>102</v>
      </c>
      <c r="Z3" s="17" t="s">
        <v>93</v>
      </c>
      <c r="AA3" s="29">
        <v>778908.520532</v>
      </c>
      <c r="AB3" s="29">
        <v>2418227.3504400002</v>
      </c>
    </row>
    <row r="4" spans="1:28" x14ac:dyDescent="0.25">
      <c r="A4" s="17">
        <v>3</v>
      </c>
      <c r="B4" s="17">
        <v>462111</v>
      </c>
      <c r="C4" s="17" t="s">
        <v>171</v>
      </c>
      <c r="D4" s="17" t="s">
        <v>52</v>
      </c>
      <c r="E4" s="17" t="s">
        <v>229</v>
      </c>
      <c r="F4" s="17" t="s">
        <v>220</v>
      </c>
      <c r="G4" s="17" t="s">
        <v>221</v>
      </c>
      <c r="H4" s="17" t="s">
        <v>111</v>
      </c>
      <c r="I4" s="17">
        <v>20284</v>
      </c>
      <c r="J4" s="17" t="s">
        <v>54</v>
      </c>
      <c r="K4" s="17" t="s">
        <v>64</v>
      </c>
      <c r="L4" s="17" t="s">
        <v>20</v>
      </c>
      <c r="M4" s="17" t="s">
        <v>230</v>
      </c>
      <c r="N4" s="17" t="s">
        <v>56</v>
      </c>
      <c r="O4" s="17" t="s">
        <v>94</v>
      </c>
      <c r="P4" s="17" t="s">
        <v>91</v>
      </c>
      <c r="Q4" s="17" t="s">
        <v>231</v>
      </c>
      <c r="R4" s="17" t="s">
        <v>56</v>
      </c>
      <c r="S4" s="17" t="s">
        <v>103</v>
      </c>
      <c r="T4" s="17">
        <v>603</v>
      </c>
      <c r="U4" s="18">
        <v>0</v>
      </c>
      <c r="V4" s="17" t="s">
        <v>232</v>
      </c>
      <c r="W4" s="17" t="s">
        <v>223</v>
      </c>
      <c r="X4" s="17" t="s">
        <v>109</v>
      </c>
      <c r="Y4" s="17" t="s">
        <v>102</v>
      </c>
      <c r="Z4" s="17" t="s">
        <v>93</v>
      </c>
      <c r="AA4" s="29">
        <v>778100.432164</v>
      </c>
      <c r="AB4" s="29">
        <v>2418283.0210600002</v>
      </c>
    </row>
    <row r="5" spans="1:28" x14ac:dyDescent="0.25">
      <c r="A5" s="17">
        <v>4</v>
      </c>
      <c r="B5" s="17">
        <v>462111</v>
      </c>
      <c r="C5" s="17" t="s">
        <v>171</v>
      </c>
      <c r="D5" s="17" t="s">
        <v>52</v>
      </c>
      <c r="E5" s="17" t="s">
        <v>233</v>
      </c>
      <c r="F5" s="17" t="s">
        <v>220</v>
      </c>
      <c r="G5" s="17" t="s">
        <v>221</v>
      </c>
      <c r="H5" s="17" t="s">
        <v>77</v>
      </c>
      <c r="I5" s="17">
        <v>20286</v>
      </c>
      <c r="J5" s="17" t="s">
        <v>54</v>
      </c>
      <c r="K5" s="17" t="s">
        <v>81</v>
      </c>
      <c r="L5" s="17" t="s">
        <v>56</v>
      </c>
      <c r="M5" s="17" t="s">
        <v>234</v>
      </c>
      <c r="N5" s="17" t="s">
        <v>56</v>
      </c>
      <c r="O5" s="17" t="s">
        <v>103</v>
      </c>
      <c r="P5" s="17" t="s">
        <v>56</v>
      </c>
      <c r="Q5" s="17" t="s">
        <v>235</v>
      </c>
      <c r="R5" s="17" t="s">
        <v>56</v>
      </c>
      <c r="S5" s="17" t="s">
        <v>205</v>
      </c>
      <c r="T5" s="17">
        <v>3980</v>
      </c>
      <c r="U5" s="18">
        <v>0</v>
      </c>
      <c r="V5" s="17" t="s">
        <v>232</v>
      </c>
      <c r="W5" s="17" t="s">
        <v>223</v>
      </c>
      <c r="X5" s="17" t="s">
        <v>101</v>
      </c>
      <c r="Y5" s="17" t="s">
        <v>102</v>
      </c>
      <c r="Z5" s="17" t="s">
        <v>93</v>
      </c>
      <c r="AA5" s="29">
        <v>776695.14619400003</v>
      </c>
      <c r="AB5" s="29">
        <v>2417860.90662</v>
      </c>
    </row>
    <row r="6" spans="1:28" x14ac:dyDescent="0.25">
      <c r="A6" s="17">
        <v>5</v>
      </c>
      <c r="B6" s="17">
        <v>462111</v>
      </c>
      <c r="C6" s="17" t="s">
        <v>171</v>
      </c>
      <c r="D6" s="17" t="s">
        <v>52</v>
      </c>
      <c r="E6" s="17" t="s">
        <v>236</v>
      </c>
      <c r="F6" s="17" t="s">
        <v>220</v>
      </c>
      <c r="G6" s="17" t="s">
        <v>221</v>
      </c>
      <c r="H6" s="17" t="s">
        <v>75</v>
      </c>
      <c r="I6" s="17">
        <v>20205</v>
      </c>
      <c r="J6" s="17" t="s">
        <v>54</v>
      </c>
      <c r="K6" s="17" t="s">
        <v>81</v>
      </c>
      <c r="L6" s="17" t="s">
        <v>56</v>
      </c>
      <c r="M6" s="17" t="s">
        <v>104</v>
      </c>
      <c r="N6" s="17" t="s">
        <v>20</v>
      </c>
      <c r="O6" s="17" t="s">
        <v>237</v>
      </c>
      <c r="P6" s="17" t="s">
        <v>56</v>
      </c>
      <c r="Q6" s="17" t="s">
        <v>129</v>
      </c>
      <c r="R6" s="17" t="s">
        <v>97</v>
      </c>
      <c r="S6" s="17" t="s">
        <v>112</v>
      </c>
      <c r="T6" s="17">
        <v>402</v>
      </c>
      <c r="U6" s="18">
        <v>0</v>
      </c>
      <c r="V6" s="17" t="s">
        <v>228</v>
      </c>
      <c r="W6" s="17" t="s">
        <v>223</v>
      </c>
      <c r="X6" s="17" t="s">
        <v>62</v>
      </c>
      <c r="Y6" s="17" t="s">
        <v>112</v>
      </c>
      <c r="Z6" s="17" t="s">
        <v>93</v>
      </c>
      <c r="AA6" s="29">
        <v>777491.60612899996</v>
      </c>
      <c r="AB6" s="29">
        <v>2419665.4482800001</v>
      </c>
    </row>
    <row r="7" spans="1:28" x14ac:dyDescent="0.25">
      <c r="A7" s="17">
        <v>6</v>
      </c>
      <c r="B7" s="17">
        <v>462111</v>
      </c>
      <c r="C7" s="17" t="s">
        <v>171</v>
      </c>
      <c r="D7" s="17" t="s">
        <v>52</v>
      </c>
      <c r="E7" s="17" t="s">
        <v>238</v>
      </c>
      <c r="F7" s="17" t="s">
        <v>220</v>
      </c>
      <c r="G7" s="17" t="s">
        <v>239</v>
      </c>
      <c r="H7" s="17" t="s">
        <v>63</v>
      </c>
      <c r="I7" s="17">
        <v>20050</v>
      </c>
      <c r="J7" s="17" t="s">
        <v>54</v>
      </c>
      <c r="K7" s="17" t="s">
        <v>64</v>
      </c>
      <c r="L7" s="17" t="s">
        <v>20</v>
      </c>
      <c r="M7" s="17" t="s">
        <v>116</v>
      </c>
      <c r="N7" s="17" t="s">
        <v>20</v>
      </c>
      <c r="O7" s="17" t="s">
        <v>240</v>
      </c>
      <c r="P7" s="17" t="s">
        <v>20</v>
      </c>
      <c r="Q7" s="17" t="s">
        <v>241</v>
      </c>
      <c r="R7" s="17" t="s">
        <v>20</v>
      </c>
      <c r="S7" s="17" t="s">
        <v>242</v>
      </c>
      <c r="T7" s="17">
        <v>0</v>
      </c>
      <c r="U7" s="18">
        <v>0</v>
      </c>
      <c r="V7" s="17" t="s">
        <v>243</v>
      </c>
      <c r="W7" s="17" t="s">
        <v>244</v>
      </c>
      <c r="X7" s="17" t="s">
        <v>62</v>
      </c>
      <c r="Y7" s="17" t="s">
        <v>114</v>
      </c>
      <c r="Z7" s="17" t="s">
        <v>115</v>
      </c>
      <c r="AA7" s="29">
        <v>779317.78925699997</v>
      </c>
      <c r="AB7" s="29">
        <v>2423430.51089</v>
      </c>
    </row>
    <row r="8" spans="1:28" x14ac:dyDescent="0.25">
      <c r="A8" s="17">
        <v>7</v>
      </c>
      <c r="B8" s="17">
        <v>462111</v>
      </c>
      <c r="C8" s="17" t="s">
        <v>171</v>
      </c>
      <c r="D8" s="17" t="s">
        <v>52</v>
      </c>
      <c r="E8" s="17" t="s">
        <v>245</v>
      </c>
      <c r="F8" s="17" t="s">
        <v>220</v>
      </c>
      <c r="G8" s="17" t="s">
        <v>246</v>
      </c>
      <c r="H8" s="17" t="s">
        <v>111</v>
      </c>
      <c r="I8" s="17">
        <v>20010</v>
      </c>
      <c r="J8" s="17" t="s">
        <v>54</v>
      </c>
      <c r="K8" s="17" t="s">
        <v>68</v>
      </c>
      <c r="L8" s="17" t="s">
        <v>56</v>
      </c>
      <c r="M8" s="17" t="s">
        <v>247</v>
      </c>
      <c r="N8" s="17" t="s">
        <v>20</v>
      </c>
      <c r="O8" s="17" t="s">
        <v>248</v>
      </c>
      <c r="P8" s="17" t="s">
        <v>56</v>
      </c>
      <c r="Q8" s="17" t="s">
        <v>249</v>
      </c>
      <c r="R8" s="17" t="s">
        <v>20</v>
      </c>
      <c r="S8" s="17" t="s">
        <v>250</v>
      </c>
      <c r="T8" s="17">
        <v>0</v>
      </c>
      <c r="U8" s="18">
        <v>0</v>
      </c>
      <c r="X8" s="17" t="s">
        <v>62</v>
      </c>
      <c r="Y8" s="17" t="s">
        <v>105</v>
      </c>
      <c r="Z8" s="17" t="s">
        <v>115</v>
      </c>
      <c r="AA8" s="29">
        <v>777904.20419600001</v>
      </c>
      <c r="AB8" s="29">
        <v>2423724.28523</v>
      </c>
    </row>
    <row r="9" spans="1:28" x14ac:dyDescent="0.25">
      <c r="A9" s="17">
        <v>8</v>
      </c>
      <c r="B9" s="17">
        <v>462111</v>
      </c>
      <c r="C9" s="17" t="s">
        <v>171</v>
      </c>
      <c r="D9" s="17" t="s">
        <v>52</v>
      </c>
      <c r="E9" s="17" t="s">
        <v>251</v>
      </c>
      <c r="F9" s="17" t="s">
        <v>220</v>
      </c>
      <c r="G9" s="17" t="s">
        <v>252</v>
      </c>
      <c r="H9" s="17" t="s">
        <v>63</v>
      </c>
      <c r="I9" s="17">
        <v>20060</v>
      </c>
      <c r="J9" s="17" t="s">
        <v>54</v>
      </c>
      <c r="K9" s="17" t="s">
        <v>64</v>
      </c>
      <c r="L9" s="17" t="s">
        <v>56</v>
      </c>
      <c r="M9" s="17" t="s">
        <v>118</v>
      </c>
      <c r="N9" s="17" t="s">
        <v>91</v>
      </c>
      <c r="O9" s="17" t="s">
        <v>127</v>
      </c>
      <c r="P9" s="17" t="s">
        <v>20</v>
      </c>
      <c r="Q9" s="17" t="s">
        <v>126</v>
      </c>
      <c r="R9" s="17" t="s">
        <v>20</v>
      </c>
      <c r="S9" s="17" t="s">
        <v>117</v>
      </c>
      <c r="T9" s="17">
        <v>1010</v>
      </c>
      <c r="U9" s="18">
        <v>0</v>
      </c>
      <c r="W9" s="17" t="s">
        <v>253</v>
      </c>
      <c r="X9" s="17" t="s">
        <v>62</v>
      </c>
      <c r="Y9" s="17" t="s">
        <v>112</v>
      </c>
      <c r="Z9" s="17" t="s">
        <v>115</v>
      </c>
      <c r="AA9" s="29">
        <v>777687.03756800003</v>
      </c>
      <c r="AB9" s="29">
        <v>2422571.03253</v>
      </c>
    </row>
    <row r="10" spans="1:28" x14ac:dyDescent="0.25">
      <c r="A10" s="17">
        <v>9</v>
      </c>
      <c r="B10" s="17">
        <v>462111</v>
      </c>
      <c r="C10" s="17" t="s">
        <v>171</v>
      </c>
      <c r="D10" s="17" t="s">
        <v>52</v>
      </c>
      <c r="E10" s="17" t="s">
        <v>254</v>
      </c>
      <c r="F10" s="17" t="s">
        <v>220</v>
      </c>
      <c r="G10" s="17" t="s">
        <v>221</v>
      </c>
      <c r="H10" s="17" t="s">
        <v>111</v>
      </c>
      <c r="I10" s="17">
        <v>20089</v>
      </c>
      <c r="J10" s="17" t="s">
        <v>54</v>
      </c>
      <c r="K10" s="17" t="s">
        <v>64</v>
      </c>
      <c r="L10" s="17" t="s">
        <v>56</v>
      </c>
      <c r="M10" s="17" t="s">
        <v>119</v>
      </c>
      <c r="N10" s="17" t="s">
        <v>56</v>
      </c>
      <c r="O10" s="17" t="s">
        <v>255</v>
      </c>
      <c r="P10" s="17" t="s">
        <v>20</v>
      </c>
      <c r="Q10" s="17" t="s">
        <v>206</v>
      </c>
      <c r="R10" s="17" t="s">
        <v>20</v>
      </c>
      <c r="S10" s="17" t="s">
        <v>256</v>
      </c>
      <c r="T10" s="17">
        <v>202</v>
      </c>
      <c r="U10" s="18">
        <v>0</v>
      </c>
      <c r="V10" s="17" t="s">
        <v>228</v>
      </c>
      <c r="W10" s="17" t="s">
        <v>223</v>
      </c>
      <c r="X10" s="17" t="s">
        <v>60</v>
      </c>
      <c r="Y10" s="17" t="s">
        <v>112</v>
      </c>
      <c r="Z10" s="17" t="s">
        <v>115</v>
      </c>
      <c r="AA10" s="29">
        <v>777075.79712700006</v>
      </c>
      <c r="AB10" s="29">
        <v>2421090.21667</v>
      </c>
    </row>
    <row r="11" spans="1:28" x14ac:dyDescent="0.25">
      <c r="A11" s="17">
        <v>10</v>
      </c>
      <c r="B11" s="17">
        <v>462111</v>
      </c>
      <c r="C11" s="17" t="s">
        <v>171</v>
      </c>
      <c r="D11" s="17" t="s">
        <v>52</v>
      </c>
      <c r="E11" s="17" t="s">
        <v>257</v>
      </c>
      <c r="F11" s="17" t="s">
        <v>220</v>
      </c>
      <c r="G11" s="17" t="s">
        <v>258</v>
      </c>
      <c r="H11" s="17" t="s">
        <v>63</v>
      </c>
      <c r="I11" s="17">
        <v>20280</v>
      </c>
      <c r="J11" s="17" t="s">
        <v>54</v>
      </c>
      <c r="K11" s="17" t="s">
        <v>81</v>
      </c>
      <c r="L11" s="17" t="s">
        <v>97</v>
      </c>
      <c r="M11" s="17" t="s">
        <v>132</v>
      </c>
      <c r="N11" s="17" t="s">
        <v>97</v>
      </c>
      <c r="O11" s="17" t="s">
        <v>96</v>
      </c>
      <c r="P11" s="17" t="s">
        <v>20</v>
      </c>
      <c r="Q11" s="17" t="s">
        <v>133</v>
      </c>
      <c r="R11" s="17" t="s">
        <v>56</v>
      </c>
      <c r="S11" s="17" t="s">
        <v>98</v>
      </c>
      <c r="T11" s="17">
        <v>1809</v>
      </c>
      <c r="U11" s="18">
        <v>0</v>
      </c>
      <c r="V11" s="17" t="s">
        <v>259</v>
      </c>
      <c r="X11" s="17" t="s">
        <v>62</v>
      </c>
      <c r="Y11" s="17" t="s">
        <v>92</v>
      </c>
      <c r="Z11" s="17" t="s">
        <v>130</v>
      </c>
      <c r="AA11" s="29">
        <v>779799.87313399999</v>
      </c>
      <c r="AB11" s="29">
        <v>2419330.2068400001</v>
      </c>
    </row>
    <row r="12" spans="1:28" x14ac:dyDescent="0.25">
      <c r="A12" s="17">
        <v>11</v>
      </c>
      <c r="B12" s="17">
        <v>462111</v>
      </c>
      <c r="C12" s="17" t="s">
        <v>171</v>
      </c>
      <c r="D12" s="17" t="s">
        <v>52</v>
      </c>
      <c r="E12" s="17" t="s">
        <v>260</v>
      </c>
      <c r="F12" s="17" t="s">
        <v>220</v>
      </c>
      <c r="G12" s="17" t="s">
        <v>221</v>
      </c>
      <c r="H12" s="17" t="s">
        <v>63</v>
      </c>
      <c r="I12" s="17">
        <v>20235</v>
      </c>
      <c r="J12" s="17" t="s">
        <v>54</v>
      </c>
      <c r="K12" s="17" t="s">
        <v>81</v>
      </c>
      <c r="L12" s="17" t="s">
        <v>56</v>
      </c>
      <c r="M12" s="17" t="s">
        <v>99</v>
      </c>
      <c r="N12" s="17" t="s">
        <v>20</v>
      </c>
      <c r="O12" s="17" t="s">
        <v>261</v>
      </c>
      <c r="P12" s="17" t="s">
        <v>56</v>
      </c>
      <c r="Q12" s="17" t="s">
        <v>99</v>
      </c>
      <c r="R12" s="17" t="s">
        <v>91</v>
      </c>
      <c r="S12" s="17" t="s">
        <v>262</v>
      </c>
      <c r="T12" s="17">
        <v>117</v>
      </c>
      <c r="U12" s="18">
        <v>0</v>
      </c>
      <c r="W12" s="17" t="s">
        <v>223</v>
      </c>
      <c r="X12" s="17" t="s">
        <v>88</v>
      </c>
      <c r="Y12" s="17" t="s">
        <v>92</v>
      </c>
      <c r="Z12" s="17" t="s">
        <v>130</v>
      </c>
      <c r="AA12" s="29">
        <v>779282.83501000004</v>
      </c>
      <c r="AB12" s="29">
        <v>2419688.0153000001</v>
      </c>
    </row>
    <row r="13" spans="1:28" x14ac:dyDescent="0.25">
      <c r="A13" s="17">
        <v>12</v>
      </c>
      <c r="B13" s="17">
        <v>462111</v>
      </c>
      <c r="C13" s="17" t="s">
        <v>171</v>
      </c>
      <c r="D13" s="17" t="s">
        <v>52</v>
      </c>
      <c r="E13" s="17" t="s">
        <v>263</v>
      </c>
      <c r="F13" s="17" t="s">
        <v>220</v>
      </c>
      <c r="G13" s="17" t="s">
        <v>246</v>
      </c>
      <c r="H13" s="17" t="s">
        <v>111</v>
      </c>
      <c r="I13" s="17">
        <v>20230</v>
      </c>
      <c r="J13" s="17" t="s">
        <v>54</v>
      </c>
      <c r="K13" s="17" t="s">
        <v>81</v>
      </c>
      <c r="L13" s="17" t="s">
        <v>56</v>
      </c>
      <c r="M13" s="17" t="s">
        <v>264</v>
      </c>
      <c r="N13" s="17" t="s">
        <v>20</v>
      </c>
      <c r="O13" s="17" t="s">
        <v>250</v>
      </c>
      <c r="P13" s="17" t="s">
        <v>20</v>
      </c>
      <c r="Q13" s="17" t="s">
        <v>250</v>
      </c>
      <c r="R13" s="17" t="s">
        <v>20</v>
      </c>
      <c r="S13" s="17" t="s">
        <v>250</v>
      </c>
      <c r="T13" s="17">
        <v>1701</v>
      </c>
      <c r="U13" s="18">
        <v>0</v>
      </c>
      <c r="X13" s="17" t="s">
        <v>62</v>
      </c>
      <c r="Y13" s="17" t="s">
        <v>92</v>
      </c>
      <c r="Z13" s="17" t="s">
        <v>130</v>
      </c>
      <c r="AA13" s="29">
        <v>778670.70810299995</v>
      </c>
      <c r="AB13" s="29">
        <v>2420075.69007</v>
      </c>
    </row>
    <row r="14" spans="1:28" x14ac:dyDescent="0.25">
      <c r="A14" s="17">
        <v>13</v>
      </c>
      <c r="B14" s="17">
        <v>462111</v>
      </c>
      <c r="C14" s="17" t="s">
        <v>171</v>
      </c>
      <c r="D14" s="17" t="s">
        <v>52</v>
      </c>
      <c r="E14" s="17" t="s">
        <v>265</v>
      </c>
      <c r="F14" s="17" t="s">
        <v>220</v>
      </c>
      <c r="G14" s="17" t="s">
        <v>221</v>
      </c>
      <c r="H14" s="17" t="s">
        <v>111</v>
      </c>
      <c r="I14" s="17">
        <v>20280</v>
      </c>
      <c r="J14" s="17" t="s">
        <v>54</v>
      </c>
      <c r="K14" s="17" t="s">
        <v>81</v>
      </c>
      <c r="L14" s="17" t="s">
        <v>56</v>
      </c>
      <c r="M14" s="17" t="s">
        <v>266</v>
      </c>
      <c r="N14" s="17" t="s">
        <v>20</v>
      </c>
      <c r="O14" s="17" t="s">
        <v>267</v>
      </c>
      <c r="P14" s="17" t="s">
        <v>20</v>
      </c>
      <c r="Q14" s="17" t="s">
        <v>96</v>
      </c>
      <c r="R14" s="17" t="s">
        <v>56</v>
      </c>
      <c r="S14" s="17" t="s">
        <v>268</v>
      </c>
      <c r="T14" s="17">
        <v>0</v>
      </c>
      <c r="U14" s="18">
        <v>0</v>
      </c>
      <c r="V14" s="17" t="s">
        <v>232</v>
      </c>
      <c r="W14" s="17" t="s">
        <v>223</v>
      </c>
      <c r="X14" s="17" t="s">
        <v>62</v>
      </c>
      <c r="Y14" s="17" t="s">
        <v>110</v>
      </c>
      <c r="Z14" s="17" t="s">
        <v>130</v>
      </c>
      <c r="AA14" s="29">
        <v>779761.36171299999</v>
      </c>
      <c r="AB14" s="29">
        <v>2418790.3448299998</v>
      </c>
    </row>
    <row r="15" spans="1:28" x14ac:dyDescent="0.25">
      <c r="A15" s="17">
        <v>14</v>
      </c>
      <c r="B15" s="17">
        <v>462111</v>
      </c>
      <c r="C15" s="17" t="s">
        <v>171</v>
      </c>
      <c r="D15" s="17" t="s">
        <v>52</v>
      </c>
      <c r="E15" s="17" t="s">
        <v>269</v>
      </c>
      <c r="F15" s="17" t="s">
        <v>220</v>
      </c>
      <c r="G15" s="17" t="s">
        <v>221</v>
      </c>
      <c r="H15" s="17" t="s">
        <v>53</v>
      </c>
      <c r="I15" s="17">
        <v>20240</v>
      </c>
      <c r="J15" s="17" t="s">
        <v>54</v>
      </c>
      <c r="K15" s="17" t="s">
        <v>64</v>
      </c>
      <c r="L15" s="17" t="s">
        <v>56</v>
      </c>
      <c r="M15" s="17" t="s">
        <v>139</v>
      </c>
      <c r="N15" s="17" t="s">
        <v>20</v>
      </c>
      <c r="O15" s="17" t="s">
        <v>270</v>
      </c>
      <c r="P15" s="17" t="s">
        <v>20</v>
      </c>
      <c r="Q15" s="17" t="s">
        <v>145</v>
      </c>
      <c r="R15" s="17" t="s">
        <v>20</v>
      </c>
      <c r="S15" s="17" t="s">
        <v>271</v>
      </c>
      <c r="T15" s="17">
        <v>343</v>
      </c>
      <c r="U15" s="18">
        <v>0</v>
      </c>
      <c r="V15" s="17" t="s">
        <v>228</v>
      </c>
      <c r="W15" s="17" t="s">
        <v>223</v>
      </c>
      <c r="X15" s="17" t="s">
        <v>109</v>
      </c>
      <c r="Y15" s="17" t="s">
        <v>114</v>
      </c>
      <c r="Z15" s="17" t="s">
        <v>135</v>
      </c>
      <c r="AA15" s="29">
        <v>780823.33618300001</v>
      </c>
      <c r="AB15" s="29">
        <v>2421303.0298199998</v>
      </c>
    </row>
    <row r="16" spans="1:28" x14ac:dyDescent="0.25">
      <c r="A16" s="17">
        <v>15</v>
      </c>
      <c r="B16" s="17">
        <v>462111</v>
      </c>
      <c r="C16" s="17" t="s">
        <v>171</v>
      </c>
      <c r="D16" s="17" t="s">
        <v>52</v>
      </c>
      <c r="E16" s="17" t="s">
        <v>272</v>
      </c>
      <c r="F16" s="17" t="s">
        <v>220</v>
      </c>
      <c r="G16" s="17" t="s">
        <v>273</v>
      </c>
      <c r="H16" s="17" t="s">
        <v>63</v>
      </c>
      <c r="I16" s="17">
        <v>0</v>
      </c>
      <c r="J16" s="17" t="s">
        <v>54</v>
      </c>
      <c r="K16" s="17" t="s">
        <v>55</v>
      </c>
      <c r="L16" s="17" t="s">
        <v>20</v>
      </c>
      <c r="M16" s="17" t="s">
        <v>142</v>
      </c>
      <c r="N16" s="17" t="s">
        <v>20</v>
      </c>
      <c r="O16" s="17" t="s">
        <v>61</v>
      </c>
      <c r="P16" s="17" t="s">
        <v>20</v>
      </c>
      <c r="Q16" s="17" t="s">
        <v>140</v>
      </c>
      <c r="T16" s="17">
        <v>107</v>
      </c>
      <c r="U16" s="18">
        <v>0</v>
      </c>
      <c r="V16" s="17" t="s">
        <v>274</v>
      </c>
      <c r="X16" s="17" t="s">
        <v>83</v>
      </c>
      <c r="Y16" s="17" t="s">
        <v>114</v>
      </c>
      <c r="Z16" s="17" t="s">
        <v>135</v>
      </c>
      <c r="AA16" s="29">
        <v>779336.41074900003</v>
      </c>
      <c r="AB16" s="29">
        <v>2422659.1821499998</v>
      </c>
    </row>
    <row r="17" spans="1:28" x14ac:dyDescent="0.25">
      <c r="A17" s="17">
        <v>16</v>
      </c>
      <c r="B17" s="17">
        <v>462111</v>
      </c>
      <c r="C17" s="17" t="s">
        <v>171</v>
      </c>
      <c r="D17" s="17" t="s">
        <v>52</v>
      </c>
      <c r="E17" s="17" t="s">
        <v>275</v>
      </c>
      <c r="F17" s="17" t="s">
        <v>220</v>
      </c>
      <c r="G17" s="17" t="s">
        <v>252</v>
      </c>
      <c r="H17" s="17" t="s">
        <v>63</v>
      </c>
      <c r="I17" s="17">
        <v>20000</v>
      </c>
      <c r="J17" s="17" t="s">
        <v>54</v>
      </c>
      <c r="K17" s="17" t="s">
        <v>64</v>
      </c>
      <c r="L17" s="17" t="s">
        <v>56</v>
      </c>
      <c r="M17" s="17" t="s">
        <v>137</v>
      </c>
      <c r="N17" s="17" t="s">
        <v>20</v>
      </c>
      <c r="O17" s="17" t="s">
        <v>61</v>
      </c>
      <c r="P17" s="17" t="s">
        <v>20</v>
      </c>
      <c r="Q17" s="17" t="s">
        <v>140</v>
      </c>
      <c r="R17" s="17" t="s">
        <v>20</v>
      </c>
      <c r="S17" s="17" t="s">
        <v>142</v>
      </c>
      <c r="T17" s="17">
        <v>120</v>
      </c>
      <c r="U17" s="18">
        <v>0</v>
      </c>
      <c r="W17" s="17" t="s">
        <v>253</v>
      </c>
      <c r="X17" s="17" t="s">
        <v>62</v>
      </c>
      <c r="Y17" s="17" t="s">
        <v>114</v>
      </c>
      <c r="Z17" s="17" t="s">
        <v>135</v>
      </c>
      <c r="AA17" s="29">
        <v>779422.67367799999</v>
      </c>
      <c r="AB17" s="29">
        <v>2422532.8166499999</v>
      </c>
    </row>
    <row r="18" spans="1:28" x14ac:dyDescent="0.25">
      <c r="A18" s="17">
        <v>17</v>
      </c>
      <c r="B18" s="17">
        <v>462111</v>
      </c>
      <c r="C18" s="17" t="s">
        <v>171</v>
      </c>
      <c r="D18" s="17" t="s">
        <v>52</v>
      </c>
      <c r="E18" s="17" t="s">
        <v>276</v>
      </c>
      <c r="F18" s="17" t="s">
        <v>220</v>
      </c>
      <c r="G18" s="17" t="s">
        <v>252</v>
      </c>
      <c r="H18" s="17" t="s">
        <v>63</v>
      </c>
      <c r="I18" s="17">
        <v>20000</v>
      </c>
      <c r="J18" s="17" t="s">
        <v>54</v>
      </c>
      <c r="K18" s="17" t="s">
        <v>64</v>
      </c>
      <c r="L18" s="17" t="s">
        <v>20</v>
      </c>
      <c r="M18" s="17" t="s">
        <v>65</v>
      </c>
      <c r="N18" s="17" t="s">
        <v>124</v>
      </c>
      <c r="O18" s="17" t="s">
        <v>143</v>
      </c>
      <c r="P18" s="17" t="s">
        <v>20</v>
      </c>
      <c r="Q18" s="17" t="s">
        <v>277</v>
      </c>
      <c r="R18" s="17" t="s">
        <v>124</v>
      </c>
      <c r="S18" s="17" t="s">
        <v>73</v>
      </c>
      <c r="T18" s="17">
        <v>119</v>
      </c>
      <c r="U18" s="18">
        <v>0</v>
      </c>
      <c r="W18" s="17" t="s">
        <v>253</v>
      </c>
      <c r="X18" s="17" t="s">
        <v>89</v>
      </c>
      <c r="Y18" s="17" t="s">
        <v>92</v>
      </c>
      <c r="Z18" s="17" t="s">
        <v>135</v>
      </c>
      <c r="AA18" s="29">
        <v>779328.74075300002</v>
      </c>
      <c r="AB18" s="29">
        <v>2422195.8893599999</v>
      </c>
    </row>
    <row r="19" spans="1:28" x14ac:dyDescent="0.25">
      <c r="A19" s="17">
        <v>18</v>
      </c>
      <c r="B19" s="17">
        <v>462111</v>
      </c>
      <c r="C19" s="17" t="s">
        <v>171</v>
      </c>
      <c r="D19" s="17" t="s">
        <v>52</v>
      </c>
      <c r="E19" s="17" t="s">
        <v>278</v>
      </c>
      <c r="F19" s="17" t="s">
        <v>220</v>
      </c>
      <c r="G19" s="17" t="s">
        <v>252</v>
      </c>
      <c r="H19" s="17" t="s">
        <v>63</v>
      </c>
      <c r="I19" s="17">
        <v>20230</v>
      </c>
      <c r="J19" s="17" t="s">
        <v>54</v>
      </c>
      <c r="K19" s="17" t="s">
        <v>64</v>
      </c>
      <c r="L19" s="17" t="s">
        <v>97</v>
      </c>
      <c r="M19" s="17" t="s">
        <v>132</v>
      </c>
      <c r="N19" s="17" t="s">
        <v>20</v>
      </c>
      <c r="O19" s="17" t="s">
        <v>134</v>
      </c>
      <c r="P19" s="17" t="s">
        <v>20</v>
      </c>
      <c r="Q19" s="17" t="s">
        <v>146</v>
      </c>
      <c r="R19" s="17" t="s">
        <v>20</v>
      </c>
      <c r="S19" s="17" t="s">
        <v>107</v>
      </c>
      <c r="T19" s="17">
        <v>801</v>
      </c>
      <c r="U19" s="18">
        <v>0</v>
      </c>
      <c r="W19" s="17" t="s">
        <v>253</v>
      </c>
      <c r="X19" s="17" t="s">
        <v>62</v>
      </c>
      <c r="Y19" s="17" t="s">
        <v>92</v>
      </c>
      <c r="Z19" s="17" t="s">
        <v>135</v>
      </c>
      <c r="AA19" s="29">
        <v>779510.21958200005</v>
      </c>
      <c r="AB19" s="29">
        <v>2421000.9349000002</v>
      </c>
    </row>
    <row r="20" spans="1:28" x14ac:dyDescent="0.25">
      <c r="A20" s="17">
        <v>19</v>
      </c>
      <c r="B20" s="17">
        <v>462111</v>
      </c>
      <c r="C20" s="17" t="s">
        <v>171</v>
      </c>
      <c r="D20" s="17" t="s">
        <v>52</v>
      </c>
      <c r="E20" s="17" t="s">
        <v>279</v>
      </c>
      <c r="F20" s="17" t="s">
        <v>220</v>
      </c>
      <c r="G20" s="17" t="s">
        <v>221</v>
      </c>
      <c r="H20" s="17" t="s">
        <v>53</v>
      </c>
      <c r="I20" s="17">
        <v>20060</v>
      </c>
      <c r="J20" s="17" t="s">
        <v>54</v>
      </c>
      <c r="K20" s="17" t="s">
        <v>81</v>
      </c>
      <c r="L20" s="17" t="s">
        <v>56</v>
      </c>
      <c r="M20" s="17" t="s">
        <v>181</v>
      </c>
      <c r="N20" s="17" t="s">
        <v>20</v>
      </c>
      <c r="O20" s="17" t="s">
        <v>90</v>
      </c>
      <c r="P20" s="17" t="s">
        <v>20</v>
      </c>
      <c r="Q20" s="17" t="s">
        <v>128</v>
      </c>
      <c r="R20" s="17" t="s">
        <v>20</v>
      </c>
      <c r="S20" s="17" t="s">
        <v>66</v>
      </c>
      <c r="T20" s="17">
        <v>1101</v>
      </c>
      <c r="U20" s="18">
        <v>0</v>
      </c>
      <c r="V20" s="17" t="s">
        <v>232</v>
      </c>
      <c r="W20" s="17" t="s">
        <v>223</v>
      </c>
      <c r="X20" s="17" t="s">
        <v>62</v>
      </c>
      <c r="Y20" s="17" t="s">
        <v>112</v>
      </c>
      <c r="Z20" s="17" t="s">
        <v>135</v>
      </c>
      <c r="AA20" s="29">
        <v>777720.16157600004</v>
      </c>
      <c r="AB20" s="29">
        <v>2422604.5262099998</v>
      </c>
    </row>
    <row r="21" spans="1:28" x14ac:dyDescent="0.25">
      <c r="A21" s="17">
        <v>20</v>
      </c>
      <c r="B21" s="17">
        <v>462111</v>
      </c>
      <c r="C21" s="17" t="s">
        <v>171</v>
      </c>
      <c r="D21" s="17" t="s">
        <v>52</v>
      </c>
      <c r="E21" s="17" t="s">
        <v>280</v>
      </c>
      <c r="F21" s="17" t="s">
        <v>220</v>
      </c>
      <c r="G21" s="17" t="s">
        <v>221</v>
      </c>
      <c r="H21" s="17" t="s">
        <v>63</v>
      </c>
      <c r="I21" s="17">
        <v>20193</v>
      </c>
      <c r="J21" s="17" t="s">
        <v>54</v>
      </c>
      <c r="K21" s="17" t="s">
        <v>64</v>
      </c>
      <c r="L21" s="17" t="s">
        <v>56</v>
      </c>
      <c r="M21" s="17" t="s">
        <v>150</v>
      </c>
      <c r="N21" s="17" t="s">
        <v>56</v>
      </c>
      <c r="O21" s="17" t="s">
        <v>281</v>
      </c>
      <c r="P21" s="17" t="s">
        <v>56</v>
      </c>
      <c r="Q21" s="17" t="s">
        <v>151</v>
      </c>
      <c r="R21" s="17" t="s">
        <v>20</v>
      </c>
      <c r="S21" s="17" t="s">
        <v>282</v>
      </c>
      <c r="T21" s="17">
        <v>139</v>
      </c>
      <c r="U21" s="18">
        <v>0</v>
      </c>
      <c r="V21" s="17" t="s">
        <v>232</v>
      </c>
      <c r="W21" s="17" t="s">
        <v>223</v>
      </c>
      <c r="X21" s="17" t="s">
        <v>60</v>
      </c>
      <c r="Y21" s="17" t="s">
        <v>148</v>
      </c>
      <c r="Z21" s="17" t="s">
        <v>149</v>
      </c>
      <c r="AA21" s="29">
        <v>785581.33566600003</v>
      </c>
      <c r="AB21" s="29">
        <v>2422373.3163000001</v>
      </c>
    </row>
    <row r="22" spans="1:28" x14ac:dyDescent="0.25">
      <c r="A22" s="17">
        <v>21</v>
      </c>
      <c r="B22" s="17">
        <v>462111</v>
      </c>
      <c r="C22" s="17" t="s">
        <v>171</v>
      </c>
      <c r="D22" s="17" t="s">
        <v>52</v>
      </c>
      <c r="E22" s="17" t="s">
        <v>283</v>
      </c>
      <c r="F22" s="17" t="s">
        <v>220</v>
      </c>
      <c r="G22" s="17" t="s">
        <v>221</v>
      </c>
      <c r="H22" s="17" t="s">
        <v>111</v>
      </c>
      <c r="I22" s="17">
        <v>20174</v>
      </c>
      <c r="J22" s="17" t="s">
        <v>54</v>
      </c>
      <c r="K22" s="17" t="s">
        <v>64</v>
      </c>
      <c r="L22" s="17" t="s">
        <v>56</v>
      </c>
      <c r="M22" s="17" t="s">
        <v>284</v>
      </c>
      <c r="N22" s="17" t="s">
        <v>56</v>
      </c>
      <c r="O22" s="17" t="s">
        <v>154</v>
      </c>
      <c r="P22" s="17" t="s">
        <v>20</v>
      </c>
      <c r="Q22" s="17" t="s">
        <v>158</v>
      </c>
      <c r="R22" s="17" t="s">
        <v>20</v>
      </c>
      <c r="S22" s="17" t="s">
        <v>155</v>
      </c>
      <c r="T22" s="17">
        <v>1310</v>
      </c>
      <c r="U22" s="18">
        <v>0</v>
      </c>
      <c r="V22" s="17" t="s">
        <v>228</v>
      </c>
      <c r="W22" s="17" t="s">
        <v>223</v>
      </c>
      <c r="X22" s="17" t="s">
        <v>109</v>
      </c>
      <c r="Y22" s="17" t="s">
        <v>153</v>
      </c>
      <c r="Z22" s="17" t="s">
        <v>149</v>
      </c>
      <c r="AA22" s="29">
        <v>784778.64747500001</v>
      </c>
      <c r="AB22" s="29">
        <v>2424884.1656999998</v>
      </c>
    </row>
    <row r="23" spans="1:28" x14ac:dyDescent="0.25">
      <c r="A23" s="17">
        <v>22</v>
      </c>
      <c r="B23" s="17">
        <v>462111</v>
      </c>
      <c r="C23" s="17" t="s">
        <v>171</v>
      </c>
      <c r="D23" s="17" t="s">
        <v>52</v>
      </c>
      <c r="E23" s="17" t="s">
        <v>285</v>
      </c>
      <c r="F23" s="17" t="s">
        <v>220</v>
      </c>
      <c r="G23" s="17" t="s">
        <v>221</v>
      </c>
      <c r="H23" s="17" t="s">
        <v>111</v>
      </c>
      <c r="I23" s="17">
        <v>20196</v>
      </c>
      <c r="J23" s="17" t="s">
        <v>54</v>
      </c>
      <c r="K23" s="17" t="s">
        <v>64</v>
      </c>
      <c r="L23" s="17" t="s">
        <v>56</v>
      </c>
      <c r="M23" s="17" t="s">
        <v>103</v>
      </c>
      <c r="N23" s="17" t="s">
        <v>20</v>
      </c>
      <c r="O23" s="17" t="s">
        <v>196</v>
      </c>
      <c r="P23" s="17" t="s">
        <v>56</v>
      </c>
      <c r="Q23" s="17" t="s">
        <v>286</v>
      </c>
      <c r="R23" s="17" t="s">
        <v>20</v>
      </c>
      <c r="S23" s="17" t="s">
        <v>197</v>
      </c>
      <c r="T23" s="17">
        <v>0</v>
      </c>
      <c r="U23" s="18">
        <v>0</v>
      </c>
      <c r="V23" s="17" t="s">
        <v>228</v>
      </c>
      <c r="W23" s="17" t="s">
        <v>223</v>
      </c>
      <c r="X23" s="17" t="s">
        <v>60</v>
      </c>
      <c r="Y23" s="17" t="s">
        <v>148</v>
      </c>
      <c r="Z23" s="17" t="s">
        <v>159</v>
      </c>
      <c r="AA23" s="29">
        <v>784649.45827599999</v>
      </c>
      <c r="AB23" s="29">
        <v>2423778.15368</v>
      </c>
    </row>
    <row r="24" spans="1:28" x14ac:dyDescent="0.25">
      <c r="A24" s="17">
        <v>23</v>
      </c>
      <c r="B24" s="17">
        <v>462111</v>
      </c>
      <c r="C24" s="17" t="s">
        <v>171</v>
      </c>
      <c r="D24" s="17" t="s">
        <v>52</v>
      </c>
      <c r="E24" s="17" t="s">
        <v>287</v>
      </c>
      <c r="F24" s="17" t="s">
        <v>220</v>
      </c>
      <c r="G24" s="17" t="s">
        <v>221</v>
      </c>
      <c r="H24" s="17" t="s">
        <v>111</v>
      </c>
      <c r="I24" s="17">
        <v>20179</v>
      </c>
      <c r="J24" s="17" t="s">
        <v>54</v>
      </c>
      <c r="K24" s="17" t="s">
        <v>81</v>
      </c>
      <c r="L24" s="17" t="s">
        <v>56</v>
      </c>
      <c r="M24" s="17" t="s">
        <v>161</v>
      </c>
      <c r="N24" s="17" t="s">
        <v>20</v>
      </c>
      <c r="O24" s="17" t="s">
        <v>162</v>
      </c>
      <c r="P24" s="17" t="s">
        <v>56</v>
      </c>
      <c r="Q24" s="17" t="s">
        <v>103</v>
      </c>
      <c r="R24" s="17" t="s">
        <v>20</v>
      </c>
      <c r="S24" s="17" t="s">
        <v>167</v>
      </c>
      <c r="T24" s="17">
        <v>2801</v>
      </c>
      <c r="U24" s="18">
        <v>0</v>
      </c>
      <c r="V24" s="17" t="s">
        <v>228</v>
      </c>
      <c r="W24" s="17" t="s">
        <v>288</v>
      </c>
      <c r="X24" s="17" t="s">
        <v>62</v>
      </c>
      <c r="Y24" s="17" t="s">
        <v>160</v>
      </c>
      <c r="Z24" s="17" t="s">
        <v>159</v>
      </c>
      <c r="AA24" s="29">
        <v>782912.73135200003</v>
      </c>
      <c r="AB24" s="29">
        <v>2426471.0040199999</v>
      </c>
    </row>
    <row r="25" spans="1:28" x14ac:dyDescent="0.25">
      <c r="A25" s="17">
        <v>24</v>
      </c>
      <c r="B25" s="17">
        <v>462111</v>
      </c>
      <c r="C25" s="17" t="s">
        <v>171</v>
      </c>
      <c r="D25" s="17" t="s">
        <v>52</v>
      </c>
      <c r="E25" s="17" t="s">
        <v>289</v>
      </c>
      <c r="F25" s="17" t="s">
        <v>220</v>
      </c>
      <c r="G25" s="17" t="s">
        <v>221</v>
      </c>
      <c r="H25" s="17" t="s">
        <v>111</v>
      </c>
      <c r="I25" s="17">
        <v>20170</v>
      </c>
      <c r="J25" s="17" t="s">
        <v>54</v>
      </c>
      <c r="K25" s="17" t="s">
        <v>64</v>
      </c>
      <c r="L25" s="17" t="s">
        <v>97</v>
      </c>
      <c r="M25" s="17" t="s">
        <v>157</v>
      </c>
      <c r="N25" s="17" t="s">
        <v>97</v>
      </c>
      <c r="O25" s="17" t="s">
        <v>290</v>
      </c>
      <c r="P25" s="17" t="s">
        <v>20</v>
      </c>
      <c r="Q25" s="17" t="s">
        <v>291</v>
      </c>
      <c r="R25" s="17" t="s">
        <v>20</v>
      </c>
      <c r="S25" s="17" t="s">
        <v>156</v>
      </c>
      <c r="T25" s="17">
        <v>0</v>
      </c>
      <c r="U25" s="18">
        <v>0</v>
      </c>
      <c r="V25" s="17" t="s">
        <v>292</v>
      </c>
      <c r="W25" s="17" t="s">
        <v>223</v>
      </c>
      <c r="X25" s="17" t="s">
        <v>62</v>
      </c>
      <c r="Y25" s="17" t="s">
        <v>147</v>
      </c>
      <c r="Z25" s="17" t="s">
        <v>159</v>
      </c>
      <c r="AA25" s="29">
        <v>783151.70578600001</v>
      </c>
      <c r="AB25" s="29">
        <v>2424963.4678699998</v>
      </c>
    </row>
    <row r="26" spans="1:28" x14ac:dyDescent="0.25">
      <c r="A26" s="17">
        <v>25</v>
      </c>
      <c r="B26" s="17">
        <v>462111</v>
      </c>
      <c r="C26" s="17" t="s">
        <v>171</v>
      </c>
      <c r="D26" s="17" t="s">
        <v>52</v>
      </c>
      <c r="E26" s="17" t="s">
        <v>293</v>
      </c>
      <c r="F26" s="17" t="s">
        <v>220</v>
      </c>
      <c r="G26" s="17" t="s">
        <v>221</v>
      </c>
      <c r="H26" s="17" t="s">
        <v>63</v>
      </c>
      <c r="I26" s="17">
        <v>20267</v>
      </c>
      <c r="J26" s="17" t="s">
        <v>54</v>
      </c>
      <c r="K26" s="17" t="s">
        <v>84</v>
      </c>
      <c r="L26" s="17" t="s">
        <v>56</v>
      </c>
      <c r="M26" s="17" t="s">
        <v>168</v>
      </c>
      <c r="N26" s="17" t="s">
        <v>56</v>
      </c>
      <c r="O26" s="17" t="s">
        <v>294</v>
      </c>
      <c r="P26" s="17" t="s">
        <v>56</v>
      </c>
      <c r="Q26" s="17" t="s">
        <v>139</v>
      </c>
      <c r="R26" s="17" t="s">
        <v>56</v>
      </c>
      <c r="S26" s="17" t="s">
        <v>120</v>
      </c>
      <c r="T26" s="17">
        <v>1201</v>
      </c>
      <c r="U26" s="18">
        <v>0</v>
      </c>
      <c r="X26" s="17" t="s">
        <v>59</v>
      </c>
      <c r="Y26" s="17" t="s">
        <v>114</v>
      </c>
      <c r="Z26" s="17" t="s">
        <v>169</v>
      </c>
      <c r="AA26" s="29">
        <v>781397.30350899999</v>
      </c>
      <c r="AB26" s="29">
        <v>2420868.48722</v>
      </c>
    </row>
    <row r="27" spans="1:28" x14ac:dyDescent="0.25">
      <c r="A27" s="17">
        <v>26</v>
      </c>
      <c r="B27" s="17">
        <v>462111</v>
      </c>
      <c r="C27" s="17" t="s">
        <v>171</v>
      </c>
      <c r="D27" s="17" t="s">
        <v>52</v>
      </c>
      <c r="E27" s="17" t="s">
        <v>295</v>
      </c>
      <c r="F27" s="17" t="s">
        <v>220</v>
      </c>
      <c r="G27" s="17" t="s">
        <v>221</v>
      </c>
      <c r="H27" s="17" t="s">
        <v>63</v>
      </c>
      <c r="I27" s="17">
        <v>20264</v>
      </c>
      <c r="J27" s="17" t="s">
        <v>54</v>
      </c>
      <c r="K27" s="17" t="s">
        <v>64</v>
      </c>
      <c r="L27" s="17" t="s">
        <v>95</v>
      </c>
      <c r="M27" s="17" t="s">
        <v>296</v>
      </c>
      <c r="N27" s="17" t="s">
        <v>20</v>
      </c>
      <c r="O27" s="17" t="s">
        <v>297</v>
      </c>
      <c r="P27" s="17" t="s">
        <v>20</v>
      </c>
      <c r="Q27" s="17" t="s">
        <v>176</v>
      </c>
      <c r="R27" s="17" t="s">
        <v>20</v>
      </c>
      <c r="S27" s="17" t="s">
        <v>298</v>
      </c>
      <c r="T27" s="17">
        <v>106</v>
      </c>
      <c r="U27" s="18">
        <v>0</v>
      </c>
      <c r="V27" s="17" t="s">
        <v>232</v>
      </c>
      <c r="W27" s="17" t="s">
        <v>223</v>
      </c>
      <c r="X27" s="17" t="s">
        <v>60</v>
      </c>
      <c r="Y27" s="17" t="s">
        <v>106</v>
      </c>
      <c r="Z27" s="17" t="s">
        <v>169</v>
      </c>
      <c r="AA27" s="29">
        <v>783568.02637199999</v>
      </c>
      <c r="AB27" s="29">
        <v>2420341.2269000001</v>
      </c>
    </row>
    <row r="28" spans="1:28" x14ac:dyDescent="0.25">
      <c r="A28" s="17">
        <v>27</v>
      </c>
      <c r="B28" s="17">
        <v>462111</v>
      </c>
      <c r="C28" s="17" t="s">
        <v>171</v>
      </c>
      <c r="D28" s="17" t="s">
        <v>52</v>
      </c>
      <c r="E28" s="17" t="s">
        <v>299</v>
      </c>
      <c r="F28" s="17" t="s">
        <v>220</v>
      </c>
      <c r="G28" s="17" t="s">
        <v>221</v>
      </c>
      <c r="H28" s="17" t="s">
        <v>63</v>
      </c>
      <c r="I28" s="17">
        <v>20286</v>
      </c>
      <c r="J28" s="17" t="s">
        <v>54</v>
      </c>
      <c r="K28" s="17" t="s">
        <v>81</v>
      </c>
      <c r="L28" s="17" t="s">
        <v>56</v>
      </c>
      <c r="M28" s="17" t="s">
        <v>103</v>
      </c>
      <c r="N28" s="17" t="s">
        <v>56</v>
      </c>
      <c r="O28" s="17" t="s">
        <v>300</v>
      </c>
      <c r="P28" s="17" t="s">
        <v>56</v>
      </c>
      <c r="Q28" s="17" t="s">
        <v>108</v>
      </c>
      <c r="R28" s="17" t="s">
        <v>56</v>
      </c>
      <c r="S28" s="17" t="s">
        <v>235</v>
      </c>
      <c r="T28" s="17">
        <v>3978</v>
      </c>
      <c r="U28" s="18">
        <v>0</v>
      </c>
      <c r="V28" s="17" t="s">
        <v>232</v>
      </c>
      <c r="W28" s="17" t="s">
        <v>288</v>
      </c>
      <c r="X28" s="17" t="s">
        <v>60</v>
      </c>
      <c r="Y28" s="17" t="s">
        <v>106</v>
      </c>
      <c r="Z28" s="17" t="s">
        <v>169</v>
      </c>
      <c r="AA28" s="29">
        <v>782374.49471700005</v>
      </c>
      <c r="AB28" s="29">
        <v>2419370.1311900001</v>
      </c>
    </row>
    <row r="29" spans="1:28" x14ac:dyDescent="0.25">
      <c r="A29" s="17">
        <v>28</v>
      </c>
      <c r="B29" s="17">
        <v>462111</v>
      </c>
      <c r="C29" s="17" t="s">
        <v>171</v>
      </c>
      <c r="D29" s="17" t="s">
        <v>52</v>
      </c>
      <c r="E29" s="17" t="s">
        <v>301</v>
      </c>
      <c r="F29" s="17" t="s">
        <v>220</v>
      </c>
      <c r="G29" s="17" t="s">
        <v>221</v>
      </c>
      <c r="H29" s="17" t="s">
        <v>111</v>
      </c>
      <c r="I29" s="17">
        <v>20158</v>
      </c>
      <c r="J29" s="17" t="s">
        <v>54</v>
      </c>
      <c r="K29" s="17" t="s">
        <v>64</v>
      </c>
      <c r="L29" s="17" t="s">
        <v>56</v>
      </c>
      <c r="M29" s="17" t="s">
        <v>302</v>
      </c>
      <c r="N29" s="17" t="s">
        <v>20</v>
      </c>
      <c r="O29" s="17" t="s">
        <v>182</v>
      </c>
      <c r="P29" s="17" t="s">
        <v>20</v>
      </c>
      <c r="Q29" s="17" t="s">
        <v>183</v>
      </c>
      <c r="R29" s="17" t="s">
        <v>57</v>
      </c>
      <c r="S29" s="17" t="s">
        <v>182</v>
      </c>
      <c r="T29" s="17">
        <v>218</v>
      </c>
      <c r="U29" s="18">
        <v>0</v>
      </c>
      <c r="V29" s="17" t="s">
        <v>232</v>
      </c>
      <c r="W29" s="17" t="s">
        <v>223</v>
      </c>
      <c r="X29" s="17" t="s">
        <v>62</v>
      </c>
      <c r="Y29" s="17" t="s">
        <v>106</v>
      </c>
      <c r="Z29" s="17" t="s">
        <v>169</v>
      </c>
      <c r="AA29" s="29">
        <v>782063.59915499995</v>
      </c>
      <c r="AB29" s="29">
        <v>2421332.27397</v>
      </c>
    </row>
    <row r="30" spans="1:28" x14ac:dyDescent="0.25">
      <c r="A30" s="17">
        <v>29</v>
      </c>
      <c r="B30" s="17">
        <v>462111</v>
      </c>
      <c r="C30" s="17" t="s">
        <v>171</v>
      </c>
      <c r="D30" s="17" t="s">
        <v>52</v>
      </c>
      <c r="E30" s="17" t="s">
        <v>303</v>
      </c>
      <c r="F30" s="17" t="s">
        <v>220</v>
      </c>
      <c r="G30" s="17" t="s">
        <v>221</v>
      </c>
      <c r="H30" s="17" t="s">
        <v>111</v>
      </c>
      <c r="I30" s="17">
        <v>20298</v>
      </c>
      <c r="J30" s="17" t="s">
        <v>54</v>
      </c>
      <c r="K30" s="17" t="s">
        <v>81</v>
      </c>
      <c r="L30" s="17" t="s">
        <v>56</v>
      </c>
      <c r="M30" s="17" t="s">
        <v>174</v>
      </c>
      <c r="N30" s="17" t="s">
        <v>20</v>
      </c>
      <c r="O30" s="17" t="s">
        <v>179</v>
      </c>
      <c r="P30" s="17" t="s">
        <v>20</v>
      </c>
      <c r="Q30" s="17" t="s">
        <v>173</v>
      </c>
      <c r="R30" s="17" t="s">
        <v>20</v>
      </c>
      <c r="S30" s="17" t="s">
        <v>172</v>
      </c>
      <c r="T30" s="17">
        <v>0</v>
      </c>
      <c r="U30" s="18">
        <v>0</v>
      </c>
      <c r="V30" s="17" t="s">
        <v>232</v>
      </c>
      <c r="W30" s="17" t="s">
        <v>223</v>
      </c>
      <c r="X30" s="17" t="s">
        <v>109</v>
      </c>
      <c r="Y30" s="17" t="s">
        <v>106</v>
      </c>
      <c r="Z30" s="17" t="s">
        <v>169</v>
      </c>
      <c r="AA30" s="29">
        <v>783641.37858100003</v>
      </c>
      <c r="AB30" s="29">
        <v>2418898.3305299999</v>
      </c>
    </row>
    <row r="31" spans="1:28" x14ac:dyDescent="0.25">
      <c r="A31" s="17">
        <v>30</v>
      </c>
      <c r="B31" s="17">
        <v>462111</v>
      </c>
      <c r="C31" s="17" t="s">
        <v>171</v>
      </c>
      <c r="D31" s="17" t="s">
        <v>52</v>
      </c>
      <c r="E31" s="17" t="s">
        <v>304</v>
      </c>
      <c r="F31" s="17" t="s">
        <v>220</v>
      </c>
      <c r="G31" s="17" t="s">
        <v>246</v>
      </c>
      <c r="H31" s="17" t="s">
        <v>111</v>
      </c>
      <c r="I31" s="17">
        <v>20050</v>
      </c>
      <c r="J31" s="17" t="s">
        <v>54</v>
      </c>
      <c r="K31" s="17" t="s">
        <v>84</v>
      </c>
      <c r="L31" s="17" t="s">
        <v>56</v>
      </c>
      <c r="M31" s="17" t="s">
        <v>186</v>
      </c>
      <c r="N31" s="17" t="s">
        <v>20</v>
      </c>
      <c r="O31" s="17" t="s">
        <v>250</v>
      </c>
      <c r="P31" s="17" t="s">
        <v>20</v>
      </c>
      <c r="Q31" s="17" t="s">
        <v>250</v>
      </c>
      <c r="R31" s="17" t="s">
        <v>20</v>
      </c>
      <c r="S31" s="17" t="s">
        <v>250</v>
      </c>
      <c r="T31" s="17">
        <v>105</v>
      </c>
      <c r="U31" s="18">
        <v>0</v>
      </c>
      <c r="X31" s="17" t="s">
        <v>62</v>
      </c>
      <c r="Y31" s="17" t="s">
        <v>106</v>
      </c>
      <c r="Z31" s="17" t="s">
        <v>169</v>
      </c>
      <c r="AA31" s="29">
        <v>781735.44440699997</v>
      </c>
      <c r="AB31" s="29">
        <v>2419853.9005999998</v>
      </c>
    </row>
    <row r="32" spans="1:28" x14ac:dyDescent="0.25">
      <c r="A32" s="17">
        <v>31</v>
      </c>
      <c r="B32" s="17">
        <v>462111</v>
      </c>
      <c r="C32" s="17" t="s">
        <v>171</v>
      </c>
      <c r="D32" s="17" t="s">
        <v>52</v>
      </c>
      <c r="E32" s="17" t="s">
        <v>305</v>
      </c>
      <c r="F32" s="17" t="s">
        <v>220</v>
      </c>
      <c r="G32" s="17" t="s">
        <v>221</v>
      </c>
      <c r="H32" s="17" t="s">
        <v>71</v>
      </c>
      <c r="I32" s="17">
        <v>20255</v>
      </c>
      <c r="J32" s="17" t="s">
        <v>54</v>
      </c>
      <c r="K32" s="17" t="s">
        <v>64</v>
      </c>
      <c r="L32" s="17" t="s">
        <v>56</v>
      </c>
      <c r="M32" s="17" t="s">
        <v>131</v>
      </c>
      <c r="N32" s="17" t="s">
        <v>86</v>
      </c>
      <c r="O32" s="17" t="s">
        <v>306</v>
      </c>
      <c r="P32" s="17" t="s">
        <v>56</v>
      </c>
      <c r="Q32" s="17" t="s">
        <v>307</v>
      </c>
      <c r="R32" s="17" t="s">
        <v>20</v>
      </c>
      <c r="S32" s="17" t="s">
        <v>308</v>
      </c>
      <c r="T32" s="17">
        <v>506</v>
      </c>
      <c r="U32" s="18">
        <v>0</v>
      </c>
      <c r="V32" s="17" t="s">
        <v>228</v>
      </c>
      <c r="W32" s="17" t="s">
        <v>223</v>
      </c>
      <c r="X32" s="17" t="s">
        <v>109</v>
      </c>
      <c r="Y32" s="17" t="s">
        <v>106</v>
      </c>
      <c r="Z32" s="17" t="s">
        <v>169</v>
      </c>
      <c r="AA32" s="29">
        <v>782194.87389499997</v>
      </c>
      <c r="AB32" s="29">
        <v>2421337.3841900001</v>
      </c>
    </row>
    <row r="33" spans="1:28" x14ac:dyDescent="0.25">
      <c r="A33" s="17">
        <v>32</v>
      </c>
      <c r="B33" s="17">
        <v>462111</v>
      </c>
      <c r="C33" s="17" t="s">
        <v>171</v>
      </c>
      <c r="D33" s="17" t="s">
        <v>52</v>
      </c>
      <c r="E33" s="17" t="s">
        <v>309</v>
      </c>
      <c r="F33" s="17" t="s">
        <v>220</v>
      </c>
      <c r="G33" s="17" t="s">
        <v>246</v>
      </c>
      <c r="H33" s="17" t="s">
        <v>63</v>
      </c>
      <c r="I33" s="17">
        <v>20198</v>
      </c>
      <c r="J33" s="17" t="s">
        <v>54</v>
      </c>
      <c r="K33" s="17" t="s">
        <v>84</v>
      </c>
      <c r="L33" s="17" t="s">
        <v>56</v>
      </c>
      <c r="M33" s="17" t="s">
        <v>178</v>
      </c>
      <c r="N33" s="17" t="s">
        <v>56</v>
      </c>
      <c r="O33" s="17" t="s">
        <v>177</v>
      </c>
      <c r="P33" s="17" t="s">
        <v>20</v>
      </c>
      <c r="Q33" s="17" t="s">
        <v>58</v>
      </c>
      <c r="R33" s="17" t="s">
        <v>57</v>
      </c>
      <c r="S33" s="17" t="s">
        <v>310</v>
      </c>
      <c r="T33" s="17">
        <v>120</v>
      </c>
      <c r="U33" s="18">
        <v>0</v>
      </c>
      <c r="X33" s="17" t="s">
        <v>80</v>
      </c>
      <c r="Y33" s="17" t="s">
        <v>152</v>
      </c>
      <c r="Z33" s="17" t="s">
        <v>169</v>
      </c>
      <c r="AA33" s="29">
        <v>782954.11953200004</v>
      </c>
      <c r="AB33" s="29">
        <v>2421957.0471700002</v>
      </c>
    </row>
    <row r="34" spans="1:28" x14ac:dyDescent="0.25">
      <c r="A34" s="17">
        <v>33</v>
      </c>
      <c r="B34" s="17">
        <v>462111</v>
      </c>
      <c r="C34" s="17" t="s">
        <v>171</v>
      </c>
      <c r="D34" s="17" t="s">
        <v>52</v>
      </c>
      <c r="E34" s="17" t="s">
        <v>311</v>
      </c>
      <c r="F34" s="17" t="s">
        <v>220</v>
      </c>
      <c r="G34" s="17" t="s">
        <v>252</v>
      </c>
      <c r="H34" s="17" t="s">
        <v>67</v>
      </c>
      <c r="I34" s="17">
        <v>20198</v>
      </c>
      <c r="J34" s="17" t="s">
        <v>54</v>
      </c>
      <c r="K34" s="17" t="s">
        <v>64</v>
      </c>
      <c r="L34" s="17" t="s">
        <v>56</v>
      </c>
      <c r="M34" s="17" t="s">
        <v>178</v>
      </c>
      <c r="N34" s="17" t="s">
        <v>20</v>
      </c>
      <c r="O34" s="17" t="s">
        <v>177</v>
      </c>
      <c r="P34" s="17" t="s">
        <v>57</v>
      </c>
      <c r="Q34" s="17" t="s">
        <v>312</v>
      </c>
      <c r="R34" s="17" t="s">
        <v>56</v>
      </c>
      <c r="S34" s="17" t="s">
        <v>166</v>
      </c>
      <c r="T34" s="17">
        <v>120</v>
      </c>
      <c r="U34" s="18">
        <v>0</v>
      </c>
      <c r="W34" s="17" t="s">
        <v>253</v>
      </c>
      <c r="X34" s="17" t="s">
        <v>82</v>
      </c>
      <c r="Y34" s="17" t="s">
        <v>152</v>
      </c>
      <c r="Z34" s="17" t="s">
        <v>169</v>
      </c>
      <c r="AA34" s="29">
        <v>783040.39778799994</v>
      </c>
      <c r="AB34" s="29">
        <v>2421893.0245599998</v>
      </c>
    </row>
    <row r="35" spans="1:28" x14ac:dyDescent="0.25">
      <c r="A35" s="17">
        <v>34</v>
      </c>
      <c r="B35" s="17">
        <v>462111</v>
      </c>
      <c r="C35" s="17" t="s">
        <v>171</v>
      </c>
      <c r="D35" s="17" t="s">
        <v>52</v>
      </c>
      <c r="E35" s="17" t="s">
        <v>313</v>
      </c>
      <c r="F35" s="17" t="s">
        <v>220</v>
      </c>
      <c r="G35" s="17" t="s">
        <v>221</v>
      </c>
      <c r="H35" s="17" t="s">
        <v>63</v>
      </c>
      <c r="I35" s="17">
        <v>20126</v>
      </c>
      <c r="J35" s="17" t="s">
        <v>54</v>
      </c>
      <c r="K35" s="17" t="s">
        <v>64</v>
      </c>
      <c r="L35" s="17" t="s">
        <v>56</v>
      </c>
      <c r="M35" s="17" t="s">
        <v>141</v>
      </c>
      <c r="N35" s="17" t="s">
        <v>56</v>
      </c>
      <c r="O35" s="17" t="s">
        <v>314</v>
      </c>
      <c r="P35" s="17" t="s">
        <v>20</v>
      </c>
      <c r="Q35" s="17" t="s">
        <v>175</v>
      </c>
      <c r="R35" s="17" t="s">
        <v>20</v>
      </c>
      <c r="S35" s="17" t="s">
        <v>175</v>
      </c>
      <c r="T35" s="17">
        <v>503</v>
      </c>
      <c r="U35" s="18">
        <v>0</v>
      </c>
      <c r="V35" s="17" t="s">
        <v>232</v>
      </c>
      <c r="W35" s="17" t="s">
        <v>223</v>
      </c>
      <c r="X35" s="17" t="s">
        <v>62</v>
      </c>
      <c r="Y35" s="17" t="s">
        <v>160</v>
      </c>
      <c r="Z35" s="17" t="s">
        <v>180</v>
      </c>
      <c r="AA35" s="29">
        <v>780507.563983</v>
      </c>
      <c r="AB35" s="29">
        <v>2426904.4464199999</v>
      </c>
    </row>
    <row r="36" spans="1:28" x14ac:dyDescent="0.25">
      <c r="A36" s="17">
        <v>35</v>
      </c>
      <c r="B36" s="17">
        <v>462111</v>
      </c>
      <c r="C36" s="17" t="s">
        <v>171</v>
      </c>
      <c r="D36" s="17" t="s">
        <v>52</v>
      </c>
      <c r="E36" s="17" t="s">
        <v>315</v>
      </c>
      <c r="F36" s="17" t="s">
        <v>220</v>
      </c>
      <c r="G36" s="17" t="s">
        <v>316</v>
      </c>
      <c r="H36" s="17" t="s">
        <v>63</v>
      </c>
      <c r="I36" s="17">
        <v>20116</v>
      </c>
      <c r="J36" s="17" t="s">
        <v>54</v>
      </c>
      <c r="K36" s="17" t="s">
        <v>81</v>
      </c>
      <c r="L36" s="17" t="s">
        <v>69</v>
      </c>
      <c r="M36" s="17" t="s">
        <v>144</v>
      </c>
      <c r="N36" s="17" t="s">
        <v>69</v>
      </c>
      <c r="O36" s="17" t="s">
        <v>58</v>
      </c>
      <c r="P36" s="17" t="s">
        <v>69</v>
      </c>
      <c r="Q36" s="17" t="s">
        <v>58</v>
      </c>
      <c r="R36" s="17" t="s">
        <v>69</v>
      </c>
      <c r="S36" s="17" t="s">
        <v>58</v>
      </c>
      <c r="T36" s="17">
        <v>849</v>
      </c>
      <c r="U36" s="18">
        <v>0</v>
      </c>
      <c r="V36" s="17" t="s">
        <v>317</v>
      </c>
      <c r="W36" s="17" t="s">
        <v>318</v>
      </c>
      <c r="X36" s="17" t="s">
        <v>70</v>
      </c>
      <c r="Y36" s="17" t="s">
        <v>160</v>
      </c>
      <c r="Z36" s="17" t="s">
        <v>180</v>
      </c>
      <c r="AA36" s="29">
        <v>779938.44134400005</v>
      </c>
      <c r="AB36" s="29">
        <v>2426660.0461800001</v>
      </c>
    </row>
    <row r="37" spans="1:28" x14ac:dyDescent="0.25">
      <c r="A37" s="17">
        <v>36</v>
      </c>
      <c r="B37" s="17">
        <v>462111</v>
      </c>
      <c r="C37" s="17" t="s">
        <v>171</v>
      </c>
      <c r="D37" s="17" t="s">
        <v>52</v>
      </c>
      <c r="E37" s="17" t="s">
        <v>319</v>
      </c>
      <c r="F37" s="17" t="s">
        <v>220</v>
      </c>
      <c r="G37" s="17" t="s">
        <v>246</v>
      </c>
      <c r="H37" s="17" t="s">
        <v>63</v>
      </c>
      <c r="I37" s="17">
        <v>20120</v>
      </c>
      <c r="J37" s="17" t="s">
        <v>54</v>
      </c>
      <c r="K37" s="17" t="s">
        <v>81</v>
      </c>
      <c r="L37" s="17" t="s">
        <v>56</v>
      </c>
      <c r="M37" s="17" t="s">
        <v>186</v>
      </c>
      <c r="N37" s="17" t="s">
        <v>20</v>
      </c>
      <c r="O37" s="17" t="s">
        <v>250</v>
      </c>
      <c r="P37" s="17" t="s">
        <v>20</v>
      </c>
      <c r="Q37" s="17" t="s">
        <v>250</v>
      </c>
      <c r="R37" s="17" t="s">
        <v>20</v>
      </c>
      <c r="S37" s="17" t="s">
        <v>250</v>
      </c>
      <c r="T37" s="17">
        <v>802</v>
      </c>
      <c r="U37" s="18">
        <v>0</v>
      </c>
      <c r="X37" s="17" t="s">
        <v>62</v>
      </c>
      <c r="Y37" s="17" t="s">
        <v>160</v>
      </c>
      <c r="Z37" s="17" t="s">
        <v>180</v>
      </c>
      <c r="AA37" s="29">
        <v>779869.96834499994</v>
      </c>
      <c r="AB37" s="29">
        <v>2425957.7722100001</v>
      </c>
    </row>
    <row r="38" spans="1:28" x14ac:dyDescent="0.25">
      <c r="A38" s="17">
        <v>37</v>
      </c>
      <c r="B38" s="17">
        <v>462111</v>
      </c>
      <c r="C38" s="17" t="s">
        <v>171</v>
      </c>
      <c r="D38" s="17" t="s">
        <v>52</v>
      </c>
      <c r="E38" s="17" t="s">
        <v>320</v>
      </c>
      <c r="F38" s="17" t="s">
        <v>220</v>
      </c>
      <c r="G38" s="17" t="s">
        <v>321</v>
      </c>
      <c r="H38" s="17" t="s">
        <v>75</v>
      </c>
      <c r="I38" s="17">
        <v>20311</v>
      </c>
      <c r="J38" s="17" t="s">
        <v>54</v>
      </c>
      <c r="K38" s="17" t="s">
        <v>322</v>
      </c>
      <c r="L38" s="17" t="s">
        <v>56</v>
      </c>
      <c r="M38" s="17" t="s">
        <v>121</v>
      </c>
      <c r="N38" s="17" t="s">
        <v>20</v>
      </c>
      <c r="O38" s="17" t="s">
        <v>323</v>
      </c>
      <c r="P38" s="17" t="s">
        <v>97</v>
      </c>
      <c r="Q38" s="17" t="s">
        <v>123</v>
      </c>
      <c r="R38" s="17" t="s">
        <v>69</v>
      </c>
      <c r="S38" s="17" t="s">
        <v>324</v>
      </c>
      <c r="T38" s="17">
        <v>802</v>
      </c>
      <c r="U38" s="18">
        <v>5510103450</v>
      </c>
      <c r="V38" s="17" t="s">
        <v>325</v>
      </c>
      <c r="W38" s="17" t="s">
        <v>326</v>
      </c>
      <c r="X38" s="17" t="s">
        <v>62</v>
      </c>
      <c r="Y38" s="17" t="s">
        <v>160</v>
      </c>
      <c r="Z38" s="17" t="s">
        <v>180</v>
      </c>
      <c r="AA38" s="29">
        <v>780235.00055600004</v>
      </c>
      <c r="AB38" s="29">
        <v>2425947.8499400001</v>
      </c>
    </row>
    <row r="39" spans="1:28" x14ac:dyDescent="0.25">
      <c r="A39" s="17">
        <v>38</v>
      </c>
      <c r="B39" s="17">
        <v>462111</v>
      </c>
      <c r="C39" s="17" t="s">
        <v>171</v>
      </c>
      <c r="D39" s="17" t="s">
        <v>52</v>
      </c>
      <c r="E39" s="17" t="s">
        <v>327</v>
      </c>
      <c r="F39" s="17" t="s">
        <v>220</v>
      </c>
      <c r="G39" s="17" t="s">
        <v>327</v>
      </c>
      <c r="H39" s="17" t="s">
        <v>75</v>
      </c>
      <c r="I39" s="17">
        <v>20126</v>
      </c>
      <c r="J39" s="17" t="s">
        <v>54</v>
      </c>
      <c r="K39" s="17" t="s">
        <v>55</v>
      </c>
      <c r="L39" s="17" t="s">
        <v>56</v>
      </c>
      <c r="M39" s="17" t="s">
        <v>141</v>
      </c>
      <c r="N39" s="17" t="s">
        <v>72</v>
      </c>
      <c r="O39" s="17" t="s">
        <v>184</v>
      </c>
      <c r="P39" s="17" t="s">
        <v>20</v>
      </c>
      <c r="Q39" s="17" t="s">
        <v>185</v>
      </c>
      <c r="R39" s="17" t="s">
        <v>72</v>
      </c>
      <c r="S39" s="17" t="s">
        <v>184</v>
      </c>
      <c r="T39" s="17">
        <v>805</v>
      </c>
      <c r="U39" s="18">
        <v>0</v>
      </c>
      <c r="X39" s="17" t="s">
        <v>85</v>
      </c>
      <c r="Y39" s="17" t="s">
        <v>160</v>
      </c>
      <c r="Z39" s="17" t="s">
        <v>180</v>
      </c>
      <c r="AA39" s="29">
        <v>780586.94636900001</v>
      </c>
      <c r="AB39" s="29">
        <v>2427298.6442300002</v>
      </c>
    </row>
    <row r="40" spans="1:28" x14ac:dyDescent="0.25">
      <c r="A40" s="17">
        <v>39</v>
      </c>
      <c r="B40" s="17">
        <v>462111</v>
      </c>
      <c r="C40" s="17" t="s">
        <v>171</v>
      </c>
      <c r="D40" s="17" t="s">
        <v>52</v>
      </c>
      <c r="E40" s="17" t="s">
        <v>328</v>
      </c>
      <c r="F40" s="17" t="s">
        <v>220</v>
      </c>
      <c r="G40" s="17" t="s">
        <v>246</v>
      </c>
      <c r="H40" s="17" t="s">
        <v>111</v>
      </c>
      <c r="I40" s="17">
        <v>20126</v>
      </c>
      <c r="J40" s="17" t="s">
        <v>54</v>
      </c>
      <c r="K40" s="17" t="s">
        <v>68</v>
      </c>
      <c r="L40" s="17" t="s">
        <v>56</v>
      </c>
      <c r="M40" s="17" t="s">
        <v>329</v>
      </c>
      <c r="R40" s="17" t="s">
        <v>20</v>
      </c>
      <c r="S40" s="17" t="s">
        <v>250</v>
      </c>
      <c r="T40" s="17">
        <v>2302</v>
      </c>
      <c r="U40" s="18">
        <v>0</v>
      </c>
      <c r="X40" s="17" t="s">
        <v>62</v>
      </c>
      <c r="Y40" s="17" t="s">
        <v>160</v>
      </c>
      <c r="Z40" s="17" t="s">
        <v>180</v>
      </c>
      <c r="AA40" s="29">
        <v>782418.68072499998</v>
      </c>
      <c r="AB40" s="29">
        <v>2427247.1253599999</v>
      </c>
    </row>
    <row r="41" spans="1:28" x14ac:dyDescent="0.25">
      <c r="A41" s="17">
        <v>40</v>
      </c>
      <c r="B41" s="17">
        <v>462111</v>
      </c>
      <c r="C41" s="17" t="s">
        <v>171</v>
      </c>
      <c r="D41" s="17" t="s">
        <v>52</v>
      </c>
      <c r="E41" s="17" t="s">
        <v>330</v>
      </c>
      <c r="F41" s="17" t="s">
        <v>220</v>
      </c>
      <c r="G41" s="17" t="s">
        <v>221</v>
      </c>
      <c r="H41" s="17" t="s">
        <v>75</v>
      </c>
      <c r="I41" s="17">
        <v>20180</v>
      </c>
      <c r="J41" s="17" t="s">
        <v>54</v>
      </c>
      <c r="K41" s="17" t="s">
        <v>81</v>
      </c>
      <c r="L41" s="17" t="s">
        <v>56</v>
      </c>
      <c r="M41" s="17" t="s">
        <v>331</v>
      </c>
      <c r="N41" s="17" t="s">
        <v>56</v>
      </c>
      <c r="O41" s="17" t="s">
        <v>164</v>
      </c>
      <c r="P41" s="17" t="s">
        <v>56</v>
      </c>
      <c r="Q41" s="17" t="s">
        <v>138</v>
      </c>
      <c r="R41" s="17" t="s">
        <v>56</v>
      </c>
      <c r="S41" s="17" t="s">
        <v>122</v>
      </c>
      <c r="T41" s="17">
        <v>904</v>
      </c>
      <c r="U41" s="18">
        <v>0</v>
      </c>
      <c r="V41" s="17" t="s">
        <v>232</v>
      </c>
      <c r="W41" s="17" t="s">
        <v>288</v>
      </c>
      <c r="X41" s="17" t="s">
        <v>62</v>
      </c>
      <c r="Y41" s="17" t="s">
        <v>147</v>
      </c>
      <c r="Z41" s="17" t="s">
        <v>180</v>
      </c>
      <c r="AA41" s="29">
        <v>781716.74729700002</v>
      </c>
      <c r="AB41" s="29">
        <v>2423171.8001000001</v>
      </c>
    </row>
    <row r="42" spans="1:28" x14ac:dyDescent="0.25">
      <c r="A42" s="17">
        <v>41</v>
      </c>
      <c r="B42" s="17">
        <v>462111</v>
      </c>
      <c r="C42" s="17" t="s">
        <v>171</v>
      </c>
      <c r="D42" s="17" t="s">
        <v>52</v>
      </c>
      <c r="E42" s="17" t="s">
        <v>332</v>
      </c>
      <c r="F42" s="17" t="s">
        <v>220</v>
      </c>
      <c r="G42" s="17" t="s">
        <v>221</v>
      </c>
      <c r="H42" s="17" t="s">
        <v>111</v>
      </c>
      <c r="I42" s="17">
        <v>20126</v>
      </c>
      <c r="J42" s="17" t="s">
        <v>54</v>
      </c>
      <c r="K42" s="17" t="s">
        <v>64</v>
      </c>
      <c r="L42" s="17" t="s">
        <v>56</v>
      </c>
      <c r="M42" s="17" t="s">
        <v>191</v>
      </c>
      <c r="N42" s="17" t="s">
        <v>20</v>
      </c>
      <c r="O42" s="17" t="s">
        <v>333</v>
      </c>
      <c r="P42" s="17" t="s">
        <v>20</v>
      </c>
      <c r="Q42" s="17" t="s">
        <v>189</v>
      </c>
      <c r="R42" s="17" t="s">
        <v>20</v>
      </c>
      <c r="S42" s="17" t="s">
        <v>334</v>
      </c>
      <c r="T42" s="17">
        <v>203</v>
      </c>
      <c r="U42" s="18">
        <v>0</v>
      </c>
      <c r="V42" s="17" t="s">
        <v>232</v>
      </c>
      <c r="W42" s="17" t="s">
        <v>223</v>
      </c>
      <c r="X42" s="17" t="s">
        <v>109</v>
      </c>
      <c r="Y42" s="17" t="s">
        <v>153</v>
      </c>
      <c r="Z42" s="17" t="s">
        <v>188</v>
      </c>
      <c r="AA42" s="29">
        <v>783077.12129299995</v>
      </c>
      <c r="AB42" s="29">
        <v>2427718.04575</v>
      </c>
    </row>
    <row r="43" spans="1:28" x14ac:dyDescent="0.25">
      <c r="A43" s="17">
        <v>42</v>
      </c>
      <c r="B43" s="17">
        <v>462111</v>
      </c>
      <c r="C43" s="17" t="s">
        <v>171</v>
      </c>
      <c r="D43" s="17" t="s">
        <v>52</v>
      </c>
      <c r="E43" s="17" t="s">
        <v>335</v>
      </c>
      <c r="F43" s="17" t="s">
        <v>220</v>
      </c>
      <c r="G43" s="17" t="s">
        <v>221</v>
      </c>
      <c r="H43" s="17" t="s">
        <v>111</v>
      </c>
      <c r="I43" s="17">
        <v>20126</v>
      </c>
      <c r="J43" s="17" t="s">
        <v>54</v>
      </c>
      <c r="K43" s="17" t="s">
        <v>64</v>
      </c>
      <c r="L43" s="17" t="s">
        <v>56</v>
      </c>
      <c r="M43" s="17" t="s">
        <v>190</v>
      </c>
      <c r="N43" s="17" t="s">
        <v>56</v>
      </c>
      <c r="O43" s="17" t="s">
        <v>336</v>
      </c>
      <c r="P43" s="17" t="s">
        <v>56</v>
      </c>
      <c r="Q43" s="17" t="s">
        <v>337</v>
      </c>
      <c r="R43" s="17" t="s">
        <v>72</v>
      </c>
      <c r="S43" s="17" t="s">
        <v>338</v>
      </c>
      <c r="T43" s="17">
        <v>720</v>
      </c>
      <c r="U43" s="18">
        <v>0</v>
      </c>
      <c r="V43" s="17" t="s">
        <v>232</v>
      </c>
      <c r="W43" s="17" t="s">
        <v>339</v>
      </c>
      <c r="X43" s="17" t="s">
        <v>60</v>
      </c>
      <c r="Y43" s="17" t="s">
        <v>153</v>
      </c>
      <c r="Z43" s="17" t="s">
        <v>188</v>
      </c>
      <c r="AA43" s="29">
        <v>783942.9682</v>
      </c>
      <c r="AB43" s="29">
        <v>2428267.41322</v>
      </c>
    </row>
    <row r="44" spans="1:28" x14ac:dyDescent="0.25">
      <c r="A44" s="17">
        <v>43</v>
      </c>
      <c r="B44" s="17">
        <v>462111</v>
      </c>
      <c r="C44" s="17" t="s">
        <v>171</v>
      </c>
      <c r="D44" s="17" t="s">
        <v>52</v>
      </c>
      <c r="E44" s="17" t="s">
        <v>340</v>
      </c>
      <c r="F44" s="17" t="s">
        <v>220</v>
      </c>
      <c r="G44" s="17" t="s">
        <v>252</v>
      </c>
      <c r="H44" s="17" t="s">
        <v>63</v>
      </c>
      <c r="I44" s="17">
        <v>20196</v>
      </c>
      <c r="J44" s="17" t="s">
        <v>54</v>
      </c>
      <c r="K44" s="17" t="s">
        <v>64</v>
      </c>
      <c r="L44" s="17" t="s">
        <v>20</v>
      </c>
      <c r="M44" s="17" t="s">
        <v>196</v>
      </c>
      <c r="N44" s="17" t="s">
        <v>56</v>
      </c>
      <c r="O44" s="17" t="s">
        <v>103</v>
      </c>
      <c r="P44" s="17" t="s">
        <v>20</v>
      </c>
      <c r="Q44" s="17" t="s">
        <v>197</v>
      </c>
      <c r="R44" s="17" t="s">
        <v>56</v>
      </c>
      <c r="S44" s="17" t="s">
        <v>194</v>
      </c>
      <c r="T44" s="17">
        <v>0</v>
      </c>
      <c r="U44" s="18">
        <v>0</v>
      </c>
      <c r="W44" s="17" t="s">
        <v>253</v>
      </c>
      <c r="X44" s="17" t="s">
        <v>62</v>
      </c>
      <c r="Y44" s="17" t="s">
        <v>148</v>
      </c>
      <c r="Z44" s="17" t="s">
        <v>195</v>
      </c>
      <c r="AA44" s="29">
        <v>783989.07394999999</v>
      </c>
      <c r="AB44" s="29">
        <v>2423033.5079100002</v>
      </c>
    </row>
    <row r="45" spans="1:28" x14ac:dyDescent="0.25">
      <c r="A45" s="17">
        <v>44</v>
      </c>
      <c r="B45" s="17">
        <v>462111</v>
      </c>
      <c r="C45" s="17" t="s">
        <v>171</v>
      </c>
      <c r="D45" s="17" t="s">
        <v>52</v>
      </c>
      <c r="E45" s="17" t="s">
        <v>341</v>
      </c>
      <c r="F45" s="17" t="s">
        <v>220</v>
      </c>
      <c r="G45" s="17" t="s">
        <v>221</v>
      </c>
      <c r="H45" s="17" t="s">
        <v>111</v>
      </c>
      <c r="I45" s="17">
        <v>20190</v>
      </c>
      <c r="J45" s="17" t="s">
        <v>54</v>
      </c>
      <c r="K45" s="17" t="s">
        <v>81</v>
      </c>
      <c r="L45" s="17" t="s">
        <v>56</v>
      </c>
      <c r="M45" s="17" t="s">
        <v>103</v>
      </c>
      <c r="N45" s="17" t="s">
        <v>20</v>
      </c>
      <c r="O45" s="17" t="s">
        <v>196</v>
      </c>
      <c r="P45" s="17" t="s">
        <v>56</v>
      </c>
      <c r="Q45" s="17" t="s">
        <v>194</v>
      </c>
      <c r="R45" s="17" t="s">
        <v>56</v>
      </c>
      <c r="S45" s="17" t="s">
        <v>342</v>
      </c>
      <c r="T45" s="17">
        <v>5190</v>
      </c>
      <c r="U45" s="18">
        <v>0</v>
      </c>
      <c r="V45" s="17" t="s">
        <v>232</v>
      </c>
      <c r="W45" s="17" t="s">
        <v>223</v>
      </c>
      <c r="X45" s="17" t="s">
        <v>62</v>
      </c>
      <c r="Y45" s="17" t="s">
        <v>148</v>
      </c>
      <c r="Z45" s="17" t="s">
        <v>195</v>
      </c>
      <c r="AA45" s="29">
        <v>784038.33498799999</v>
      </c>
      <c r="AB45" s="29">
        <v>2422921.95689</v>
      </c>
    </row>
    <row r="46" spans="1:28" x14ac:dyDescent="0.25">
      <c r="A46" s="17">
        <v>45</v>
      </c>
      <c r="B46" s="17">
        <v>462111</v>
      </c>
      <c r="C46" s="17" t="s">
        <v>171</v>
      </c>
      <c r="D46" s="17" t="s">
        <v>52</v>
      </c>
      <c r="E46" s="17" t="s">
        <v>343</v>
      </c>
      <c r="F46" s="17" t="s">
        <v>220</v>
      </c>
      <c r="G46" s="17" t="s">
        <v>221</v>
      </c>
      <c r="H46" s="17" t="s">
        <v>63</v>
      </c>
      <c r="I46" s="17">
        <v>20299</v>
      </c>
      <c r="J46" s="17" t="s">
        <v>54</v>
      </c>
      <c r="K46" s="17" t="s">
        <v>64</v>
      </c>
      <c r="L46" s="17" t="s">
        <v>344</v>
      </c>
      <c r="M46" s="17" t="s">
        <v>193</v>
      </c>
      <c r="N46" s="17" t="s">
        <v>20</v>
      </c>
      <c r="O46" s="17" t="s">
        <v>345</v>
      </c>
      <c r="P46" s="17" t="s">
        <v>20</v>
      </c>
      <c r="Q46" s="17" t="s">
        <v>346</v>
      </c>
      <c r="R46" s="17" t="s">
        <v>20</v>
      </c>
      <c r="S46" s="17" t="s">
        <v>198</v>
      </c>
      <c r="T46" s="17">
        <v>402</v>
      </c>
      <c r="U46" s="18">
        <v>0</v>
      </c>
      <c r="V46" s="17" t="s">
        <v>232</v>
      </c>
      <c r="W46" s="17" t="s">
        <v>223</v>
      </c>
      <c r="X46" s="17" t="s">
        <v>59</v>
      </c>
      <c r="Y46" s="17" t="s">
        <v>110</v>
      </c>
      <c r="Z46" s="17" t="s">
        <v>195</v>
      </c>
      <c r="AA46" s="29">
        <v>784210.57417799998</v>
      </c>
      <c r="AB46" s="29">
        <v>2418123.56782</v>
      </c>
    </row>
    <row r="47" spans="1:28" x14ac:dyDescent="0.25">
      <c r="A47" s="17">
        <v>46</v>
      </c>
      <c r="B47" s="17">
        <v>462111</v>
      </c>
      <c r="C47" s="17" t="s">
        <v>171</v>
      </c>
      <c r="D47" s="17" t="s">
        <v>52</v>
      </c>
      <c r="E47" s="17" t="s">
        <v>347</v>
      </c>
      <c r="F47" s="17" t="s">
        <v>220</v>
      </c>
      <c r="G47" s="17" t="s">
        <v>221</v>
      </c>
      <c r="H47" s="17" t="s">
        <v>63</v>
      </c>
      <c r="I47" s="17">
        <v>20198</v>
      </c>
      <c r="J47" s="17" t="s">
        <v>54</v>
      </c>
      <c r="K47" s="17" t="s">
        <v>81</v>
      </c>
      <c r="L47" s="17" t="s">
        <v>56</v>
      </c>
      <c r="M47" s="17" t="s">
        <v>166</v>
      </c>
      <c r="N47" s="17" t="s">
        <v>20</v>
      </c>
      <c r="O47" s="17" t="s">
        <v>348</v>
      </c>
      <c r="P47" s="17" t="s">
        <v>20</v>
      </c>
      <c r="Q47" s="17" t="s">
        <v>201</v>
      </c>
      <c r="R47" s="17" t="s">
        <v>20</v>
      </c>
      <c r="S47" s="17" t="s">
        <v>202</v>
      </c>
      <c r="T47" s="17">
        <v>2606</v>
      </c>
      <c r="U47" s="18">
        <v>0</v>
      </c>
      <c r="V47" s="17" t="s">
        <v>232</v>
      </c>
      <c r="W47" s="17" t="s">
        <v>223</v>
      </c>
      <c r="X47" s="17" t="s">
        <v>87</v>
      </c>
      <c r="Y47" s="17" t="s">
        <v>152</v>
      </c>
      <c r="Z47" s="17" t="s">
        <v>195</v>
      </c>
      <c r="AA47" s="29">
        <v>783462.71970899997</v>
      </c>
      <c r="AB47" s="29">
        <v>2421997.9684199998</v>
      </c>
    </row>
    <row r="48" spans="1:28" x14ac:dyDescent="0.25">
      <c r="A48" s="17">
        <v>47</v>
      </c>
      <c r="B48" s="17">
        <v>462111</v>
      </c>
      <c r="C48" s="17" t="s">
        <v>171</v>
      </c>
      <c r="D48" s="17" t="s">
        <v>52</v>
      </c>
      <c r="E48" s="17" t="s">
        <v>349</v>
      </c>
      <c r="F48" s="17" t="s">
        <v>220</v>
      </c>
      <c r="G48" s="17" t="s">
        <v>221</v>
      </c>
      <c r="H48" s="17" t="s">
        <v>111</v>
      </c>
      <c r="I48" s="17">
        <v>20263</v>
      </c>
      <c r="J48" s="17" t="s">
        <v>54</v>
      </c>
      <c r="K48" s="17" t="s">
        <v>64</v>
      </c>
      <c r="L48" s="17" t="s">
        <v>91</v>
      </c>
      <c r="M48" s="17" t="s">
        <v>192</v>
      </c>
      <c r="N48" s="17" t="s">
        <v>20</v>
      </c>
      <c r="O48" s="17" t="s">
        <v>125</v>
      </c>
      <c r="P48" s="17" t="s">
        <v>20</v>
      </c>
      <c r="Q48" s="17" t="s">
        <v>199</v>
      </c>
      <c r="R48" s="17" t="s">
        <v>20</v>
      </c>
      <c r="S48" s="17" t="s">
        <v>200</v>
      </c>
      <c r="T48" s="17">
        <v>0</v>
      </c>
      <c r="U48" s="18">
        <v>0</v>
      </c>
      <c r="V48" s="17" t="s">
        <v>232</v>
      </c>
      <c r="W48" s="17" t="s">
        <v>223</v>
      </c>
      <c r="X48" s="17" t="s">
        <v>109</v>
      </c>
      <c r="Y48" s="17" t="s">
        <v>152</v>
      </c>
      <c r="Z48" s="17" t="s">
        <v>195</v>
      </c>
      <c r="AA48" s="29">
        <v>784665.79938400001</v>
      </c>
      <c r="AB48" s="29">
        <v>2419948.6965600001</v>
      </c>
    </row>
    <row r="49" spans="1:28" x14ac:dyDescent="0.25">
      <c r="A49" s="17">
        <v>48</v>
      </c>
      <c r="B49" s="17">
        <v>462111</v>
      </c>
      <c r="C49" s="17" t="s">
        <v>171</v>
      </c>
      <c r="D49" s="17" t="s">
        <v>52</v>
      </c>
      <c r="E49" s="17" t="s">
        <v>350</v>
      </c>
      <c r="F49" s="17" t="s">
        <v>220</v>
      </c>
      <c r="G49" s="17" t="s">
        <v>221</v>
      </c>
      <c r="H49" s="17" t="s">
        <v>111</v>
      </c>
      <c r="I49" s="17">
        <v>20199</v>
      </c>
      <c r="J49" s="17" t="s">
        <v>54</v>
      </c>
      <c r="K49" s="17" t="s">
        <v>64</v>
      </c>
      <c r="L49" s="17" t="s">
        <v>20</v>
      </c>
      <c r="M49" s="17" t="s">
        <v>163</v>
      </c>
      <c r="N49" s="17" t="s">
        <v>20</v>
      </c>
      <c r="O49" s="17" t="s">
        <v>351</v>
      </c>
      <c r="P49" s="17" t="s">
        <v>56</v>
      </c>
      <c r="Q49" s="17" t="s">
        <v>352</v>
      </c>
      <c r="R49" s="17" t="s">
        <v>20</v>
      </c>
      <c r="S49" s="17" t="s">
        <v>165</v>
      </c>
      <c r="T49" s="17">
        <v>0</v>
      </c>
      <c r="U49" s="18">
        <v>0</v>
      </c>
      <c r="V49" s="17" t="s">
        <v>232</v>
      </c>
      <c r="W49" s="17" t="s">
        <v>223</v>
      </c>
      <c r="X49" s="17" t="s">
        <v>60</v>
      </c>
      <c r="Y49" s="17" t="s">
        <v>152</v>
      </c>
      <c r="Z49" s="17" t="s">
        <v>195</v>
      </c>
      <c r="AA49" s="29">
        <v>784595.54532899999</v>
      </c>
      <c r="AB49" s="29">
        <v>2419916.1624099999</v>
      </c>
    </row>
    <row r="50" spans="1:28" x14ac:dyDescent="0.25">
      <c r="A50" s="17">
        <v>49</v>
      </c>
      <c r="B50" s="17">
        <v>462111</v>
      </c>
      <c r="C50" s="17" t="s">
        <v>171</v>
      </c>
      <c r="D50" s="17" t="s">
        <v>52</v>
      </c>
      <c r="E50" s="17" t="s">
        <v>353</v>
      </c>
      <c r="F50" s="17" t="s">
        <v>220</v>
      </c>
      <c r="G50" s="17" t="s">
        <v>221</v>
      </c>
      <c r="H50" s="17" t="s">
        <v>63</v>
      </c>
      <c r="I50" s="17">
        <v>20016</v>
      </c>
      <c r="J50" s="17" t="s">
        <v>54</v>
      </c>
      <c r="K50" s="17" t="s">
        <v>64</v>
      </c>
      <c r="L50" s="17" t="s">
        <v>56</v>
      </c>
      <c r="M50" s="17" t="s">
        <v>113</v>
      </c>
      <c r="N50" s="17" t="s">
        <v>20</v>
      </c>
      <c r="O50" s="17" t="s">
        <v>354</v>
      </c>
      <c r="P50" s="17" t="s">
        <v>20</v>
      </c>
      <c r="Q50" s="17" t="s">
        <v>170</v>
      </c>
      <c r="R50" s="17" t="s">
        <v>20</v>
      </c>
      <c r="S50" s="17" t="s">
        <v>355</v>
      </c>
      <c r="T50" s="17">
        <v>1502</v>
      </c>
      <c r="U50" s="18">
        <v>0</v>
      </c>
      <c r="V50" s="17" t="s">
        <v>228</v>
      </c>
      <c r="W50" s="17" t="s">
        <v>223</v>
      </c>
      <c r="X50" s="17" t="s">
        <v>62</v>
      </c>
      <c r="Y50" s="17" t="s">
        <v>105</v>
      </c>
      <c r="Z50" s="17" t="s">
        <v>203</v>
      </c>
      <c r="AA50" s="29">
        <v>777180.54971199995</v>
      </c>
      <c r="AB50" s="29">
        <v>2424037.14286</v>
      </c>
    </row>
    <row r="51" spans="1:28" x14ac:dyDescent="0.25">
      <c r="A51" s="17">
        <v>50</v>
      </c>
      <c r="B51" s="17">
        <v>462111</v>
      </c>
      <c r="C51" s="17" t="s">
        <v>171</v>
      </c>
      <c r="D51" s="17" t="s">
        <v>52</v>
      </c>
      <c r="E51" s="17" t="s">
        <v>356</v>
      </c>
      <c r="F51" s="17" t="s">
        <v>220</v>
      </c>
      <c r="G51" s="17" t="s">
        <v>221</v>
      </c>
      <c r="H51" s="17" t="s">
        <v>63</v>
      </c>
      <c r="I51" s="17">
        <v>20120</v>
      </c>
      <c r="J51" s="17" t="s">
        <v>54</v>
      </c>
      <c r="K51" s="17" t="s">
        <v>81</v>
      </c>
      <c r="L51" s="17" t="s">
        <v>56</v>
      </c>
      <c r="M51" s="17" t="s">
        <v>76</v>
      </c>
      <c r="N51" s="17" t="s">
        <v>97</v>
      </c>
      <c r="O51" s="17" t="s">
        <v>187</v>
      </c>
      <c r="P51" s="17" t="s">
        <v>20</v>
      </c>
      <c r="Q51" s="17" t="s">
        <v>204</v>
      </c>
      <c r="R51" s="17" t="s">
        <v>97</v>
      </c>
      <c r="S51" s="17" t="s">
        <v>144</v>
      </c>
      <c r="T51" s="17">
        <v>2351</v>
      </c>
      <c r="U51" s="18">
        <v>0</v>
      </c>
      <c r="V51" s="17" t="s">
        <v>232</v>
      </c>
      <c r="W51" s="17" t="s">
        <v>223</v>
      </c>
      <c r="X51" s="17" t="s">
        <v>62</v>
      </c>
      <c r="Y51" s="17" t="s">
        <v>105</v>
      </c>
      <c r="Z51" s="17" t="s">
        <v>203</v>
      </c>
      <c r="AA51" s="29">
        <v>779133.13396400004</v>
      </c>
      <c r="AB51" s="29">
        <v>2426941.3699099999</v>
      </c>
    </row>
    <row r="52" spans="1:28" x14ac:dyDescent="0.25">
      <c r="A52" s="17">
        <v>51</v>
      </c>
      <c r="B52" s="17">
        <v>462111</v>
      </c>
      <c r="C52" s="17" t="s">
        <v>171</v>
      </c>
      <c r="D52" s="17" t="s">
        <v>52</v>
      </c>
      <c r="E52" s="17" t="s">
        <v>357</v>
      </c>
      <c r="F52" s="17" t="s">
        <v>220</v>
      </c>
      <c r="G52" s="17" t="s">
        <v>221</v>
      </c>
      <c r="H52" s="17" t="s">
        <v>63</v>
      </c>
      <c r="I52" s="17">
        <v>20120</v>
      </c>
      <c r="J52" s="17" t="s">
        <v>54</v>
      </c>
      <c r="K52" s="17" t="s">
        <v>81</v>
      </c>
      <c r="L52" s="17" t="s">
        <v>56</v>
      </c>
      <c r="M52" s="17" t="s">
        <v>76</v>
      </c>
      <c r="N52" s="17" t="s">
        <v>97</v>
      </c>
      <c r="O52" s="17" t="s">
        <v>358</v>
      </c>
      <c r="P52" s="17" t="s">
        <v>20</v>
      </c>
      <c r="Q52" s="17" t="s">
        <v>204</v>
      </c>
      <c r="R52" s="17" t="s">
        <v>97</v>
      </c>
      <c r="S52" s="17" t="s">
        <v>359</v>
      </c>
      <c r="T52" s="17">
        <v>2301</v>
      </c>
      <c r="U52" s="18">
        <v>0</v>
      </c>
      <c r="V52" s="17" t="s">
        <v>232</v>
      </c>
      <c r="W52" s="17" t="s">
        <v>223</v>
      </c>
      <c r="X52" s="17" t="s">
        <v>62</v>
      </c>
      <c r="Y52" s="17" t="s">
        <v>105</v>
      </c>
      <c r="Z52" s="17" t="s">
        <v>203</v>
      </c>
      <c r="AA52" s="29">
        <v>779134.56356200005</v>
      </c>
      <c r="AB52" s="29">
        <v>2426921.73208</v>
      </c>
    </row>
    <row r="53" spans="1:28" x14ac:dyDescent="0.25">
      <c r="A53" s="17">
        <v>52</v>
      </c>
      <c r="B53" s="17">
        <v>462111</v>
      </c>
      <c r="C53" s="17" t="s">
        <v>171</v>
      </c>
      <c r="D53" s="17" t="s">
        <v>52</v>
      </c>
      <c r="E53" s="17" t="s">
        <v>360</v>
      </c>
      <c r="F53" s="17" t="s">
        <v>220</v>
      </c>
      <c r="G53" s="17" t="s">
        <v>361</v>
      </c>
      <c r="H53" s="17" t="s">
        <v>63</v>
      </c>
      <c r="I53" s="17">
        <v>20124</v>
      </c>
      <c r="J53" s="17" t="s">
        <v>54</v>
      </c>
      <c r="K53" s="17" t="s">
        <v>81</v>
      </c>
      <c r="L53" s="17" t="s">
        <v>56</v>
      </c>
      <c r="M53" s="17" t="s">
        <v>76</v>
      </c>
      <c r="N53" s="17" t="s">
        <v>57</v>
      </c>
      <c r="O53" s="17" t="s">
        <v>362</v>
      </c>
      <c r="P53" s="17" t="s">
        <v>56</v>
      </c>
      <c r="Q53" s="17" t="s">
        <v>363</v>
      </c>
      <c r="R53" s="17" t="s">
        <v>97</v>
      </c>
      <c r="S53" s="17" t="s">
        <v>123</v>
      </c>
      <c r="T53" s="17">
        <v>1831</v>
      </c>
      <c r="U53" s="18">
        <v>0</v>
      </c>
      <c r="V53" s="17" t="s">
        <v>364</v>
      </c>
      <c r="W53" s="17" t="s">
        <v>365</v>
      </c>
      <c r="X53" s="17" t="s">
        <v>80</v>
      </c>
      <c r="Y53" s="17" t="s">
        <v>105</v>
      </c>
      <c r="Z53" s="17" t="s">
        <v>203</v>
      </c>
      <c r="AA53" s="29">
        <v>779210.114222</v>
      </c>
      <c r="AB53" s="29">
        <v>2426011.7899099998</v>
      </c>
    </row>
    <row r="54" spans="1:28" x14ac:dyDescent="0.25">
      <c r="A54" s="17">
        <v>53</v>
      </c>
      <c r="B54" s="17">
        <v>462111</v>
      </c>
      <c r="C54" s="17" t="s">
        <v>171</v>
      </c>
      <c r="D54" s="17" t="s">
        <v>52</v>
      </c>
      <c r="E54" s="17" t="s">
        <v>366</v>
      </c>
      <c r="F54" s="17" t="s">
        <v>220</v>
      </c>
      <c r="G54" s="17" t="s">
        <v>246</v>
      </c>
      <c r="H54" s="17" t="s">
        <v>111</v>
      </c>
      <c r="I54" s="17">
        <v>20120</v>
      </c>
      <c r="J54" s="17" t="s">
        <v>54</v>
      </c>
      <c r="K54" s="17" t="s">
        <v>81</v>
      </c>
      <c r="L54" s="17" t="s">
        <v>56</v>
      </c>
      <c r="M54" s="17" t="s">
        <v>367</v>
      </c>
      <c r="R54" s="17" t="s">
        <v>20</v>
      </c>
      <c r="S54" s="17" t="s">
        <v>250</v>
      </c>
      <c r="T54" s="17">
        <v>0</v>
      </c>
      <c r="U54" s="18">
        <v>0</v>
      </c>
      <c r="X54" s="17" t="s">
        <v>62</v>
      </c>
      <c r="Y54" s="17" t="s">
        <v>105</v>
      </c>
      <c r="Z54" s="17" t="s">
        <v>203</v>
      </c>
      <c r="AA54" s="29">
        <v>777578.69703200005</v>
      </c>
      <c r="AB54" s="29">
        <v>2425906.90136</v>
      </c>
    </row>
    <row r="55" spans="1:28" x14ac:dyDescent="0.25">
      <c r="A55" s="17">
        <v>54</v>
      </c>
      <c r="B55" s="17">
        <v>462111</v>
      </c>
      <c r="C55" s="17" t="s">
        <v>171</v>
      </c>
      <c r="D55" s="17" t="s">
        <v>52</v>
      </c>
      <c r="E55" s="17" t="s">
        <v>368</v>
      </c>
      <c r="F55" s="17" t="s">
        <v>220</v>
      </c>
      <c r="G55" s="17" t="s">
        <v>221</v>
      </c>
      <c r="H55" s="17" t="s">
        <v>111</v>
      </c>
      <c r="I55" s="17">
        <v>20119</v>
      </c>
      <c r="J55" s="17" t="s">
        <v>54</v>
      </c>
      <c r="K55" s="17" t="s">
        <v>84</v>
      </c>
      <c r="L55" s="17" t="s">
        <v>56</v>
      </c>
      <c r="M55" s="17" t="s">
        <v>369</v>
      </c>
      <c r="N55" s="17" t="s">
        <v>97</v>
      </c>
      <c r="O55" s="17" t="s">
        <v>187</v>
      </c>
      <c r="P55" s="17" t="s">
        <v>20</v>
      </c>
      <c r="Q55" s="17" t="s">
        <v>370</v>
      </c>
      <c r="R55" s="17" t="s">
        <v>20</v>
      </c>
      <c r="S55" s="17" t="s">
        <v>371</v>
      </c>
      <c r="T55" s="17">
        <v>101</v>
      </c>
      <c r="U55" s="18">
        <v>0</v>
      </c>
      <c r="V55" s="17" t="s">
        <v>232</v>
      </c>
      <c r="W55" s="17" t="s">
        <v>223</v>
      </c>
      <c r="X55" s="17" t="s">
        <v>62</v>
      </c>
      <c r="Y55" s="17" t="s">
        <v>105</v>
      </c>
      <c r="Z55" s="17" t="s">
        <v>203</v>
      </c>
      <c r="AA55" s="29">
        <v>777121.84953100001</v>
      </c>
      <c r="AB55" s="29">
        <v>2426894.6534899999</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24EU_CENTRO COMERCIAL</vt:lpstr>
      <vt:lpstr>BASE DE DATOS_CENTRO COMERCIAL</vt:lpstr>
      <vt:lpstr>'24EU_CENTRO COMERCIAL'!Área_de_impresión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lilia garcia</dc:creator>
  <cp:lastModifiedBy>IMP-118-ALGarciaV</cp:lastModifiedBy>
  <cp:lastPrinted>2024-06-10T21:24:02Z</cp:lastPrinted>
  <dcterms:created xsi:type="dcterms:W3CDTF">2024-03-04T20:54:05Z</dcterms:created>
  <dcterms:modified xsi:type="dcterms:W3CDTF">2024-08-12T17:29:31Z</dcterms:modified>
</cp:coreProperties>
</file>