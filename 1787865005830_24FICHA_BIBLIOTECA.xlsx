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BIBLIOTECA\"/>
    </mc:Choice>
  </mc:AlternateContent>
  <xr:revisionPtr revIDLastSave="0" documentId="13_ncr:1_{00701DD6-B1E1-473C-A4E1-9C15B0343D55}" xr6:coauthVersionLast="47" xr6:coauthVersionMax="47" xr10:uidLastSave="{00000000-0000-0000-0000-000000000000}"/>
  <bookViews>
    <workbookView xWindow="-21720" yWindow="930" windowWidth="21840" windowHeight="13020" xr2:uid="{00000000-000D-0000-FFFF-FFFF00000000}"/>
  </bookViews>
  <sheets>
    <sheet name="24EU_BIBLIOTECA" sheetId="1" r:id="rId1"/>
    <sheet name="BASE DE DATOS_BIBLIOTECA" sheetId="2" r:id="rId2"/>
  </sheets>
  <definedNames>
    <definedName name="_xlnm.Print_Area" localSheetId="0">'24EU_BIBLIOTECA'!$A$1:$C$35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C30" i="1" l="1"/>
  <c r="C29" i="1"/>
  <c r="C28" i="1"/>
  <c r="C27" i="1"/>
  <c r="C26" i="1"/>
  <c r="C25" i="1"/>
  <c r="C24" i="1"/>
  <c r="C23" i="1"/>
  <c r="C22" i="1"/>
  <c r="C31" i="1"/>
  <c r="C32" i="1"/>
  <c r="C34" i="1"/>
  <c r="C33" i="1"/>
  <c r="C20" i="1"/>
</calcChain>
</file>

<file path=xl/sharedStrings.xml><?xml version="1.0" encoding="utf-8"?>
<sst xmlns="http://schemas.openxmlformats.org/spreadsheetml/2006/main" count="512" uniqueCount="238">
  <si>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</si>
  <si>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</si>
  <si>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</si>
  <si>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</si>
  <si>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</si>
  <si>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</si>
  <si>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</si>
  <si>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</si>
  <si>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</si>
  <si>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</si>
  <si>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</si>
  <si>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</si>
  <si>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</si>
  <si>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</si>
  <si>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</si>
  <si>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</si>
  <si>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</si>
  <si>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</si>
  <si>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</si>
  <si>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</si>
  <si>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</si>
  <si>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</si>
  <si>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</si>
  <si>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</si>
  <si>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</si>
  <si>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</si>
  <si>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</si>
  <si>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</si>
  <si>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</si>
  <si>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</si>
  <si>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</si>
  <si>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</si>
  <si>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</si>
  <si>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</si>
  <si>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</si>
  <si>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</si>
  <si>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</si>
  <si>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</si>
  <si>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</si>
  <si>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</si>
  <si>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</si>
  <si>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</si>
  <si>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</si>
  <si>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</si>
  <si>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</si>
  <si>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</si>
  <si>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</si>
  <si>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</si>
  <si>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</si>
  <si>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</si>
  <si>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</si>
  <si>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</si>
  <si>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</si>
  <si>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</si>
  <si>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</si>
  <si>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</si>
  <si>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</si>
  <si>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</si>
  <si>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</si>
  <si>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</si>
  <si>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</si>
  <si>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</si>
  <si>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</si>
  <si>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</si>
  <si>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</si>
  <si>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JOSE MARIA MORELOS Y PAVON</t>
  </si>
  <si>
    <t>2010-07</t>
  </si>
  <si>
    <t>COLONIA</t>
  </si>
  <si>
    <t>FRANCISCO I. MADERO</t>
  </si>
  <si>
    <t>EMILIANO ZAPATA</t>
  </si>
  <si>
    <t>VENUSTIANO CARRANZA</t>
  </si>
  <si>
    <t>11 a 30 personas</t>
  </si>
  <si>
    <t>5 DE MAYO</t>
  </si>
  <si>
    <t>16 DE SEPTIEMBRE</t>
  </si>
  <si>
    <t>MIGUEL HIDALGO Y COSTILLA</t>
  </si>
  <si>
    <t>CA├æADA HONDA</t>
  </si>
  <si>
    <t>(REFOM)-CA├æADA</t>
  </si>
  <si>
    <t>PARAJE</t>
  </si>
  <si>
    <t>BENITO JUAREZ</t>
  </si>
  <si>
    <t>PROFESOR EDMUNDO GAMEZ OROZCO</t>
  </si>
  <si>
    <t>PUEBLO</t>
  </si>
  <si>
    <t>MEXICO</t>
  </si>
  <si>
    <t>FRACCIONAMIENTO</t>
  </si>
  <si>
    <t>INDEPENDENCIA</t>
  </si>
  <si>
    <t>EJERCITO NACIONAL</t>
  </si>
  <si>
    <t>LOCALIDAD</t>
  </si>
  <si>
    <t>(REFOM)-PE├æUELAS</t>
  </si>
  <si>
    <t>PE├æUELAS</t>
  </si>
  <si>
    <t>ADOLFO LOPEZ MATEOS</t>
  </si>
  <si>
    <t>LICENCIADO ADOLFO RUIZ CORTINES</t>
  </si>
  <si>
    <t>PROLONGACION</t>
  </si>
  <si>
    <t>CENTRO PONIENTE</t>
  </si>
  <si>
    <t>(ZUFO)- SAN FRANCISCO</t>
  </si>
  <si>
    <t>BELISARIO DOMINGUEZ</t>
  </si>
  <si>
    <t>ANDADOR</t>
  </si>
  <si>
    <t>2011-03</t>
  </si>
  <si>
    <t>INSURGENTES</t>
  </si>
  <si>
    <t>ABRAHAM GONZALEZ</t>
  </si>
  <si>
    <t>GENERAL LUIS MOYA</t>
  </si>
  <si>
    <t>POCITOS</t>
  </si>
  <si>
    <t>GENERAL PASCUAL CORNEJO BRUN</t>
  </si>
  <si>
    <t>MUJERES ILUSTRES</t>
  </si>
  <si>
    <t>CENTRO ORIENTE</t>
  </si>
  <si>
    <t>GENERAL IGNACIO ZARAGOZA</t>
  </si>
  <si>
    <t>GENERAL JOSE MARIA ARTEAGA</t>
  </si>
  <si>
    <t>PEATONAL</t>
  </si>
  <si>
    <t>DOCTOR JESUS DIAZ DE LEON</t>
  </si>
  <si>
    <t>RAFAEL RAMIREZ</t>
  </si>
  <si>
    <t>(ZUFO)-CENTRO</t>
  </si>
  <si>
    <t>GENERAL ALVARO OBREGON</t>
  </si>
  <si>
    <t>LICENCIADO ADOLFO LOPEZ MATEOS ORIENTE</t>
  </si>
  <si>
    <t>FRANCISCO G. HORNEDO</t>
  </si>
  <si>
    <t>ALAMEDA</t>
  </si>
  <si>
    <t>JUAN DE MONTORO</t>
  </si>
  <si>
    <t>MUNICIPIO DE AGUASCALIENTES</t>
  </si>
  <si>
    <t>GRAN AVENIDA</t>
  </si>
  <si>
    <t>RAMON LOPEZ VELARDE</t>
  </si>
  <si>
    <t>GENERAL GUADALUPE VICTORIA</t>
  </si>
  <si>
    <t>PRIVADA ARQUITECTOS</t>
  </si>
  <si>
    <t>ALLENDE ORIENTE</t>
  </si>
  <si>
    <t>GUZMEN</t>
  </si>
  <si>
    <t>GENERAL IGNACIO ALLENDE</t>
  </si>
  <si>
    <t>SANTA ANITA</t>
  </si>
  <si>
    <t>OJOCALIENTE</t>
  </si>
  <si>
    <t>VILLAS</t>
  </si>
  <si>
    <t>(ZUFO)-DON PASCUAL PONIENTE</t>
  </si>
  <si>
    <t>POZO BRAVO</t>
  </si>
  <si>
    <t>FELIPE SERRANO</t>
  </si>
  <si>
    <t>AGUASCALIENTES ORIENTE</t>
  </si>
  <si>
    <t>CAMPOS ELISEOS</t>
  </si>
  <si>
    <t>PRIMERA PROGRESO</t>
  </si>
  <si>
    <t>GOBERNANTES</t>
  </si>
  <si>
    <t>JUAN DOUGLAS</t>
  </si>
  <si>
    <t>PASTORES</t>
  </si>
  <si>
    <t>(ZUFO)-EL CEDAZO</t>
  </si>
  <si>
    <t>CHICHIMECO</t>
  </si>
  <si>
    <t>PRIMERA CONSTITUCION</t>
  </si>
  <si>
    <t>MARIANO HIDALGO</t>
  </si>
  <si>
    <t>ARTILLERO MIER</t>
  </si>
  <si>
    <t>(ZUFO)-FERROCARRIL</t>
  </si>
  <si>
    <t>SIN NOMBRE</t>
  </si>
  <si>
    <t>AGUASCALIENTES</t>
  </si>
  <si>
    <t>(ZUFO)-LA HACIENDA</t>
  </si>
  <si>
    <t>ERMITA DE SAN SEBASTIAN</t>
  </si>
  <si>
    <t>GERLNIMO DE LA CUEVA</t>
  </si>
  <si>
    <t>JOSE DE JESUS GONZALEZ GARCIA</t>
  </si>
  <si>
    <t>TENIENTE CORONEL ROBERTO JEFKINS RANGEL</t>
  </si>
  <si>
    <t>DOCTOR FRANCISCO GUEL JIMENEZ</t>
  </si>
  <si>
    <t>LICENCIADO FRANCISCO RAMIREZ MARTINEZ</t>
  </si>
  <si>
    <t>CONRADO SANTACRUZ DE SANTIAGO</t>
  </si>
  <si>
    <t>(ZUFO)-UNIVERSIDAD</t>
  </si>
  <si>
    <t>SILOS</t>
  </si>
  <si>
    <t>POTREROS</t>
  </si>
  <si>
    <t>LA PE</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</si>
  <si>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</si>
  <si>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</si>
  <si>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</si>
  <si>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</si>
  <si>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</si>
  <si>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</si>
  <si>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</si>
  <si>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</si>
  <si>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</si>
  <si>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</si>
  <si>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</si>
  <si>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</si>
  <si>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LA CLASIFICACIÓN DE ELEMENTOS ESTÁ BASADA EN EL SISTEMA NORMATIVO DE EQUIPAMIENTO URBANO DE LA SEDESOL FEDERAL, SUBSISTEMA ABASTO. LA INTEGRACIÓN FUE REALIZADA POR EL IMPLAN CON INFORMACION DEL DIRECTORIO ESTADISTICO NACIONAL DE UNIDADES ECONOMICAS (INEGI)</t>
  </si>
  <si>
    <t>PUBLICO</t>
  </si>
  <si>
    <t>GOBIERNO DEL ESTADO DE AGUASCALIENTES</t>
  </si>
  <si>
    <t>MUNICIPIO AGUASCALIENTES</t>
  </si>
  <si>
    <t>EMILIO RANGEL</t>
  </si>
  <si>
    <t>GOBIERNO</t>
  </si>
  <si>
    <t>H AYUNTAMIENTO DEL ESTADO DE AGUASCALIENTES</t>
  </si>
  <si>
    <t>AGS.GOB.MX</t>
  </si>
  <si>
    <t>H AYUNTAMIENTO DE AGUASCALIENTES</t>
  </si>
  <si>
    <t>INSTITUTO CULTURAL DE AGUASCALIENTES</t>
  </si>
  <si>
    <t>PLAZA PRINCIPAL NORTE</t>
  </si>
  <si>
    <t>PEATONAL DEL CODO</t>
  </si>
  <si>
    <t>ALCALDES</t>
  </si>
  <si>
    <t>PENSADORES MEXICANOS</t>
  </si>
  <si>
    <t>SEGUNDA PROGRESO</t>
  </si>
  <si>
    <t>EL ZARCO</t>
  </si>
  <si>
    <t>CHARCO AZUL</t>
  </si>
  <si>
    <t>ESCUELA NORMAL RURAL JUSTO SIERRA MENDEZ</t>
  </si>
  <si>
    <t>H MUNICIPIO AGUASCALIENTES</t>
  </si>
  <si>
    <t>GOBIERNO MUNICIPAL</t>
  </si>
  <si>
    <t>CULTURA</t>
  </si>
  <si>
    <t>BIBLIOTECA PUBLICA MUNICIPAL MIGUEL DE LA MADRID HURTADO</t>
  </si>
  <si>
    <t>610BIBLIOTECAMIGUELMH@GMAIL.COM</t>
  </si>
  <si>
    <t>BIBLIOTECA PUBLICA JOSE MARIA MORELOS Y PAVON</t>
  </si>
  <si>
    <t>BIBLIOTECA IGNACIO RAMIREZ</t>
  </si>
  <si>
    <t>BIBLIOTECA MUNICIPAL</t>
  </si>
  <si>
    <t>BIBLIOTECA INSURGENTES</t>
  </si>
  <si>
    <t>SERAPIO REND N</t>
  </si>
  <si>
    <t>BIBLOTECA MARIA MERCEDES SANTOS PADILLA</t>
  </si>
  <si>
    <t>INSTITUTO MUNICIPAL DE AGUASCALIENTES</t>
  </si>
  <si>
    <t>ANDADOR DE LA LECHUZA</t>
  </si>
  <si>
    <t>AGUILA</t>
  </si>
  <si>
    <t>BIBLIOTECA PUBLICA MUNICIPAL MARIA MERCEDES SANTOS</t>
  </si>
  <si>
    <t>PASEO DEL HALCLN</t>
  </si>
  <si>
    <t>BIBLIOTECA FRAY SERVANDO TERESA DE MIER</t>
  </si>
  <si>
    <t>551BFRAYSERVANDO@GMAIL.COM</t>
  </si>
  <si>
    <t>ARCHIVO GENERAL MUNICIPAL</t>
  </si>
  <si>
    <t>MUNICIPAL@AGS.GOB.MX</t>
  </si>
  <si>
    <t>WWW.AGS.GOB.MX/ARCHIVO</t>
  </si>
  <si>
    <t>ARCHIVO HISTORICO DEL ESTADO DE AGS ALEJANDRO TOPETE DEL VALLE</t>
  </si>
  <si>
    <t>CASA DE LA CULTURA JURIDICA EN AGUASCALIENTES</t>
  </si>
  <si>
    <t>SUPREMA CORTE DE JUSTICIA DE LA NACICN</t>
  </si>
  <si>
    <t>CCJAGUAS@MAIL.SCJN.GOB.MX</t>
  </si>
  <si>
    <t>WWW.SCJN.GOB.MX</t>
  </si>
  <si>
    <t>BIBLIOTECA ENRIQUE FERNANDEZ LEDEZMA</t>
  </si>
  <si>
    <t>BIBLIOTECA P0BLICA JAIME TORRES BODET</t>
  </si>
  <si>
    <t>BPJAIMETORRESBODET@HOTMAIL.COM</t>
  </si>
  <si>
    <t>LUDOTECA 4 PARQUE MEXICO</t>
  </si>
  <si>
    <t>H. AYUNTAMIENTO DE AGUASCALIENTES</t>
  </si>
  <si>
    <t>BIBLIOTECA MUNICIPAL PROGRESO</t>
  </si>
  <si>
    <t>BIBLIOTECA FIDEL VELAZQUEZ</t>
  </si>
  <si>
    <t>SECRETARCA DE DESARROLLO SOCIAL AYUNTAMIENTO DE AGUASCALIENTES</t>
  </si>
  <si>
    <t>PLAZA VERSALLES</t>
  </si>
  <si>
    <t>BIBLIOTECA PUBLICA JOSE FRANCISCO ANTUNEZ MADRIGAL</t>
  </si>
  <si>
    <t>SECRETARIA DE DESARROLLO SOCIAL MUNICIPIO DE AGUASCALIENTES</t>
  </si>
  <si>
    <t>ARCHIVO DE CONCENTRACION MUNICIPAL</t>
  </si>
  <si>
    <t>MUNICIPIO DEL ESTADO DE AGUASCALIENTES</t>
  </si>
  <si>
    <t>BIBLIOTECA PUBLICA MUNUCIPAL</t>
  </si>
  <si>
    <t>COBA</t>
  </si>
  <si>
    <t>LUDOTECA LA CASITA DE MAR</t>
  </si>
  <si>
    <t>Bibliotecas y archivos del sector privado</t>
  </si>
  <si>
    <t>LAS CANOAS</t>
  </si>
  <si>
    <t>ANDRES LOPEZ</t>
  </si>
  <si>
    <t>FRUTALES</t>
  </si>
  <si>
    <t>BIBLIOTECA PUBLICA MUNICIPAL BENITO PALOMINO DENA</t>
  </si>
  <si>
    <t>BIBLIOTECA PUBLICA MUNICIPAL LICENCIADO JESUS REYES HEROLES</t>
  </si>
  <si>
    <t>SALA DE LECTURA BUENA VIDA</t>
  </si>
  <si>
    <t>SYVCE@HOTMAIL.COM</t>
  </si>
  <si>
    <t>Bibliotecas y archivos del sector publico</t>
  </si>
  <si>
    <t>UBICACIÓN DE BIBLIOTECA</t>
  </si>
  <si>
    <t>EU_BIBLIOTECA</t>
  </si>
  <si>
    <t>CVE (1-23)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</si>
</sst>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2">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4" totalsRowShown="0" headerRowDxfId="28">
  <autoFilter ref="A1:AB24"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28"/>
      <c r="C1" s="28"/>
    </row>
    <row r="2" spans="2:4" ht="50.25" customHeight="1" thickBot="1" x14ac:dyDescent="0.3">
      <c r="B2" s="28"/>
      <c r="C2" s="28"/>
    </row>
    <row r="3" spans="2:4" ht="18.75" thickBot="1" x14ac:dyDescent="0.3">
      <c r="B3" s="29" t="s">
        <v>235</v>
      </c>
      <c r="C3" s="30"/>
    </row>
    <row r="4" spans="2:4" x14ac:dyDescent="0.25">
      <c r="B4" s="8"/>
      <c r="C4" s="8"/>
    </row>
    <row r="5" spans="2:4" ht="15.75" x14ac:dyDescent="0.25">
      <c r="B5" s="31" t="s">
        <v>0</v>
      </c>
      <c r="C5" s="31"/>
      <c r="D5" s="9"/>
    </row>
    <row r="6" spans="2:4" x14ac:dyDescent="0.25">
      <c r="B6" s="10" t="s">
        <v>2</v>
      </c>
      <c r="C6" s="11" t="s">
        <v>236</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156</v>
      </c>
    </row>
    <row r="11" spans="2:4" x14ac:dyDescent="0.25">
      <c r="B11" s="10" t="s">
        <v>9</v>
      </c>
      <c r="C11" s="11" t="s">
        <v>155</v>
      </c>
    </row>
    <row r="12" spans="2:4" x14ac:dyDescent="0.25">
      <c r="B12" s="10" t="s">
        <v>10</v>
      </c>
      <c r="C12" s="11" t="s">
        <v>11</v>
      </c>
    </row>
    <row r="13" spans="2:4" ht="39" x14ac:dyDescent="0.25">
      <c r="B13" s="13" t="s">
        <v>12</v>
      </c>
      <c r="C13" s="12" t="s">
        <v>166</v>
      </c>
    </row>
    <row r="14" spans="2:4" x14ac:dyDescent="0.25">
      <c r="B14" s="8"/>
      <c r="C14" s="8"/>
    </row>
    <row r="15" spans="2:4" ht="16.5" thickBot="1" x14ac:dyDescent="0.3">
      <c r="B15" s="31" t="s">
        <v>13</v>
      </c>
      <c r="C15" s="31"/>
    </row>
    <row r="16" spans="2:4" ht="18" x14ac:dyDescent="0.25">
      <c r="B16" s="14" t="s">
        <v>14</v>
      </c>
      <c r="C16" s="15" t="s">
        <v>15</v>
      </c>
    </row>
    <row r="17" spans="2:12" x14ac:dyDescent="0.25">
      <c r="B17" s="1" t="s">
        <v>16</v>
      </c>
      <c r="C17" s="2" t="s">
        <v>141</v>
      </c>
    </row>
    <row r="18" spans="2:12" x14ac:dyDescent="0.25">
      <c r="B18" s="1" t="s">
        <v>17</v>
      </c>
      <c r="C18" s="3" t="s">
        <v>141</v>
      </c>
      <c r="G18"/>
      <c r="H18"/>
      <c r="I18"/>
      <c r="J18"/>
      <c r="K18"/>
    </row>
    <row r="19" spans="2:12" x14ac:dyDescent="0.25">
      <c r="B19" s="1" t="s">
        <v>18</v>
      </c>
      <c r="C19" s="3" t="str">
        <f>VLOOKUP($C$21,ABASTO[#All],25,FALSE)</f>
        <v>POCITOS</v>
      </c>
      <c r="G19" s="23"/>
      <c r="H19" s="23"/>
      <c r="I19" s="24"/>
      <c r="J19" s="24"/>
      <c r="K19" s="25"/>
      <c r="L19" s="16"/>
    </row>
    <row r="20" spans="2:12" x14ac:dyDescent="0.25">
      <c r="B20" s="1" t="s">
        <v>157</v>
      </c>
      <c r="C20" s="3" t="str">
        <f>VLOOKUP($C$21,ABASTO[#All],26,FALSE)</f>
        <v>(ZUFO)-UNIVERSIDAD</v>
      </c>
      <c r="G20" s="25"/>
      <c r="H20" s="16"/>
      <c r="I20" s="25"/>
      <c r="J20" s="25"/>
      <c r="K20" s="25"/>
      <c r="L20" s="16"/>
    </row>
    <row r="21" spans="2:12" ht="19.5" x14ac:dyDescent="0.25">
      <c r="B21" s="26" t="s">
        <v>237</v>
      </c>
      <c r="C21" s="27">
        <v>23</v>
      </c>
      <c r="G21" s="25"/>
      <c r="H21" s="25"/>
      <c r="I21" s="25"/>
      <c r="J21" s="25"/>
      <c r="K21" s="25"/>
      <c r="L21" s="16"/>
    </row>
    <row r="22" spans="2:12" x14ac:dyDescent="0.25">
      <c r="B22" s="1" t="s">
        <v>158</v>
      </c>
      <c r="C22" s="21" t="str">
        <f>VLOOKUP($C$21,ABASTO[#All],5,FALSE)</f>
        <v>SALA DE LECTURA BUENA VIDA</v>
      </c>
      <c r="G22"/>
      <c r="H22"/>
      <c r="I22"/>
      <c r="J22"/>
      <c r="K22"/>
    </row>
    <row r="23" spans="2:12" x14ac:dyDescent="0.25">
      <c r="B23" s="4" t="s">
        <v>159</v>
      </c>
      <c r="C23" s="21" t="str">
        <f>VLOOKUP($C$21,ABASTO[#All],6,FALSE)</f>
        <v>Bibliotecas y archivos del sector publico</v>
      </c>
    </row>
    <row r="24" spans="2:12" x14ac:dyDescent="0.25">
      <c r="B24" s="1" t="s">
        <v>19</v>
      </c>
      <c r="C24" s="21">
        <f>VLOOKUP($C$21,ABASTO[#All],2,FALSE)</f>
        <v>519122</v>
      </c>
    </row>
    <row r="25" spans="2:12" x14ac:dyDescent="0.25">
      <c r="B25" s="5" t="s">
        <v>160</v>
      </c>
      <c r="C25" s="21" t="str">
        <f>VLOOKUP($C$21,ABASTO[#All],4,FALSE)</f>
        <v>PUBLICO</v>
      </c>
    </row>
    <row r="26" spans="2:12" x14ac:dyDescent="0.25">
      <c r="B26" s="1" t="s">
        <v>161</v>
      </c>
      <c r="C26" s="21" t="str">
        <f>VLOOKUP($C$21,ABASTO[#All],11,FALSE)</f>
        <v>0 a 5 personas</v>
      </c>
    </row>
    <row r="27" spans="2:12" x14ac:dyDescent="0.25">
      <c r="B27" s="4" t="s">
        <v>162</v>
      </c>
      <c r="C27" s="21" t="str">
        <f>VLOOKUP($C$21,ABASTO[#All],8,FALSE)</f>
        <v>FRACCIONAMIENTO</v>
      </c>
    </row>
    <row r="28" spans="2:12" x14ac:dyDescent="0.25">
      <c r="B28" s="1" t="s">
        <v>164</v>
      </c>
      <c r="C28" s="21" t="str">
        <f>VLOOKUP($C$21,ABASTO[#All],13,FALSE)</f>
        <v>LA PE</v>
      </c>
    </row>
    <row r="29" spans="2:12" x14ac:dyDescent="0.25">
      <c r="B29" s="1" t="s">
        <v>163</v>
      </c>
      <c r="C29" s="21" t="str">
        <f>VLOOKUP($C$21,ABASTO[#All],12,FALSE)</f>
        <v>CALLE</v>
      </c>
    </row>
    <row r="30" spans="2:12" x14ac:dyDescent="0.25">
      <c r="B30" s="4" t="s">
        <v>165</v>
      </c>
      <c r="C30" s="21" t="str">
        <f>VLOOKUP($C$21,ABASTO[#All],22,FALSE)</f>
        <v>SYVCE@HOTMAIL.COM</v>
      </c>
    </row>
    <row r="31" spans="2:12" x14ac:dyDescent="0.25">
      <c r="B31" s="1" t="s">
        <v>21</v>
      </c>
      <c r="C31" s="21">
        <f>VLOOKUP($C$21,ABASTO[#All],20,FALSE)</f>
        <v>104</v>
      </c>
    </row>
    <row r="32" spans="2:12" x14ac:dyDescent="0.25">
      <c r="B32" s="4" t="s">
        <v>24</v>
      </c>
      <c r="C32" s="21">
        <f>VLOOKUP($C$21,ABASTO[#All],21,FALSE)</f>
        <v>0</v>
      </c>
    </row>
    <row r="33" spans="1:3" x14ac:dyDescent="0.25">
      <c r="B33" s="1" t="s">
        <v>22</v>
      </c>
      <c r="C33" s="21">
        <f>VLOOKUP($C$21,ABASTO[#All],27,FALSE)</f>
        <v>778932.46464499994</v>
      </c>
    </row>
    <row r="34" spans="1:3" ht="15.75" thickBot="1" x14ac:dyDescent="0.3">
      <c r="B34" s="6" t="s">
        <v>23</v>
      </c>
      <c r="C34" s="21">
        <f>VLOOKUP($C$21,ABASTO[#All],28,FALSE)</f>
        <v>2427201.40765</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DATOS_BIBLIOTECA'!$A$2:$A$24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4"/>
  <sheetViews>
    <sheetView zoomScale="85" zoomScaleNormal="85" workbookViewId="0">
      <selection activeCell="D35" sqref="D35"/>
    </sheetView>
  </sheetViews>
  <sheetFormatPr baseColWidth="10" defaultRowHeight="15" x14ac:dyDescent="0.25"/>
  <cols>
    <col min="1" max="1" width="6.42578125" style="17" customWidth="1"/>
    <col min="2" max="2" width="10.5703125" style="17" customWidth="1"/>
    <col min="3" max="3" width="2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18" bestFit="1" customWidth="1"/>
    <col min="28" max="28" width="20" style="18" bestFit="1" customWidth="1"/>
  </cols>
  <sheetData>
    <row r="1" spans="1:28" x14ac:dyDescent="0.25">
      <c r="A1" s="19" t="s">
        <v>154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0" t="s">
        <v>50</v>
      </c>
      <c r="AB1" s="20" t="s">
        <v>51</v>
      </c>
    </row>
    <row r="2" spans="1:28" x14ac:dyDescent="0.25">
      <c r="A2" s="17">
        <v>1</v>
      </c>
      <c r="B2" s="17">
        <v>519122</v>
      </c>
      <c r="C2" s="17" t="s">
        <v>186</v>
      </c>
      <c r="D2" s="17" t="s">
        <v>167</v>
      </c>
      <c r="E2" s="17" t="s">
        <v>187</v>
      </c>
      <c r="F2" s="17" t="s">
        <v>234</v>
      </c>
      <c r="G2" s="17" t="s">
        <v>184</v>
      </c>
      <c r="H2" s="17" t="s">
        <v>53</v>
      </c>
      <c r="I2" s="17">
        <v>20344</v>
      </c>
      <c r="J2" s="17" t="s">
        <v>54</v>
      </c>
      <c r="K2" s="17" t="s">
        <v>55</v>
      </c>
      <c r="L2" s="17" t="s">
        <v>56</v>
      </c>
      <c r="M2" s="17" t="s">
        <v>57</v>
      </c>
      <c r="O2" s="17" t="s">
        <v>59</v>
      </c>
      <c r="P2" s="17" t="s">
        <v>20</v>
      </c>
      <c r="Q2" s="17" t="s">
        <v>140</v>
      </c>
      <c r="R2" s="17" t="s">
        <v>20</v>
      </c>
      <c r="S2" s="17" t="s">
        <v>74</v>
      </c>
      <c r="T2" s="17">
        <v>0</v>
      </c>
      <c r="U2" s="18">
        <v>4491790857</v>
      </c>
      <c r="V2" s="17" t="s">
        <v>188</v>
      </c>
      <c r="X2" s="17" t="s">
        <v>66</v>
      </c>
      <c r="Y2" s="17" t="s">
        <v>61</v>
      </c>
      <c r="Z2" s="17" t="s">
        <v>62</v>
      </c>
      <c r="AA2" s="18">
        <v>790618.574257</v>
      </c>
      <c r="AB2" s="18">
        <v>2416417.11571</v>
      </c>
    </row>
    <row r="3" spans="1:28" x14ac:dyDescent="0.25">
      <c r="A3" s="17">
        <v>2</v>
      </c>
      <c r="B3" s="17">
        <v>519122</v>
      </c>
      <c r="C3" s="17" t="s">
        <v>186</v>
      </c>
      <c r="D3" s="17" t="s">
        <v>167</v>
      </c>
      <c r="E3" s="17" t="s">
        <v>189</v>
      </c>
      <c r="F3" s="17" t="s">
        <v>234</v>
      </c>
      <c r="G3" s="17" t="s">
        <v>169</v>
      </c>
      <c r="H3" s="17" t="s">
        <v>77</v>
      </c>
      <c r="I3" s="17">
        <v>20320</v>
      </c>
      <c r="J3" s="17" t="s">
        <v>54</v>
      </c>
      <c r="K3" s="17" t="s">
        <v>55</v>
      </c>
      <c r="L3" s="17" t="s">
        <v>20</v>
      </c>
      <c r="M3" s="17" t="s">
        <v>107</v>
      </c>
      <c r="N3" s="17" t="s">
        <v>20</v>
      </c>
      <c r="O3" s="17" t="s">
        <v>170</v>
      </c>
      <c r="P3" s="17" t="s">
        <v>58</v>
      </c>
      <c r="Q3" s="17" t="s">
        <v>107</v>
      </c>
      <c r="R3" s="17" t="s">
        <v>20</v>
      </c>
      <c r="S3" s="17" t="s">
        <v>107</v>
      </c>
      <c r="T3" s="17">
        <v>0</v>
      </c>
      <c r="U3" s="18">
        <v>0</v>
      </c>
      <c r="X3" s="17" t="s">
        <v>64</v>
      </c>
      <c r="Y3" s="17" t="s">
        <v>75</v>
      </c>
      <c r="Z3" s="17" t="s">
        <v>76</v>
      </c>
      <c r="AA3" s="18">
        <v>789109.43174599996</v>
      </c>
      <c r="AB3" s="18">
        <v>2435641.2378099998</v>
      </c>
    </row>
    <row r="4" spans="1:28" x14ac:dyDescent="0.25">
      <c r="A4" s="17">
        <v>3</v>
      </c>
      <c r="B4" s="17">
        <v>519122</v>
      </c>
      <c r="C4" s="17" t="s">
        <v>186</v>
      </c>
      <c r="D4" s="17" t="s">
        <v>167</v>
      </c>
      <c r="E4" s="17" t="s">
        <v>190</v>
      </c>
      <c r="F4" s="17" t="s">
        <v>234</v>
      </c>
      <c r="G4" s="17" t="s">
        <v>183</v>
      </c>
      <c r="H4" s="17" t="s">
        <v>80</v>
      </c>
      <c r="I4" s="17">
        <v>20230</v>
      </c>
      <c r="J4" s="17" t="s">
        <v>54</v>
      </c>
      <c r="K4" s="17" t="s">
        <v>63</v>
      </c>
      <c r="L4" s="17" t="s">
        <v>20</v>
      </c>
      <c r="M4" s="17" t="s">
        <v>79</v>
      </c>
      <c r="N4" s="17" t="s">
        <v>20</v>
      </c>
      <c r="O4" s="17" t="s">
        <v>83</v>
      </c>
      <c r="P4" s="17" t="s">
        <v>20</v>
      </c>
      <c r="Q4" s="17" t="s">
        <v>84</v>
      </c>
      <c r="R4" s="17" t="s">
        <v>20</v>
      </c>
      <c r="S4" s="17" t="s">
        <v>79</v>
      </c>
      <c r="T4" s="17">
        <v>0</v>
      </c>
      <c r="U4" s="18">
        <v>0</v>
      </c>
      <c r="X4" s="17" t="s">
        <v>60</v>
      </c>
      <c r="Y4" s="17" t="s">
        <v>75</v>
      </c>
      <c r="Z4" s="17" t="s">
        <v>76</v>
      </c>
      <c r="AA4" s="18">
        <v>788809.14066000003</v>
      </c>
      <c r="AB4" s="18">
        <v>2435552.1655100002</v>
      </c>
    </row>
    <row r="5" spans="1:28" x14ac:dyDescent="0.25">
      <c r="A5" s="17">
        <v>4</v>
      </c>
      <c r="B5" s="17">
        <v>519122</v>
      </c>
      <c r="C5" s="17" t="s">
        <v>186</v>
      </c>
      <c r="D5" s="17" t="s">
        <v>167</v>
      </c>
      <c r="E5" s="17" t="s">
        <v>191</v>
      </c>
      <c r="F5" s="17" t="s">
        <v>234</v>
      </c>
      <c r="G5" s="17" t="s">
        <v>114</v>
      </c>
      <c r="H5" s="17" t="s">
        <v>85</v>
      </c>
      <c r="I5" s="17">
        <v>20340</v>
      </c>
      <c r="J5" s="17" t="s">
        <v>54</v>
      </c>
      <c r="K5" s="17" t="s">
        <v>55</v>
      </c>
      <c r="L5" s="17" t="s">
        <v>20</v>
      </c>
      <c r="M5" s="17" t="s">
        <v>73</v>
      </c>
      <c r="N5" s="17" t="s">
        <v>20</v>
      </c>
      <c r="O5" s="17" t="s">
        <v>88</v>
      </c>
      <c r="P5" s="17" t="s">
        <v>20</v>
      </c>
      <c r="Q5" s="17" t="s">
        <v>89</v>
      </c>
      <c r="R5" s="17" t="s">
        <v>20</v>
      </c>
      <c r="S5" s="17" t="s">
        <v>69</v>
      </c>
      <c r="T5" s="17">
        <v>0</v>
      </c>
      <c r="U5" s="18">
        <v>0</v>
      </c>
      <c r="X5" s="17" t="s">
        <v>60</v>
      </c>
      <c r="Y5" s="17" t="s">
        <v>87</v>
      </c>
      <c r="Z5" s="17" t="s">
        <v>86</v>
      </c>
      <c r="AA5" s="18">
        <v>782287.36003500002</v>
      </c>
      <c r="AB5" s="18">
        <v>2404574.2290599998</v>
      </c>
    </row>
    <row r="6" spans="1:28" x14ac:dyDescent="0.25">
      <c r="A6" s="17">
        <v>5</v>
      </c>
      <c r="B6" s="17">
        <v>519122</v>
      </c>
      <c r="C6" s="17" t="s">
        <v>186</v>
      </c>
      <c r="D6" s="17" t="s">
        <v>167</v>
      </c>
      <c r="E6" s="17" t="s">
        <v>192</v>
      </c>
      <c r="F6" s="17" t="s">
        <v>234</v>
      </c>
      <c r="G6" s="17" t="s">
        <v>174</v>
      </c>
      <c r="H6" s="17" t="s">
        <v>67</v>
      </c>
      <c r="I6" s="17">
        <v>20287</v>
      </c>
      <c r="J6" s="17" t="s">
        <v>54</v>
      </c>
      <c r="K6" s="17" t="s">
        <v>55</v>
      </c>
      <c r="L6" s="17" t="s">
        <v>20</v>
      </c>
      <c r="M6" s="17" t="s">
        <v>93</v>
      </c>
      <c r="N6" s="17" t="s">
        <v>20</v>
      </c>
      <c r="O6" s="17" t="s">
        <v>97</v>
      </c>
      <c r="P6" s="17" t="s">
        <v>20</v>
      </c>
      <c r="Q6" s="17" t="s">
        <v>98</v>
      </c>
      <c r="R6" s="17" t="s">
        <v>20</v>
      </c>
      <c r="S6" s="17" t="s">
        <v>193</v>
      </c>
      <c r="T6" s="17">
        <v>704</v>
      </c>
      <c r="U6" s="18">
        <v>4499783228</v>
      </c>
      <c r="X6" s="17" t="s">
        <v>66</v>
      </c>
      <c r="Y6" s="17" t="s">
        <v>96</v>
      </c>
      <c r="Z6" s="17" t="s">
        <v>92</v>
      </c>
      <c r="AA6" s="18">
        <v>778246.77648999996</v>
      </c>
      <c r="AB6" s="18">
        <v>2418483.95847</v>
      </c>
    </row>
    <row r="7" spans="1:28" x14ac:dyDescent="0.25">
      <c r="A7" s="17">
        <v>6</v>
      </c>
      <c r="B7" s="17">
        <v>519122</v>
      </c>
      <c r="C7" s="17" t="s">
        <v>186</v>
      </c>
      <c r="D7" s="17" t="s">
        <v>167</v>
      </c>
      <c r="E7" s="17" t="s">
        <v>194</v>
      </c>
      <c r="F7" s="17" t="s">
        <v>234</v>
      </c>
      <c r="G7" s="17" t="s">
        <v>195</v>
      </c>
      <c r="H7" s="17" t="s">
        <v>67</v>
      </c>
      <c r="I7" s="17">
        <v>20289</v>
      </c>
      <c r="J7" s="17" t="s">
        <v>54</v>
      </c>
      <c r="K7" s="17" t="s">
        <v>55</v>
      </c>
      <c r="L7" s="17" t="s">
        <v>94</v>
      </c>
      <c r="M7" s="17" t="s">
        <v>196</v>
      </c>
      <c r="N7" s="17" t="s">
        <v>94</v>
      </c>
      <c r="O7" s="17" t="s">
        <v>59</v>
      </c>
      <c r="P7" s="17" t="s">
        <v>94</v>
      </c>
      <c r="Q7" s="17" t="s">
        <v>197</v>
      </c>
      <c r="R7" s="17" t="s">
        <v>94</v>
      </c>
      <c r="S7" s="17" t="s">
        <v>197</v>
      </c>
      <c r="T7" s="17">
        <v>0</v>
      </c>
      <c r="U7" s="18">
        <v>0</v>
      </c>
      <c r="X7" s="17" t="s">
        <v>60</v>
      </c>
      <c r="Y7" s="17" t="s">
        <v>101</v>
      </c>
      <c r="Z7" s="17" t="s">
        <v>92</v>
      </c>
      <c r="AA7" s="18">
        <v>779519.73584400001</v>
      </c>
      <c r="AB7" s="18">
        <v>2418771.5635600002</v>
      </c>
    </row>
    <row r="8" spans="1:28" x14ac:dyDescent="0.25">
      <c r="A8" s="17">
        <v>7</v>
      </c>
      <c r="B8" s="17">
        <v>519122</v>
      </c>
      <c r="C8" s="17" t="s">
        <v>186</v>
      </c>
      <c r="D8" s="17" t="s">
        <v>167</v>
      </c>
      <c r="E8" s="17" t="s">
        <v>198</v>
      </c>
      <c r="F8" s="17" t="s">
        <v>234</v>
      </c>
      <c r="G8" s="17" t="s">
        <v>185</v>
      </c>
      <c r="H8" s="17" t="s">
        <v>67</v>
      </c>
      <c r="I8" s="17">
        <v>20289</v>
      </c>
      <c r="J8" s="17" t="s">
        <v>54</v>
      </c>
      <c r="K8" s="17" t="s">
        <v>55</v>
      </c>
      <c r="L8" s="17" t="s">
        <v>94</v>
      </c>
      <c r="M8" s="17" t="s">
        <v>196</v>
      </c>
      <c r="N8" s="17" t="s">
        <v>94</v>
      </c>
      <c r="O8" s="17" t="s">
        <v>197</v>
      </c>
      <c r="P8" s="17" t="s">
        <v>94</v>
      </c>
      <c r="Q8" s="17" t="s">
        <v>59</v>
      </c>
      <c r="R8" s="17" t="s">
        <v>94</v>
      </c>
      <c r="S8" s="17" t="s">
        <v>199</v>
      </c>
      <c r="T8" s="17">
        <v>622</v>
      </c>
      <c r="U8" s="18">
        <v>0</v>
      </c>
      <c r="X8" s="17" t="s">
        <v>66</v>
      </c>
      <c r="Y8" s="17" t="s">
        <v>101</v>
      </c>
      <c r="Z8" s="17" t="s">
        <v>92</v>
      </c>
      <c r="AA8" s="18">
        <v>779593.78573400003</v>
      </c>
      <c r="AB8" s="18">
        <v>2418761.4856199999</v>
      </c>
    </row>
    <row r="9" spans="1:28" x14ac:dyDescent="0.25">
      <c r="A9" s="17">
        <v>8</v>
      </c>
      <c r="B9" s="17">
        <v>519122</v>
      </c>
      <c r="C9" s="17" t="s">
        <v>186</v>
      </c>
      <c r="D9" s="17" t="s">
        <v>167</v>
      </c>
      <c r="E9" s="17" t="s">
        <v>200</v>
      </c>
      <c r="F9" s="17" t="s">
        <v>234</v>
      </c>
      <c r="G9" s="17" t="s">
        <v>175</v>
      </c>
      <c r="H9" s="17" t="s">
        <v>67</v>
      </c>
      <c r="I9" s="17">
        <v>20050</v>
      </c>
      <c r="J9" s="17" t="s">
        <v>54</v>
      </c>
      <c r="K9" s="17" t="s">
        <v>63</v>
      </c>
      <c r="L9" s="17" t="s">
        <v>20</v>
      </c>
      <c r="M9" s="17" t="s">
        <v>104</v>
      </c>
      <c r="N9" s="17" t="s">
        <v>20</v>
      </c>
      <c r="O9" s="17" t="s">
        <v>115</v>
      </c>
      <c r="P9" s="17" t="s">
        <v>20</v>
      </c>
      <c r="Q9" s="17" t="s">
        <v>81</v>
      </c>
      <c r="R9" s="17" t="s">
        <v>20</v>
      </c>
      <c r="S9" s="17" t="s">
        <v>120</v>
      </c>
      <c r="T9" s="17">
        <v>501</v>
      </c>
      <c r="U9" s="18">
        <v>4499158257</v>
      </c>
      <c r="V9" s="17" t="s">
        <v>201</v>
      </c>
      <c r="X9" s="17" t="s">
        <v>66</v>
      </c>
      <c r="Y9" s="17" t="s">
        <v>102</v>
      </c>
      <c r="Z9" s="17" t="s">
        <v>108</v>
      </c>
      <c r="AA9" s="18">
        <v>779712.67904399999</v>
      </c>
      <c r="AB9" s="18">
        <v>2423116.3076900002</v>
      </c>
    </row>
    <row r="10" spans="1:28" x14ac:dyDescent="0.25">
      <c r="A10" s="17">
        <v>9</v>
      </c>
      <c r="B10" s="17">
        <v>519122</v>
      </c>
      <c r="C10" s="17" t="s">
        <v>186</v>
      </c>
      <c r="D10" s="17" t="s">
        <v>167</v>
      </c>
      <c r="E10" s="17" t="s">
        <v>202</v>
      </c>
      <c r="F10" s="17" t="s">
        <v>234</v>
      </c>
      <c r="G10" s="17" t="s">
        <v>172</v>
      </c>
      <c r="H10" s="17" t="s">
        <v>67</v>
      </c>
      <c r="I10" s="17">
        <v>20000</v>
      </c>
      <c r="J10" s="17" t="s">
        <v>54</v>
      </c>
      <c r="K10" s="17" t="s">
        <v>63</v>
      </c>
      <c r="L10" s="17" t="s">
        <v>20</v>
      </c>
      <c r="M10" s="17" t="s">
        <v>113</v>
      </c>
      <c r="N10" s="17" t="s">
        <v>20</v>
      </c>
      <c r="O10" s="17" t="s">
        <v>65</v>
      </c>
      <c r="P10" s="17" t="s">
        <v>20</v>
      </c>
      <c r="Q10" s="17" t="s">
        <v>74</v>
      </c>
      <c r="R10" s="17" t="s">
        <v>56</v>
      </c>
      <c r="S10" s="17" t="s">
        <v>68</v>
      </c>
      <c r="T10" s="17">
        <v>220</v>
      </c>
      <c r="U10" s="18">
        <v>0</v>
      </c>
      <c r="V10" s="17" t="s">
        <v>203</v>
      </c>
      <c r="W10" s="17" t="s">
        <v>204</v>
      </c>
      <c r="X10" s="17" t="s">
        <v>66</v>
      </c>
      <c r="Y10" s="17" t="s">
        <v>102</v>
      </c>
      <c r="Z10" s="17" t="s">
        <v>108</v>
      </c>
      <c r="AA10" s="18">
        <v>779659.20741000003</v>
      </c>
      <c r="AB10" s="18">
        <v>2422131.7100800001</v>
      </c>
    </row>
    <row r="11" spans="1:28" x14ac:dyDescent="0.25">
      <c r="A11" s="17">
        <v>10</v>
      </c>
      <c r="B11" s="17">
        <v>519122</v>
      </c>
      <c r="C11" s="17" t="s">
        <v>186</v>
      </c>
      <c r="D11" s="17" t="s">
        <v>167</v>
      </c>
      <c r="E11" s="17" t="s">
        <v>205</v>
      </c>
      <c r="F11" s="17" t="s">
        <v>234</v>
      </c>
      <c r="G11" s="17" t="s">
        <v>168</v>
      </c>
      <c r="H11" s="17" t="s">
        <v>67</v>
      </c>
      <c r="I11" s="17">
        <v>20000</v>
      </c>
      <c r="J11" s="17" t="s">
        <v>54</v>
      </c>
      <c r="K11" s="17" t="s">
        <v>63</v>
      </c>
      <c r="L11" s="17" t="s">
        <v>20</v>
      </c>
      <c r="M11" s="17" t="s">
        <v>113</v>
      </c>
      <c r="N11" s="17" t="s">
        <v>20</v>
      </c>
      <c r="O11" s="17" t="s">
        <v>73</v>
      </c>
      <c r="P11" s="17" t="s">
        <v>20</v>
      </c>
      <c r="Q11" s="17" t="s">
        <v>106</v>
      </c>
      <c r="R11" s="17" t="s">
        <v>20</v>
      </c>
      <c r="S11" s="17" t="s">
        <v>111</v>
      </c>
      <c r="T11" s="17">
        <v>215</v>
      </c>
      <c r="U11" s="18">
        <v>0</v>
      </c>
      <c r="X11" s="17" t="s">
        <v>66</v>
      </c>
      <c r="Y11" s="17" t="s">
        <v>102</v>
      </c>
      <c r="Z11" s="17" t="s">
        <v>108</v>
      </c>
      <c r="AA11" s="18">
        <v>779682.97803999996</v>
      </c>
      <c r="AB11" s="18">
        <v>2422129.2456200002</v>
      </c>
    </row>
    <row r="12" spans="1:28" x14ac:dyDescent="0.25">
      <c r="A12" s="17">
        <v>11</v>
      </c>
      <c r="B12" s="17">
        <v>519122</v>
      </c>
      <c r="C12" s="17" t="s">
        <v>186</v>
      </c>
      <c r="D12" s="17" t="s">
        <v>167</v>
      </c>
      <c r="E12" s="17" t="s">
        <v>206</v>
      </c>
      <c r="F12" s="17" t="s">
        <v>234</v>
      </c>
      <c r="G12" s="17" t="s">
        <v>207</v>
      </c>
      <c r="H12" s="17" t="s">
        <v>67</v>
      </c>
      <c r="I12" s="17">
        <v>20000</v>
      </c>
      <c r="J12" s="17" t="s">
        <v>54</v>
      </c>
      <c r="K12" s="17" t="s">
        <v>71</v>
      </c>
      <c r="L12" s="17" t="s">
        <v>20</v>
      </c>
      <c r="M12" s="17" t="s">
        <v>109</v>
      </c>
      <c r="N12" s="17" t="s">
        <v>20</v>
      </c>
      <c r="O12" s="17" t="s">
        <v>116</v>
      </c>
      <c r="P12" s="17" t="s">
        <v>20</v>
      </c>
      <c r="Q12" s="17" t="s">
        <v>103</v>
      </c>
      <c r="R12" s="17" t="s">
        <v>20</v>
      </c>
      <c r="S12" s="17" t="s">
        <v>118</v>
      </c>
      <c r="T12" s="17">
        <v>347</v>
      </c>
      <c r="U12" s="18">
        <v>0</v>
      </c>
      <c r="V12" s="17" t="s">
        <v>208</v>
      </c>
      <c r="W12" s="17" t="s">
        <v>209</v>
      </c>
      <c r="X12" s="17" t="s">
        <v>95</v>
      </c>
      <c r="Y12" s="17" t="s">
        <v>102</v>
      </c>
      <c r="Z12" s="17" t="s">
        <v>108</v>
      </c>
      <c r="AA12" s="18">
        <v>779678.39605800004</v>
      </c>
      <c r="AB12" s="18">
        <v>2422709.22156</v>
      </c>
    </row>
    <row r="13" spans="1:28" x14ac:dyDescent="0.25">
      <c r="A13" s="17">
        <v>12</v>
      </c>
      <c r="B13" s="17">
        <v>519122</v>
      </c>
      <c r="C13" s="17" t="s">
        <v>186</v>
      </c>
      <c r="D13" s="17" t="s">
        <v>167</v>
      </c>
      <c r="E13" s="17" t="s">
        <v>210</v>
      </c>
      <c r="F13" s="17" t="s">
        <v>234</v>
      </c>
      <c r="G13" s="17" t="s">
        <v>171</v>
      </c>
      <c r="H13" s="17" t="s">
        <v>67</v>
      </c>
      <c r="I13" s="17">
        <v>20000</v>
      </c>
      <c r="J13" s="17" t="s">
        <v>54</v>
      </c>
      <c r="K13" s="17" t="s">
        <v>63</v>
      </c>
      <c r="L13" s="17" t="s">
        <v>105</v>
      </c>
      <c r="M13" s="17" t="s">
        <v>177</v>
      </c>
      <c r="N13" s="17" t="s">
        <v>20</v>
      </c>
      <c r="O13" s="17" t="s">
        <v>117</v>
      </c>
      <c r="P13" s="17" t="s">
        <v>105</v>
      </c>
      <c r="Q13" s="17" t="s">
        <v>70</v>
      </c>
      <c r="R13" s="17" t="s">
        <v>20</v>
      </c>
      <c r="S13" s="17" t="s">
        <v>121</v>
      </c>
      <c r="T13" s="17">
        <v>202</v>
      </c>
      <c r="U13" s="18">
        <v>0</v>
      </c>
      <c r="X13" s="17" t="s">
        <v>66</v>
      </c>
      <c r="Y13" s="17" t="s">
        <v>91</v>
      </c>
      <c r="Z13" s="17" t="s">
        <v>108</v>
      </c>
      <c r="AA13" s="18">
        <v>779231.44344800001</v>
      </c>
      <c r="AB13" s="18">
        <v>2422080.7154999999</v>
      </c>
    </row>
    <row r="14" spans="1:28" x14ac:dyDescent="0.25">
      <c r="A14" s="17">
        <v>13</v>
      </c>
      <c r="B14" s="17">
        <v>519122</v>
      </c>
      <c r="C14" s="17" t="s">
        <v>186</v>
      </c>
      <c r="D14" s="17" t="s">
        <v>167</v>
      </c>
      <c r="E14" s="17" t="s">
        <v>211</v>
      </c>
      <c r="F14" s="17" t="s">
        <v>234</v>
      </c>
      <c r="G14" s="17" t="s">
        <v>211</v>
      </c>
      <c r="H14" s="17" t="s">
        <v>67</v>
      </c>
      <c r="I14" s="17">
        <v>20000</v>
      </c>
      <c r="J14" s="17" t="s">
        <v>54</v>
      </c>
      <c r="K14" s="17" t="s">
        <v>71</v>
      </c>
      <c r="L14" s="17" t="s">
        <v>105</v>
      </c>
      <c r="M14" s="17" t="s">
        <v>78</v>
      </c>
      <c r="N14" s="17" t="s">
        <v>20</v>
      </c>
      <c r="O14" s="17" t="s">
        <v>176</v>
      </c>
      <c r="P14" s="17" t="s">
        <v>105</v>
      </c>
      <c r="Q14" s="17" t="s">
        <v>119</v>
      </c>
      <c r="R14" s="17" t="s">
        <v>20</v>
      </c>
      <c r="S14" s="17" t="s">
        <v>72</v>
      </c>
      <c r="T14" s="17">
        <v>122</v>
      </c>
      <c r="U14" s="18">
        <v>4499181412</v>
      </c>
      <c r="V14" s="17" t="s">
        <v>212</v>
      </c>
      <c r="X14" s="17" t="s">
        <v>66</v>
      </c>
      <c r="Y14" s="17" t="s">
        <v>91</v>
      </c>
      <c r="Z14" s="17" t="s">
        <v>108</v>
      </c>
      <c r="AA14" s="18">
        <v>779413.54862899997</v>
      </c>
      <c r="AB14" s="18">
        <v>2422275.6868799999</v>
      </c>
    </row>
    <row r="15" spans="1:28" x14ac:dyDescent="0.25">
      <c r="A15" s="17">
        <v>14</v>
      </c>
      <c r="B15" s="17">
        <v>519122</v>
      </c>
      <c r="C15" s="17" t="s">
        <v>186</v>
      </c>
      <c r="D15" s="17" t="s">
        <v>167</v>
      </c>
      <c r="E15" s="17" t="s">
        <v>213</v>
      </c>
      <c r="F15" s="17" t="s">
        <v>234</v>
      </c>
      <c r="G15" s="17" t="s">
        <v>214</v>
      </c>
      <c r="H15" s="17" t="s">
        <v>82</v>
      </c>
      <c r="I15" s="17">
        <v>20179</v>
      </c>
      <c r="J15" s="17" t="s">
        <v>54</v>
      </c>
      <c r="K15" s="17" t="s">
        <v>63</v>
      </c>
      <c r="L15" s="17" t="s">
        <v>56</v>
      </c>
      <c r="M15" s="17" t="s">
        <v>178</v>
      </c>
      <c r="N15" s="17" t="s">
        <v>56</v>
      </c>
      <c r="O15" s="17" t="s">
        <v>128</v>
      </c>
      <c r="P15" s="17" t="s">
        <v>20</v>
      </c>
      <c r="Q15" s="17" t="s">
        <v>59</v>
      </c>
      <c r="R15" s="17" t="s">
        <v>56</v>
      </c>
      <c r="S15" s="17" t="s">
        <v>179</v>
      </c>
      <c r="T15" s="17">
        <v>0</v>
      </c>
      <c r="U15" s="18">
        <v>0</v>
      </c>
      <c r="X15" s="17" t="s">
        <v>64</v>
      </c>
      <c r="Y15" s="17" t="s">
        <v>126</v>
      </c>
      <c r="Z15" s="17" t="s">
        <v>125</v>
      </c>
      <c r="AA15" s="18">
        <v>781590.94794500002</v>
      </c>
      <c r="AB15" s="18">
        <v>2425946.3941600001</v>
      </c>
    </row>
    <row r="16" spans="1:28" x14ac:dyDescent="0.25">
      <c r="A16" s="17">
        <v>15</v>
      </c>
      <c r="B16" s="17">
        <v>519122</v>
      </c>
      <c r="C16" s="17" t="s">
        <v>186</v>
      </c>
      <c r="D16" s="17" t="s">
        <v>167</v>
      </c>
      <c r="E16" s="17" t="s">
        <v>215</v>
      </c>
      <c r="F16" s="17" t="s">
        <v>234</v>
      </c>
      <c r="G16" s="17" t="s">
        <v>185</v>
      </c>
      <c r="H16" s="17" t="s">
        <v>67</v>
      </c>
      <c r="I16" s="17">
        <v>20179</v>
      </c>
      <c r="J16" s="17" t="s">
        <v>54</v>
      </c>
      <c r="K16" s="17" t="s">
        <v>55</v>
      </c>
      <c r="L16" s="17" t="s">
        <v>20</v>
      </c>
      <c r="M16" s="17" t="s">
        <v>130</v>
      </c>
      <c r="N16" s="17" t="s">
        <v>20</v>
      </c>
      <c r="O16" s="17" t="s">
        <v>132</v>
      </c>
      <c r="P16" s="17" t="s">
        <v>20</v>
      </c>
      <c r="Q16" s="17" t="s">
        <v>100</v>
      </c>
      <c r="R16" s="17" t="s">
        <v>20</v>
      </c>
      <c r="S16" s="17" t="s">
        <v>180</v>
      </c>
      <c r="T16" s="17">
        <v>0</v>
      </c>
      <c r="U16" s="18">
        <v>0</v>
      </c>
      <c r="X16" s="17" t="s">
        <v>66</v>
      </c>
      <c r="Y16" s="17" t="s">
        <v>122</v>
      </c>
      <c r="Z16" s="17" t="s">
        <v>125</v>
      </c>
      <c r="AA16" s="18">
        <v>782854.26567200001</v>
      </c>
      <c r="AB16" s="18">
        <v>2425025.20633</v>
      </c>
    </row>
    <row r="17" spans="1:28" x14ac:dyDescent="0.25">
      <c r="A17" s="17">
        <v>16</v>
      </c>
      <c r="B17" s="17">
        <v>519122</v>
      </c>
      <c r="C17" s="17" t="s">
        <v>186</v>
      </c>
      <c r="D17" s="17" t="s">
        <v>167</v>
      </c>
      <c r="E17" s="17" t="s">
        <v>216</v>
      </c>
      <c r="F17" s="17" t="s">
        <v>234</v>
      </c>
      <c r="G17" s="17" t="s">
        <v>217</v>
      </c>
      <c r="H17" s="17" t="s">
        <v>82</v>
      </c>
      <c r="I17" s="17">
        <v>20199</v>
      </c>
      <c r="J17" s="17" t="s">
        <v>54</v>
      </c>
      <c r="K17" s="17" t="s">
        <v>55</v>
      </c>
      <c r="L17" s="17" t="s">
        <v>20</v>
      </c>
      <c r="M17" s="17" t="s">
        <v>129</v>
      </c>
      <c r="N17" s="17" t="s">
        <v>90</v>
      </c>
      <c r="O17" s="17" t="s">
        <v>112</v>
      </c>
      <c r="P17" s="17" t="s">
        <v>94</v>
      </c>
      <c r="Q17" s="17" t="s">
        <v>218</v>
      </c>
      <c r="R17" s="17" t="s">
        <v>90</v>
      </c>
      <c r="S17" s="17" t="s">
        <v>112</v>
      </c>
      <c r="T17" s="17">
        <v>502</v>
      </c>
      <c r="U17" s="18">
        <v>0</v>
      </c>
      <c r="X17" s="17" t="s">
        <v>66</v>
      </c>
      <c r="Y17" s="17" t="s">
        <v>122</v>
      </c>
      <c r="Z17" s="17" t="s">
        <v>125</v>
      </c>
      <c r="AA17" s="18">
        <v>783457.577192</v>
      </c>
      <c r="AB17" s="18">
        <v>2423315.0783799998</v>
      </c>
    </row>
    <row r="18" spans="1:28" x14ac:dyDescent="0.25">
      <c r="A18" s="17">
        <v>17</v>
      </c>
      <c r="B18" s="17">
        <v>519122</v>
      </c>
      <c r="C18" s="17" t="s">
        <v>186</v>
      </c>
      <c r="D18" s="17" t="s">
        <v>167</v>
      </c>
      <c r="E18" s="17" t="s">
        <v>219</v>
      </c>
      <c r="F18" s="17" t="s">
        <v>234</v>
      </c>
      <c r="G18" s="17" t="s">
        <v>220</v>
      </c>
      <c r="H18" s="17" t="s">
        <v>82</v>
      </c>
      <c r="I18" s="17">
        <v>20199</v>
      </c>
      <c r="J18" s="17" t="s">
        <v>54</v>
      </c>
      <c r="K18" s="17" t="s">
        <v>55</v>
      </c>
      <c r="L18" s="17" t="s">
        <v>20</v>
      </c>
      <c r="M18" s="17" t="s">
        <v>133</v>
      </c>
      <c r="N18" s="17" t="s">
        <v>20</v>
      </c>
      <c r="O18" s="17" t="s">
        <v>182</v>
      </c>
      <c r="P18" s="17" t="s">
        <v>20</v>
      </c>
      <c r="Q18" s="17" t="s">
        <v>181</v>
      </c>
      <c r="R18" s="17" t="s">
        <v>90</v>
      </c>
      <c r="S18" s="17" t="s">
        <v>131</v>
      </c>
      <c r="T18" s="17">
        <v>211</v>
      </c>
      <c r="U18" s="18">
        <v>0</v>
      </c>
      <c r="X18" s="17" t="s">
        <v>66</v>
      </c>
      <c r="Y18" s="17" t="s">
        <v>122</v>
      </c>
      <c r="Z18" s="17" t="s">
        <v>125</v>
      </c>
      <c r="AA18" s="18">
        <v>782846.37439200003</v>
      </c>
      <c r="AB18" s="18">
        <v>2423837.1237400002</v>
      </c>
    </row>
    <row r="19" spans="1:28" x14ac:dyDescent="0.25">
      <c r="A19" s="17">
        <v>18</v>
      </c>
      <c r="B19" s="17">
        <v>519122</v>
      </c>
      <c r="C19" s="17" t="s">
        <v>186</v>
      </c>
      <c r="D19" s="17" t="s">
        <v>167</v>
      </c>
      <c r="E19" s="17" t="s">
        <v>221</v>
      </c>
      <c r="F19" s="17" t="s">
        <v>234</v>
      </c>
      <c r="G19" s="17" t="s">
        <v>222</v>
      </c>
      <c r="H19" s="17" t="s">
        <v>67</v>
      </c>
      <c r="I19" s="17">
        <v>20250</v>
      </c>
      <c r="J19" s="17" t="s">
        <v>54</v>
      </c>
      <c r="K19" s="17" t="s">
        <v>63</v>
      </c>
      <c r="L19" s="17" t="s">
        <v>20</v>
      </c>
      <c r="M19" s="17" t="s">
        <v>59</v>
      </c>
      <c r="N19" s="17" t="s">
        <v>56</v>
      </c>
      <c r="O19" s="17" t="s">
        <v>110</v>
      </c>
      <c r="P19" s="17" t="s">
        <v>20</v>
      </c>
      <c r="Q19" s="17" t="s">
        <v>135</v>
      </c>
      <c r="R19" s="17" t="s">
        <v>20</v>
      </c>
      <c r="S19" s="17" t="s">
        <v>135</v>
      </c>
      <c r="T19" s="17">
        <v>0</v>
      </c>
      <c r="U19" s="18">
        <v>0</v>
      </c>
      <c r="W19" s="17" t="s">
        <v>173</v>
      </c>
      <c r="X19" s="17" t="s">
        <v>60</v>
      </c>
      <c r="Y19" s="17" t="s">
        <v>102</v>
      </c>
      <c r="Z19" s="17" t="s">
        <v>134</v>
      </c>
      <c r="AA19" s="18">
        <v>781043.63883099996</v>
      </c>
      <c r="AB19" s="18">
        <v>2421836.8059299998</v>
      </c>
    </row>
    <row r="20" spans="1:28" x14ac:dyDescent="0.25">
      <c r="A20" s="17">
        <v>19</v>
      </c>
      <c r="B20" s="17">
        <v>519122</v>
      </c>
      <c r="C20" s="17" t="s">
        <v>186</v>
      </c>
      <c r="D20" s="17" t="s">
        <v>167</v>
      </c>
      <c r="E20" s="17" t="s">
        <v>223</v>
      </c>
      <c r="F20" s="17" t="s">
        <v>234</v>
      </c>
      <c r="G20" s="17" t="s">
        <v>185</v>
      </c>
      <c r="H20" s="17" t="s">
        <v>82</v>
      </c>
      <c r="I20" s="17">
        <v>20298</v>
      </c>
      <c r="J20" s="17" t="s">
        <v>54</v>
      </c>
      <c r="K20" s="17" t="s">
        <v>55</v>
      </c>
      <c r="L20" s="17" t="s">
        <v>20</v>
      </c>
      <c r="M20" s="17" t="s">
        <v>224</v>
      </c>
      <c r="N20" s="17" t="s">
        <v>20</v>
      </c>
      <c r="O20" s="17" t="s">
        <v>136</v>
      </c>
      <c r="P20" s="17" t="s">
        <v>20</v>
      </c>
      <c r="Q20" s="17" t="s">
        <v>138</v>
      </c>
      <c r="R20" s="17" t="s">
        <v>56</v>
      </c>
      <c r="S20" s="17" t="s">
        <v>137</v>
      </c>
      <c r="T20" s="17">
        <v>302</v>
      </c>
      <c r="U20" s="18">
        <v>4499775921</v>
      </c>
      <c r="X20" s="17" t="s">
        <v>66</v>
      </c>
      <c r="Y20" s="17" t="s">
        <v>123</v>
      </c>
      <c r="Z20" s="17" t="s">
        <v>134</v>
      </c>
      <c r="AA20" s="18">
        <v>783601.79469899996</v>
      </c>
      <c r="AB20" s="18">
        <v>2419638.1967799999</v>
      </c>
    </row>
    <row r="21" spans="1:28" x14ac:dyDescent="0.25">
      <c r="A21" s="17">
        <v>20</v>
      </c>
      <c r="B21" s="17">
        <v>519121</v>
      </c>
      <c r="C21" s="17" t="s">
        <v>186</v>
      </c>
      <c r="D21" s="17" t="s">
        <v>52</v>
      </c>
      <c r="E21" s="17" t="s">
        <v>225</v>
      </c>
      <c r="F21" s="17" t="s">
        <v>226</v>
      </c>
      <c r="H21" s="17" t="s">
        <v>82</v>
      </c>
      <c r="I21" s="17">
        <v>20126</v>
      </c>
      <c r="J21" s="17" t="s">
        <v>54</v>
      </c>
      <c r="K21" s="17" t="s">
        <v>55</v>
      </c>
      <c r="L21" s="17" t="s">
        <v>20</v>
      </c>
      <c r="M21" s="17" t="s">
        <v>227</v>
      </c>
      <c r="N21" s="17" t="s">
        <v>20</v>
      </c>
      <c r="O21" s="17" t="s">
        <v>127</v>
      </c>
      <c r="P21" s="17" t="s">
        <v>58</v>
      </c>
      <c r="Q21" s="17" t="s">
        <v>228</v>
      </c>
      <c r="R21" s="17" t="s">
        <v>20</v>
      </c>
      <c r="S21" s="17" t="s">
        <v>229</v>
      </c>
      <c r="T21" s="17">
        <v>126</v>
      </c>
      <c r="U21" s="18">
        <v>4491161648</v>
      </c>
      <c r="X21" s="17" t="s">
        <v>60</v>
      </c>
      <c r="Y21" s="17" t="s">
        <v>126</v>
      </c>
      <c r="Z21" s="17" t="s">
        <v>139</v>
      </c>
      <c r="AA21" s="18">
        <v>782359.50520999997</v>
      </c>
      <c r="AB21" s="18">
        <v>2427026.0503500002</v>
      </c>
    </row>
    <row r="22" spans="1:28" x14ac:dyDescent="0.25">
      <c r="A22" s="17">
        <v>21</v>
      </c>
      <c r="B22" s="17">
        <v>519122</v>
      </c>
      <c r="C22" s="17" t="s">
        <v>186</v>
      </c>
      <c r="D22" s="17" t="s">
        <v>167</v>
      </c>
      <c r="E22" s="17" t="s">
        <v>230</v>
      </c>
      <c r="F22" s="17" t="s">
        <v>234</v>
      </c>
      <c r="G22" s="17" t="s">
        <v>114</v>
      </c>
      <c r="H22" s="17" t="s">
        <v>82</v>
      </c>
      <c r="I22" s="17">
        <v>20172</v>
      </c>
      <c r="J22" s="17" t="s">
        <v>54</v>
      </c>
      <c r="K22" s="17" t="s">
        <v>55</v>
      </c>
      <c r="L22" s="17" t="s">
        <v>20</v>
      </c>
      <c r="M22" s="17" t="s">
        <v>146</v>
      </c>
      <c r="N22" s="17" t="s">
        <v>20</v>
      </c>
      <c r="O22" s="17" t="s">
        <v>148</v>
      </c>
      <c r="P22" s="17" t="s">
        <v>20</v>
      </c>
      <c r="Q22" s="17" t="s">
        <v>147</v>
      </c>
      <c r="R22" s="17" t="s">
        <v>20</v>
      </c>
      <c r="S22" s="17" t="s">
        <v>146</v>
      </c>
      <c r="T22" s="17">
        <v>0</v>
      </c>
      <c r="U22" s="18">
        <v>0</v>
      </c>
      <c r="X22" s="17" t="s">
        <v>66</v>
      </c>
      <c r="Y22" s="17" t="s">
        <v>124</v>
      </c>
      <c r="Z22" s="17" t="s">
        <v>142</v>
      </c>
      <c r="AA22" s="18">
        <v>784128.59216100001</v>
      </c>
      <c r="AB22" s="18">
        <v>2426028.9624200002</v>
      </c>
    </row>
    <row r="23" spans="1:28" x14ac:dyDescent="0.25">
      <c r="A23" s="17">
        <v>22</v>
      </c>
      <c r="B23" s="17">
        <v>519122</v>
      </c>
      <c r="C23" s="17" t="s">
        <v>186</v>
      </c>
      <c r="D23" s="17" t="s">
        <v>167</v>
      </c>
      <c r="E23" s="17" t="s">
        <v>231</v>
      </c>
      <c r="F23" s="17" t="s">
        <v>234</v>
      </c>
      <c r="G23" s="17" t="s">
        <v>185</v>
      </c>
      <c r="H23" s="17" t="s">
        <v>82</v>
      </c>
      <c r="I23" s="17">
        <v>20126</v>
      </c>
      <c r="J23" s="17" t="s">
        <v>54</v>
      </c>
      <c r="K23" s="17" t="s">
        <v>55</v>
      </c>
      <c r="L23" s="17" t="s">
        <v>20</v>
      </c>
      <c r="M23" s="17" t="s">
        <v>143</v>
      </c>
      <c r="N23" s="17" t="s">
        <v>56</v>
      </c>
      <c r="O23" s="17" t="s">
        <v>145</v>
      </c>
      <c r="P23" s="17" t="s">
        <v>20</v>
      </c>
      <c r="Q23" s="17" t="s">
        <v>149</v>
      </c>
      <c r="R23" s="17" t="s">
        <v>20</v>
      </c>
      <c r="S23" s="17" t="s">
        <v>144</v>
      </c>
      <c r="T23" s="17">
        <v>0</v>
      </c>
      <c r="U23" s="18">
        <v>4492513382</v>
      </c>
      <c r="X23" s="17" t="s">
        <v>64</v>
      </c>
      <c r="Y23" s="17" t="s">
        <v>124</v>
      </c>
      <c r="Z23" s="17" t="s">
        <v>142</v>
      </c>
      <c r="AA23" s="18">
        <v>782982.58305100002</v>
      </c>
      <c r="AB23" s="18">
        <v>2427714.6283900002</v>
      </c>
    </row>
    <row r="24" spans="1:28" x14ac:dyDescent="0.25">
      <c r="A24" s="17">
        <v>23</v>
      </c>
      <c r="B24" s="17">
        <v>519122</v>
      </c>
      <c r="C24" s="17" t="s">
        <v>186</v>
      </c>
      <c r="D24" s="17" t="s">
        <v>167</v>
      </c>
      <c r="E24" s="17" t="s">
        <v>232</v>
      </c>
      <c r="F24" s="17" t="s">
        <v>234</v>
      </c>
      <c r="H24" s="17" t="s">
        <v>82</v>
      </c>
      <c r="I24" s="17">
        <v>20115</v>
      </c>
      <c r="J24" s="17" t="s">
        <v>54</v>
      </c>
      <c r="K24" s="17" t="s">
        <v>55</v>
      </c>
      <c r="L24" s="17" t="s">
        <v>20</v>
      </c>
      <c r="M24" s="17" t="s">
        <v>153</v>
      </c>
      <c r="N24" s="17" t="s">
        <v>20</v>
      </c>
      <c r="O24" s="17" t="s">
        <v>151</v>
      </c>
      <c r="P24" s="17" t="s">
        <v>20</v>
      </c>
      <c r="Q24" s="17" t="s">
        <v>152</v>
      </c>
      <c r="R24" s="17" t="s">
        <v>56</v>
      </c>
      <c r="S24" s="17" t="s">
        <v>83</v>
      </c>
      <c r="T24" s="17">
        <v>104</v>
      </c>
      <c r="U24" s="18">
        <v>0</v>
      </c>
      <c r="V24" s="17" t="s">
        <v>233</v>
      </c>
      <c r="X24" s="17" t="s">
        <v>60</v>
      </c>
      <c r="Y24" s="17" t="s">
        <v>99</v>
      </c>
      <c r="Z24" s="17" t="s">
        <v>150</v>
      </c>
      <c r="AA24" s="18">
        <v>778932.46464499994</v>
      </c>
      <c r="AB24" s="18">
        <v>2427201.40765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24EU_BIBLIOTECA</vt:lpstr>
      <vt:lpstr>BASE DE DATOS_BIBLIOTECA</vt:lpstr>
      <vt:lpstr>'24EU_BIBLIOTECA'!Área_de_impresión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2024-08-12T17:26:16Z</dcterms:modified>
</cp:coreProperties>
</file>