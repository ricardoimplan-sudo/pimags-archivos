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EDUCACION ESPECIAL\"/>
    </mc:Choice>
  </mc:AlternateContent>
  <bookViews>
    <workbookView xWindow="0" yWindow="0" windowWidth="28800" windowHeight="11535"/>
  </bookViews>
  <sheets>
    <sheet name="24EU_EDU_ESPECIAL" sheetId="1" r:id="rId1"/>
    <sheet name="BASE DE DATOS_EDU_ESPECIAL" sheetId="2" r:id="rId2"/>
  </sheets>
  <definedNames>
    <definedName name="_xlnm.Print_Area" localSheetId="0">'24EU_EDU_ESPECIAL'!$A$1:$C$35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<sst xmlns="http://schemas.openxmlformats.org/spreadsheetml/2006/main" count="523" uniqueCount="208">
  <si>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</si>
  <si>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</si>
  <si>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</si>
  <si>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</si>
  <si>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</si>
  <si>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</si>
  <si>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</si>
  <si>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</si>
  <si>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</si>
  <si>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</si>
  <si>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</si>
  <si>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</si>
  <si>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</si>
  <si>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</si>
  <si>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</si>
  <si>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</si>
  <si>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</si>
  <si>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</si>
  <si>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</si>
  <si>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</si>
  <si>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</si>
  <si>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</si>
  <si>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</si>
  <si>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</si>
  <si>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</si>
  <si>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</si>
  <si>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</si>
  <si>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</si>
  <si>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</si>
  <si>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</si>
  <si>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</si>
  <si>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</si>
  <si>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</si>
  <si>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</si>
  <si>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</si>
  <si>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</si>
  <si>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</si>
  <si>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</si>
  <si>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</si>
  <si>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</si>
  <si>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</si>
  <si>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</si>
  <si>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</si>
  <si>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</si>
  <si>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</si>
  <si>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</si>
  <si>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</si>
  <si>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</si>
  <si>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</si>
  <si>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</si>
  <si>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</si>
  <si>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</si>
  <si>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</si>
  <si>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</si>
  <si>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</si>
  <si>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</si>
  <si>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</si>
  <si>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</si>
  <si>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</si>
  <si>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</si>
  <si>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</si>
  <si>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</si>
  <si>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2010-07</t>
  </si>
  <si>
    <t>COLONIA</t>
  </si>
  <si>
    <t>11 a 30 personas</t>
  </si>
  <si>
    <t>31 a 50 personas</t>
  </si>
  <si>
    <t>FRACCIONAMIENTO</t>
  </si>
  <si>
    <t>20 DE NOVIEMBRE</t>
  </si>
  <si>
    <t>PLAN DE AYALA</t>
  </si>
  <si>
    <t>PROLONGACION</t>
  </si>
  <si>
    <t>CENTRO PONIENTE</t>
  </si>
  <si>
    <t>(ZUFO)- SAN FRANCISCO</t>
  </si>
  <si>
    <t>CONVENCION</t>
  </si>
  <si>
    <t>DOCTOR MARIANO AZUELA</t>
  </si>
  <si>
    <t>BELISARIO DOMINGUEZ</t>
  </si>
  <si>
    <t>AGUASCALIENTES SUR</t>
  </si>
  <si>
    <t>GENERAL MATEO ALMANZA</t>
  </si>
  <si>
    <t>POCITOS</t>
  </si>
  <si>
    <t>MORELOS</t>
  </si>
  <si>
    <t>JOSEFA ORTIZ DE DOMINGUEZ</t>
  </si>
  <si>
    <t>SAN MARCOS</t>
  </si>
  <si>
    <t>HEROE DE NACOZARI NORTE</t>
  </si>
  <si>
    <t>CENTRO ORIENTE</t>
  </si>
  <si>
    <t>(ZUFO)-ARELLANO</t>
  </si>
  <si>
    <t>LICENCIADO ADOLFO LOPEZ MATEOS PONIENTE</t>
  </si>
  <si>
    <t>RIO BRAVO</t>
  </si>
  <si>
    <t>MAR CASPIO</t>
  </si>
  <si>
    <t>RIO COLORADO</t>
  </si>
  <si>
    <t>RIO RHIN</t>
  </si>
  <si>
    <t>RIO TIBER</t>
  </si>
  <si>
    <t>INSTITUTO DE EDUCACION DE AGUASCALIENTES</t>
  </si>
  <si>
    <t>FRAY ANTONIO DE SEGOVIA</t>
  </si>
  <si>
    <t>(ZUFO)-AYUNTAMIENTO</t>
  </si>
  <si>
    <t>CRISTOBAL COLON</t>
  </si>
  <si>
    <t>JARDIN DE ZARAGOZA</t>
  </si>
  <si>
    <t>JARDEN DEL ENCINO</t>
  </si>
  <si>
    <t>ESPAEA</t>
  </si>
  <si>
    <t>REPUBLICA DE CHILE</t>
  </si>
  <si>
    <t>REPUBLICA DE BRASIL</t>
  </si>
  <si>
    <t>ARAGON</t>
  </si>
  <si>
    <t>BURGOS</t>
  </si>
  <si>
    <t>REPUBLICA DE ECUADOR</t>
  </si>
  <si>
    <t>(ZUFO)-CENTRO</t>
  </si>
  <si>
    <t>ALAMEDA</t>
  </si>
  <si>
    <t>DAMASCO</t>
  </si>
  <si>
    <t>VIRREY DE MENDOZA</t>
  </si>
  <si>
    <t>CALLE DEL SOL</t>
  </si>
  <si>
    <t>BOGOT</t>
  </si>
  <si>
    <t>SANTA ANITA</t>
  </si>
  <si>
    <t>SAN PEDRO</t>
  </si>
  <si>
    <t>OJOCALIENTE</t>
  </si>
  <si>
    <t>EL MOCHO</t>
  </si>
  <si>
    <t>LA BARRANCA</t>
  </si>
  <si>
    <t>EDUCACION</t>
  </si>
  <si>
    <t>(ZUFO)-DON PASCUAL PONIENTE</t>
  </si>
  <si>
    <t>ESFUERZO NACIONAL</t>
  </si>
  <si>
    <t>AGUASCALIENTES ORIENTE</t>
  </si>
  <si>
    <t>GOBERNANTES</t>
  </si>
  <si>
    <t>(ZUFO)-EL CEDAZO</t>
  </si>
  <si>
    <t>CERRO DEL AJUSCO</t>
  </si>
  <si>
    <t>LIBRA</t>
  </si>
  <si>
    <t>PASEO OJOCALIENTE</t>
  </si>
  <si>
    <t>AGUASCALIENTES</t>
  </si>
  <si>
    <t>(ZUFO)-OJOCALIENTE</t>
  </si>
  <si>
    <t>CHURUBUSCO</t>
  </si>
  <si>
    <t>(ZUFO)-SAN PEDRO SUR</t>
  </si>
  <si>
    <t>HEROES DE CHAPULTEPEC</t>
  </si>
  <si>
    <t>(ZUFO)-UNIVERSIDAD</t>
  </si>
  <si>
    <t>MONTES HIMALAYA</t>
  </si>
  <si>
    <t>CERRO DE LA SILLA</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</si>
  <si>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</si>
  <si>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</si>
  <si>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</si>
  <si>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</si>
  <si>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</si>
  <si>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</si>
  <si>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</si>
  <si>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</si>
  <si>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</si>
  <si>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</si>
  <si>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</si>
  <si>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</si>
  <si>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CORDILLERA DE LOS ALPES ORIENTE</t>
  </si>
  <si>
    <t>BERLEN</t>
  </si>
  <si>
    <t>VIDRIEROS</t>
  </si>
  <si>
    <t>CERRO DE LA JOYA</t>
  </si>
  <si>
    <t>PASEO DE YAHUALICA</t>
  </si>
  <si>
    <t>PUBLICO</t>
  </si>
  <si>
    <t>BELISARIO DOMONGUEZ</t>
  </si>
  <si>
    <t>USEAR 36</t>
  </si>
  <si>
    <t>01FUA0036U@IEA.EDU.MX</t>
  </si>
  <si>
    <t>USAER NO26</t>
  </si>
  <si>
    <t>FUA0026@IEA.EDU.MX</t>
  </si>
  <si>
    <t>USAER 12</t>
  </si>
  <si>
    <t>01FUA0012K@IEA.EDU.MX</t>
  </si>
  <si>
    <t>CENTRO DE ATENCION MULTIPLE 1</t>
  </si>
  <si>
    <t>SECRETARIA DE EDUCACION PLBLICA</t>
  </si>
  <si>
    <t>CONVENCIMN</t>
  </si>
  <si>
    <t>01DML0005Z@IEA.EDU.MX</t>
  </si>
  <si>
    <t>USAER 4</t>
  </si>
  <si>
    <t>01FUA0004B@IEA.EDU.MX</t>
  </si>
  <si>
    <t>INSTITUTO DE EDUCACION DEL ESTADO DE AGUASCALIENTES</t>
  </si>
  <si>
    <t>ESCUELA PREESCOLAR CAPEP II</t>
  </si>
  <si>
    <t>CENTRO DE ATENCION MULTIPLE V INTITUTO DE EDUCACION DE AGUASCALIENTES</t>
  </si>
  <si>
    <t>CENTRO DE ATENCION MULTIPLE V INSTITUTO DE EDUCACION DE AGUASCALIENTES</t>
  </si>
  <si>
    <t>CAM.V_JARDINES@HOTMAIL.COM</t>
  </si>
  <si>
    <t>CENTRO DE ATENCION MULTIPLE VI INSTITUTO DE EDUCACION DE AGUASCALIENTRES TURNON VESPERTINO</t>
  </si>
  <si>
    <t>CENTRO DE ATENCION MULTIPLE VI IEA</t>
  </si>
  <si>
    <t>UNIDAD DE SERVICIOS DE APOYO A ESCUELAS REGULARES NO 1</t>
  </si>
  <si>
    <t>INSTITUTO NCIONAL DE AGUASCALIENTES</t>
  </si>
  <si>
    <t>DAPDI</t>
  </si>
  <si>
    <t>DAPDI AC</t>
  </si>
  <si>
    <t>ROCIO9174612@PRODIGY.NET.MX</t>
  </si>
  <si>
    <t>CENTRO DE ATENCION MULTIPLE NOXII MA GPE BORJA DE DIAZ ORDAZ</t>
  </si>
  <si>
    <t>CAM_GUADALUPEBORJA@HOTMAIL.COM</t>
  </si>
  <si>
    <t>CENTRO DE ORIENTACION TEMPRANA INTEGRAL INFANTIL</t>
  </si>
  <si>
    <t>COTII AC</t>
  </si>
  <si>
    <t>COTII_AGS@HOTMAIL.COM</t>
  </si>
  <si>
    <t>WWW.COTII.COM</t>
  </si>
  <si>
    <t>COMUNIDAD AGAZZI</t>
  </si>
  <si>
    <t>COMUNIDAD AGAZZI AC</t>
  </si>
  <si>
    <t>DOCTOR JESCS DUAZ DE LEvN</t>
  </si>
  <si>
    <t>CENTRO DE ATENCION MULTIPLE 10</t>
  </si>
  <si>
    <t>01DML0014H@IEA.EDU.MX</t>
  </si>
  <si>
    <t>CENTRO DE ATENCION MULTIPLE 4</t>
  </si>
  <si>
    <t>CENTRO EDUCATIVO INTEGRAL PARA ALTAS CAPACIDADES</t>
  </si>
  <si>
    <t>IPACAAGS@GMAIL.COM</t>
  </si>
  <si>
    <t>CENTRO DE ATENCION MULTIPLE LABORAL 1</t>
  </si>
  <si>
    <t>01DML0019C@IEA.EDU.MX</t>
  </si>
  <si>
    <t>UNIDADES DE EDUCACION ESPECIAL</t>
  </si>
  <si>
    <t>USAER 60</t>
  </si>
  <si>
    <t>D MUPACIPIO DEL AGUASCALIENTES</t>
  </si>
  <si>
    <t>01FLS00090@USAER.COM</t>
  </si>
  <si>
    <t>USAER 55</t>
  </si>
  <si>
    <t>GARCAMARIAMERCEDES@GMAIL.COM</t>
  </si>
  <si>
    <t>USAER 69</t>
  </si>
  <si>
    <t>01FLS0007Q@ED.MX</t>
  </si>
  <si>
    <t>USAP 13</t>
  </si>
  <si>
    <t>CAPEP1AGS@YAHOO.COM.MX</t>
  </si>
  <si>
    <t>VEIE ESCUELA DE INTEGRACION EMOCIONAL</t>
  </si>
  <si>
    <t>D MUCOCIPIO DEL AGUASCALIENTES</t>
  </si>
  <si>
    <t>AGUASCALIENTES@VEIE.MX</t>
  </si>
  <si>
    <t>Escuelas del sector privado de educacion para necesidades especiales</t>
  </si>
  <si>
    <t>Escuelas del sector publico de educacion para necesidades especiales</t>
  </si>
  <si>
    <t>LA CLASIFICACIÓN DE ELEMENTOS ESTÁ BASADA EN EL SISTEMA NORMATIVO DE EQUIPAMIENTO URBANO DE LA SEDESOL FEDERAL, SUBSISTEMA EDUCACIÓN. LA INTEGRACIÓN FUE REALIZADA POR EL IMPLAN CON INFORMACIÓN DEL DIRECTORIO ESTADISTICO NACIONAL DE UNIDADES ECONOMICAS (INEGI)</t>
  </si>
  <si>
    <t>UBICACIÓN DE SITIOS DE EDUCACIÓN ESPECIAL</t>
  </si>
  <si>
    <t>EU_ EDUCACIÓN ESPECIAL</t>
  </si>
  <si>
    <t>CVE (1-23)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</si>
</sst>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4" formatCode="0.00000000000"/>
    </dxf>
    <dxf>
      <numFmt numFmtId="164" formatCode="0.00000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89647</xdr:colOff>
      <xdr:row>0</xdr:row>
      <xdr:rowOff>123265</xdr:rowOff>
    </xdr:from>
    <xdr:to>
      <xdr:col>2</xdr:col>
      <xdr:colOff>5071447</xdr:colOff>
      <xdr:row>1</xdr:row>
      <xdr:rowOff>526678</xdr:rowOff>
    </xdr:to>
    <xdr:grpSp>
      <xdr:nvGrpSpPr>
        <xdr:cNvPr id="3" name="Grupo 2"/>
        <xdr:cNvGrpSpPr/>
      </xdr:nvGrpSpPr>
      <xdr:grpSpPr>
        <a:xfrm>
          <a:off x="235323" y="123265"/>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4" totalsRowShown="0" headerRowDxfId="28">
  <autoFilter ref="A1:AB24"/>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F8" sqref="F8"/>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205</v>
      </c>
      <c r="C3" s="34"/>
    </row>
    <row r="4" spans="2:4">
      <c r="B4" s="8"/>
      <c r="C4" s="8"/>
    </row>
    <row r="5" spans="2:4" ht="15.75">
      <c r="B5" s="35" t="s">
        <v>0</v>
      </c>
      <c r="C5" s="35"/>
      <c r="D5" s="9"/>
    </row>
    <row r="6" spans="2:4">
      <c r="B6" s="10" t="s">
        <v>2</v>
      </c>
      <c r="C6" s="11" t="s">
        <v>206</v>
      </c>
    </row>
    <row r="7" spans="2:4" ht="24.75" customHeight="1">
      <c r="B7" s="10" t="s">
        <v>3</v>
      </c>
      <c r="C7" s="12" t="s">
        <v>1</v>
      </c>
    </row>
    <row r="8" spans="2:4">
      <c r="B8" s="10" t="s">
        <v>4</v>
      </c>
      <c r="C8" s="11" t="s">
        <v>5</v>
      </c>
    </row>
    <row r="9" spans="2:4">
      <c r="B9" s="10" t="s">
        <v>6</v>
      </c>
      <c r="C9" s="11" t="s">
        <v>7</v>
      </c>
    </row>
    <row r="10" spans="2:4">
      <c r="B10" s="10" t="s">
        <v>8</v>
      </c>
      <c r="C10" s="11" t="s">
        <v>132</v>
      </c>
    </row>
    <row r="11" spans="2:4">
      <c r="B11" s="10" t="s">
        <v>9</v>
      </c>
      <c r="C11" s="11" t="s">
        <v>131</v>
      </c>
    </row>
    <row r="12" spans="2:4">
      <c r="B12" s="10" t="s">
        <v>10</v>
      </c>
      <c r="C12" s="11" t="s">
        <v>11</v>
      </c>
    </row>
    <row r="13" spans="2:4" ht="39">
      <c r="B13" s="13" t="s">
        <v>12</v>
      </c>
      <c r="C13" s="12" t="s">
        <v>204</v>
      </c>
    </row>
    <row r="14" spans="2:4">
      <c r="B14" s="8"/>
      <c r="C14" s="8"/>
    </row>
    <row r="15" spans="2:4" ht="16.5" thickBot="1">
      <c r="B15" s="35" t="s">
        <v>13</v>
      </c>
      <c r="C15" s="35"/>
    </row>
    <row r="16" spans="2:4" ht="18">
      <c r="B16" s="14" t="s">
        <v>14</v>
      </c>
      <c r="C16" s="15" t="s">
        <v>15</v>
      </c>
    </row>
    <row r="17" spans="2:12">
      <c r="B17" s="1" t="s">
        <v>16</v>
      </c>
      <c r="C17" s="2" t="s">
        <v>122</v>
      </c>
    </row>
    <row r="18" spans="2:12">
      <c r="B18" s="1" t="s">
        <v>17</v>
      </c>
      <c r="C18" s="3" t="s">
        <v>122</v>
      </c>
      <c r="G18"/>
      <c r="H18"/>
      <c r="I18"/>
      <c r="J18"/>
      <c r="K18"/>
    </row>
    <row r="19" spans="2:12">
      <c r="B19" s="1" t="s">
        <v>18</v>
      </c>
      <c r="C19" s="3" t="str">
        <f>VLOOKUP($C$21,ABASTO[#All],25,FALSE)</f>
        <v>POCITOS</v>
      </c>
      <c r="G19" s="23"/>
      <c r="H19" s="23"/>
      <c r="I19" s="24"/>
      <c r="J19" s="24"/>
      <c r="K19" s="25"/>
      <c r="L19" s="16"/>
    </row>
    <row r="20" spans="2:12">
      <c r="B20" s="1" t="s">
        <v>133</v>
      </c>
      <c r="C20" s="3" t="str">
        <f>VLOOKUP($C$21,ABASTO[#All],26,FALSE)</f>
        <v>(ZUFO)-UNIVERSIDAD</v>
      </c>
      <c r="G20" s="25"/>
      <c r="H20" s="16"/>
      <c r="I20" s="25"/>
      <c r="J20" s="25"/>
      <c r="K20" s="25"/>
      <c r="L20" s="16"/>
    </row>
    <row r="21" spans="2:12" ht="19.5">
      <c r="B21" s="26" t="s">
        <v>207</v>
      </c>
      <c r="C21" s="27">
        <v>23</v>
      </c>
      <c r="G21" s="25"/>
      <c r="H21" s="25"/>
      <c r="I21" s="25"/>
      <c r="J21" s="25"/>
      <c r="K21" s="25"/>
      <c r="L21" s="16"/>
    </row>
    <row r="22" spans="2:12">
      <c r="B22" s="1" t="s">
        <v>134</v>
      </c>
      <c r="C22" s="21" t="str">
        <f>VLOOKUP($C$21,ABASTO[#All],5,FALSE)</f>
        <v>VEIE ESCUELA DE INTEGRACION EMOCIONAL</v>
      </c>
      <c r="G22"/>
      <c r="H22"/>
      <c r="I22"/>
      <c r="J22"/>
      <c r="K22"/>
    </row>
    <row r="23" spans="2:12">
      <c r="B23" s="4" t="s">
        <v>135</v>
      </c>
      <c r="C23" s="21" t="str">
        <f>VLOOKUP($C$21,ABASTO[#All],6,FALSE)</f>
        <v>Escuelas del sector privado de educacion para necesidades especiales</v>
      </c>
    </row>
    <row r="24" spans="2:12">
      <c r="B24" s="1" t="s">
        <v>19</v>
      </c>
      <c r="C24" s="21">
        <f>VLOOKUP($C$21,ABASTO[#All],2,FALSE)</f>
        <v>611181</v>
      </c>
    </row>
    <row r="25" spans="2:12">
      <c r="B25" s="5" t="s">
        <v>136</v>
      </c>
      <c r="C25" s="21" t="str">
        <f>VLOOKUP($C$21,ABASTO[#All],4,FALSE)</f>
        <v>PRIVADO</v>
      </c>
    </row>
    <row r="26" spans="2:12">
      <c r="B26" s="1" t="s">
        <v>137</v>
      </c>
      <c r="C26" s="21" t="str">
        <f>VLOOKUP($C$21,ABASTO[#All],11,FALSE)</f>
        <v>0 a 5 personas</v>
      </c>
    </row>
    <row r="27" spans="2:12">
      <c r="B27" s="4" t="s">
        <v>138</v>
      </c>
      <c r="C27" s="21" t="str">
        <f>VLOOKUP($C$21,ABASTO[#All],8,FALSE)</f>
        <v>FRACCIONAMIENTO</v>
      </c>
    </row>
    <row r="28" spans="2:12">
      <c r="B28" s="1" t="s">
        <v>140</v>
      </c>
      <c r="C28" s="21" t="str">
        <f>VLOOKUP($C$21,ABASTO[#All],13,FALSE)</f>
        <v>MONTES HIMALAYA</v>
      </c>
    </row>
    <row r="29" spans="2:12">
      <c r="B29" s="1" t="s">
        <v>139</v>
      </c>
      <c r="C29" s="21" t="str">
        <f>VLOOKUP($C$21,ABASTO[#All],12,FALSE)</f>
        <v>CALLE</v>
      </c>
    </row>
    <row r="30" spans="2:12">
      <c r="B30" s="4" t="s">
        <v>141</v>
      </c>
      <c r="C30" s="21" t="str">
        <f>VLOOKUP($C$21,ABASTO[#All],22,FALSE)</f>
        <v>AGUASCALIENTES@VEIE.MX</v>
      </c>
    </row>
    <row r="31" spans="2:12">
      <c r="B31" s="1" t="s">
        <v>21</v>
      </c>
      <c r="C31" s="21">
        <f>VLOOKUP($C$21,ABASTO[#All],20,FALSE)</f>
        <v>829</v>
      </c>
    </row>
    <row r="32" spans="2:12">
      <c r="B32" s="4" t="s">
        <v>24</v>
      </c>
      <c r="C32" s="21">
        <f>VLOOKUP($C$21,ABASTO[#All],21,FALSE)</f>
        <v>0</v>
      </c>
    </row>
    <row r="33" spans="1:3">
      <c r="B33" s="1" t="s">
        <v>22</v>
      </c>
      <c r="C33" s="21">
        <f>VLOOKUP($C$21,ABASTO[#All],27,FALSE)</f>
        <v>779030.65908000001</v>
      </c>
    </row>
    <row r="34" spans="1:3" ht="15.75" thickBot="1">
      <c r="B34" s="6" t="s">
        <v>23</v>
      </c>
      <c r="C34" s="21">
        <f>VLOOKUP($C$21,ABASTO[#All],28,FALSE)</f>
        <v>2426762.4755199999</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DATOS_EDU_ESPECIAL'!$A$2:$A$24</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4"/>
  <sheetViews>
    <sheetView zoomScale="85" zoomScaleNormal="85" workbookViewId="0">
      <selection activeCell="F31" sqref="F31"/>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130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611182</v>
      </c>
      <c r="C2" s="17" t="s">
        <v>113</v>
      </c>
      <c r="D2" s="17" t="s">
        <v>147</v>
      </c>
      <c r="E2" s="17" t="s">
        <v>149</v>
      </c>
      <c r="F2" s="17" t="s">
        <v>203</v>
      </c>
      <c r="G2" s="17" t="s">
        <v>90</v>
      </c>
      <c r="H2" s="17" t="s">
        <v>63</v>
      </c>
      <c r="I2" s="17">
        <v>20287</v>
      </c>
      <c r="J2" s="17" t="s">
        <v>54</v>
      </c>
      <c r="K2" s="17" t="s">
        <v>60</v>
      </c>
      <c r="L2" s="17" t="s">
        <v>20</v>
      </c>
      <c r="M2" s="17" t="s">
        <v>76</v>
      </c>
      <c r="N2" s="17" t="s">
        <v>56</v>
      </c>
      <c r="O2" s="17" t="s">
        <v>73</v>
      </c>
      <c r="P2" s="17" t="s">
        <v>56</v>
      </c>
      <c r="Q2" s="17" t="s">
        <v>72</v>
      </c>
      <c r="R2" s="17" t="s">
        <v>20</v>
      </c>
      <c r="S2" s="17" t="s">
        <v>148</v>
      </c>
      <c r="T2" s="17">
        <v>0</v>
      </c>
      <c r="U2" s="18">
        <v>0</v>
      </c>
      <c r="V2" s="17" t="s">
        <v>150</v>
      </c>
      <c r="X2" s="17" t="s">
        <v>59</v>
      </c>
      <c r="Y2" s="17" t="s">
        <v>70</v>
      </c>
      <c r="Z2" s="17" t="s">
        <v>71</v>
      </c>
      <c r="AA2" s="31">
        <v>778131.14267299999</v>
      </c>
      <c r="AB2" s="31">
        <v>2418898.8414699999</v>
      </c>
    </row>
    <row r="3" spans="1:28">
      <c r="A3" s="30">
        <v>2</v>
      </c>
      <c r="B3" s="17">
        <v>611182</v>
      </c>
      <c r="C3" s="17" t="s">
        <v>113</v>
      </c>
      <c r="D3" s="17" t="s">
        <v>147</v>
      </c>
      <c r="E3" s="17" t="s">
        <v>151</v>
      </c>
      <c r="F3" s="17" t="s">
        <v>203</v>
      </c>
      <c r="G3" s="17" t="s">
        <v>90</v>
      </c>
      <c r="H3" s="17" t="s">
        <v>63</v>
      </c>
      <c r="I3" s="17">
        <v>20287</v>
      </c>
      <c r="J3" s="17" t="s">
        <v>54</v>
      </c>
      <c r="K3" s="17" t="s">
        <v>60</v>
      </c>
      <c r="L3" s="17" t="s">
        <v>20</v>
      </c>
      <c r="M3" s="17" t="s">
        <v>76</v>
      </c>
      <c r="N3" s="17" t="s">
        <v>56</v>
      </c>
      <c r="O3" s="17" t="s">
        <v>73</v>
      </c>
      <c r="P3" s="17" t="s">
        <v>56</v>
      </c>
      <c r="Q3" s="17" t="s">
        <v>72</v>
      </c>
      <c r="R3" s="17" t="s">
        <v>20</v>
      </c>
      <c r="S3" s="17" t="s">
        <v>148</v>
      </c>
      <c r="T3" s="17">
        <v>0</v>
      </c>
      <c r="U3" s="18">
        <v>4499785864</v>
      </c>
      <c r="V3" s="17" t="s">
        <v>152</v>
      </c>
      <c r="X3" s="17" t="s">
        <v>62</v>
      </c>
      <c r="Y3" s="17" t="s">
        <v>70</v>
      </c>
      <c r="Z3" s="17" t="s">
        <v>71</v>
      </c>
      <c r="AA3" s="31">
        <v>778131.35651700001</v>
      </c>
      <c r="AB3" s="31">
        <v>2418899.3305500001</v>
      </c>
    </row>
    <row r="4" spans="1:28">
      <c r="A4" s="30">
        <v>3</v>
      </c>
      <c r="B4" s="17">
        <v>611182</v>
      </c>
      <c r="C4" s="17" t="s">
        <v>113</v>
      </c>
      <c r="D4" s="17" t="s">
        <v>147</v>
      </c>
      <c r="E4" s="17" t="s">
        <v>153</v>
      </c>
      <c r="F4" s="17" t="s">
        <v>203</v>
      </c>
      <c r="G4" s="17" t="s">
        <v>90</v>
      </c>
      <c r="H4" s="17" t="s">
        <v>63</v>
      </c>
      <c r="I4" s="17">
        <v>20287</v>
      </c>
      <c r="J4" s="17" t="s">
        <v>54</v>
      </c>
      <c r="K4" s="17" t="s">
        <v>60</v>
      </c>
      <c r="L4" s="17" t="s">
        <v>20</v>
      </c>
      <c r="M4" s="17" t="s">
        <v>76</v>
      </c>
      <c r="N4" s="17" t="s">
        <v>56</v>
      </c>
      <c r="O4" s="17" t="s">
        <v>73</v>
      </c>
      <c r="P4" s="17" t="s">
        <v>56</v>
      </c>
      <c r="Q4" s="17" t="s">
        <v>72</v>
      </c>
      <c r="R4" s="17" t="s">
        <v>20</v>
      </c>
      <c r="S4" s="17" t="s">
        <v>148</v>
      </c>
      <c r="T4" s="17">
        <v>0</v>
      </c>
      <c r="U4" s="18">
        <v>0</v>
      </c>
      <c r="V4" s="17" t="s">
        <v>154</v>
      </c>
      <c r="X4" s="17" t="s">
        <v>61</v>
      </c>
      <c r="Y4" s="17" t="s">
        <v>70</v>
      </c>
      <c r="Z4" s="17" t="s">
        <v>71</v>
      </c>
      <c r="AA4" s="31">
        <v>778131.71152600006</v>
      </c>
      <c r="AB4" s="31">
        <v>2418900.1467499998</v>
      </c>
    </row>
    <row r="5" spans="1:28">
      <c r="A5" s="30">
        <v>4</v>
      </c>
      <c r="B5" s="17">
        <v>611182</v>
      </c>
      <c r="C5" s="17" t="s">
        <v>113</v>
      </c>
      <c r="D5" s="17" t="s">
        <v>147</v>
      </c>
      <c r="E5" s="17" t="s">
        <v>155</v>
      </c>
      <c r="F5" s="17" t="s">
        <v>203</v>
      </c>
      <c r="G5" s="17" t="s">
        <v>156</v>
      </c>
      <c r="H5" s="17" t="s">
        <v>63</v>
      </c>
      <c r="I5" s="17">
        <v>20287</v>
      </c>
      <c r="J5" s="17" t="s">
        <v>54</v>
      </c>
      <c r="K5" s="17" t="s">
        <v>64</v>
      </c>
      <c r="L5" s="17" t="s">
        <v>56</v>
      </c>
      <c r="M5" s="17" t="s">
        <v>73</v>
      </c>
      <c r="N5" s="17" t="s">
        <v>20</v>
      </c>
      <c r="O5" s="17" t="s">
        <v>74</v>
      </c>
      <c r="P5" s="17" t="s">
        <v>20</v>
      </c>
      <c r="Q5" s="17" t="s">
        <v>76</v>
      </c>
      <c r="R5" s="17" t="s">
        <v>56</v>
      </c>
      <c r="S5" s="17" t="s">
        <v>157</v>
      </c>
      <c r="T5" s="17">
        <v>0</v>
      </c>
      <c r="U5" s="18">
        <v>4499781958</v>
      </c>
      <c r="V5" s="17" t="s">
        <v>158</v>
      </c>
      <c r="X5" s="17" t="s">
        <v>62</v>
      </c>
      <c r="Y5" s="17" t="s">
        <v>70</v>
      </c>
      <c r="Z5" s="17" t="s">
        <v>71</v>
      </c>
      <c r="AA5" s="31">
        <v>778232.77490800002</v>
      </c>
      <c r="AB5" s="31">
        <v>2418956.8643100001</v>
      </c>
    </row>
    <row r="6" spans="1:28">
      <c r="A6" s="30">
        <v>5</v>
      </c>
      <c r="B6" s="17">
        <v>611182</v>
      </c>
      <c r="C6" s="17" t="s">
        <v>113</v>
      </c>
      <c r="D6" s="17" t="s">
        <v>147</v>
      </c>
      <c r="E6" s="17" t="s">
        <v>159</v>
      </c>
      <c r="F6" s="17" t="s">
        <v>203</v>
      </c>
      <c r="G6" s="17" t="s">
        <v>90</v>
      </c>
      <c r="H6" s="17" t="s">
        <v>63</v>
      </c>
      <c r="I6" s="17">
        <v>20287</v>
      </c>
      <c r="J6" s="17" t="s">
        <v>54</v>
      </c>
      <c r="K6" s="17" t="s">
        <v>64</v>
      </c>
      <c r="L6" s="17" t="s">
        <v>20</v>
      </c>
      <c r="M6" s="17" t="s">
        <v>76</v>
      </c>
      <c r="N6" s="17" t="s">
        <v>56</v>
      </c>
      <c r="O6" s="17" t="s">
        <v>73</v>
      </c>
      <c r="P6" s="17" t="s">
        <v>56</v>
      </c>
      <c r="Q6" s="17" t="s">
        <v>72</v>
      </c>
      <c r="R6" s="17" t="s">
        <v>20</v>
      </c>
      <c r="S6" s="17" t="s">
        <v>148</v>
      </c>
      <c r="T6" s="17">
        <v>0</v>
      </c>
      <c r="U6" s="18">
        <v>4499781958</v>
      </c>
      <c r="V6" s="17" t="s">
        <v>160</v>
      </c>
      <c r="X6" s="17" t="s">
        <v>61</v>
      </c>
      <c r="Y6" s="17" t="s">
        <v>70</v>
      </c>
      <c r="Z6" s="17" t="s">
        <v>71</v>
      </c>
      <c r="AA6" s="31">
        <v>778131.56831300003</v>
      </c>
      <c r="AB6" s="31">
        <v>2418899.8184799999</v>
      </c>
    </row>
    <row r="7" spans="1:28">
      <c r="A7" s="30">
        <v>6</v>
      </c>
      <c r="B7" s="17">
        <v>611182</v>
      </c>
      <c r="C7" s="17" t="s">
        <v>113</v>
      </c>
      <c r="D7" s="17" t="s">
        <v>147</v>
      </c>
      <c r="E7" s="17" t="s">
        <v>162</v>
      </c>
      <c r="F7" s="17" t="s">
        <v>203</v>
      </c>
      <c r="G7" s="17" t="s">
        <v>90</v>
      </c>
      <c r="H7" s="17" t="s">
        <v>66</v>
      </c>
      <c r="I7" s="17">
        <v>20010</v>
      </c>
      <c r="J7" s="17" t="s">
        <v>54</v>
      </c>
      <c r="K7" s="17" t="s">
        <v>65</v>
      </c>
      <c r="L7" s="17" t="s">
        <v>20</v>
      </c>
      <c r="M7" s="17" t="s">
        <v>89</v>
      </c>
      <c r="N7" s="17" t="s">
        <v>20</v>
      </c>
      <c r="O7" s="17" t="s">
        <v>87</v>
      </c>
      <c r="P7" s="17" t="s">
        <v>20</v>
      </c>
      <c r="Q7" s="17" t="s">
        <v>85</v>
      </c>
      <c r="R7" s="17" t="s">
        <v>20</v>
      </c>
      <c r="S7" s="17" t="s">
        <v>86</v>
      </c>
      <c r="T7" s="17">
        <v>202</v>
      </c>
      <c r="U7" s="18">
        <v>0</v>
      </c>
      <c r="X7" s="17" t="s">
        <v>61</v>
      </c>
      <c r="Y7" s="17" t="s">
        <v>77</v>
      </c>
      <c r="Z7" s="17" t="s">
        <v>83</v>
      </c>
      <c r="AA7" s="31">
        <v>776870.53747600003</v>
      </c>
      <c r="AB7" s="31">
        <v>2423710.7165299999</v>
      </c>
    </row>
    <row r="8" spans="1:28">
      <c r="A8" s="30">
        <v>7</v>
      </c>
      <c r="B8" s="17">
        <v>611182</v>
      </c>
      <c r="C8" s="17" t="s">
        <v>113</v>
      </c>
      <c r="D8" s="17" t="s">
        <v>147</v>
      </c>
      <c r="E8" s="17" t="s">
        <v>163</v>
      </c>
      <c r="F8" s="17" t="s">
        <v>203</v>
      </c>
      <c r="G8" s="17" t="s">
        <v>164</v>
      </c>
      <c r="H8" s="17" t="s">
        <v>66</v>
      </c>
      <c r="I8" s="17">
        <v>20290</v>
      </c>
      <c r="J8" s="17" t="s">
        <v>54</v>
      </c>
      <c r="K8" s="17" t="s">
        <v>65</v>
      </c>
      <c r="L8" s="17" t="s">
        <v>20</v>
      </c>
      <c r="M8" s="17" t="s">
        <v>94</v>
      </c>
      <c r="N8" s="17" t="s">
        <v>56</v>
      </c>
      <c r="O8" s="17" t="s">
        <v>75</v>
      </c>
      <c r="P8" s="17" t="s">
        <v>20</v>
      </c>
      <c r="Q8" s="17" t="s">
        <v>91</v>
      </c>
      <c r="R8" s="17" t="s">
        <v>20</v>
      </c>
      <c r="S8" s="17" t="s">
        <v>95</v>
      </c>
      <c r="T8" s="17">
        <v>608</v>
      </c>
      <c r="U8" s="18">
        <v>0</v>
      </c>
      <c r="V8" s="17" t="s">
        <v>165</v>
      </c>
      <c r="X8" s="17" t="s">
        <v>62</v>
      </c>
      <c r="Y8" s="17" t="s">
        <v>82</v>
      </c>
      <c r="Z8" s="17" t="s">
        <v>92</v>
      </c>
      <c r="AA8" s="31">
        <v>780373.64787300001</v>
      </c>
      <c r="AB8" s="31">
        <v>2419899.1875900002</v>
      </c>
    </row>
    <row r="9" spans="1:28">
      <c r="A9" s="30">
        <v>8</v>
      </c>
      <c r="B9" s="17">
        <v>611182</v>
      </c>
      <c r="C9" s="17" t="s">
        <v>113</v>
      </c>
      <c r="D9" s="17" t="s">
        <v>147</v>
      </c>
      <c r="E9" s="17" t="s">
        <v>166</v>
      </c>
      <c r="F9" s="17" t="s">
        <v>203</v>
      </c>
      <c r="G9" s="17" t="s">
        <v>167</v>
      </c>
      <c r="H9" s="17" t="s">
        <v>66</v>
      </c>
      <c r="I9" s="17">
        <v>20290</v>
      </c>
      <c r="J9" s="17" t="s">
        <v>54</v>
      </c>
      <c r="K9" s="17" t="s">
        <v>64</v>
      </c>
      <c r="L9" s="17" t="s">
        <v>20</v>
      </c>
      <c r="M9" s="17" t="s">
        <v>94</v>
      </c>
      <c r="N9" s="17" t="s">
        <v>56</v>
      </c>
      <c r="O9" s="17" t="s">
        <v>75</v>
      </c>
      <c r="P9" s="17" t="s">
        <v>20</v>
      </c>
      <c r="Q9" s="17" t="s">
        <v>91</v>
      </c>
      <c r="R9" s="17" t="s">
        <v>20</v>
      </c>
      <c r="S9" s="17" t="s">
        <v>95</v>
      </c>
      <c r="T9" s="17">
        <v>608</v>
      </c>
      <c r="U9" s="18">
        <v>4499256582</v>
      </c>
      <c r="X9" s="17" t="s">
        <v>62</v>
      </c>
      <c r="Y9" s="17" t="s">
        <v>82</v>
      </c>
      <c r="Z9" s="17" t="s">
        <v>92</v>
      </c>
      <c r="AA9" s="31">
        <v>780373.64787300001</v>
      </c>
      <c r="AB9" s="31">
        <v>2419899.1875900002</v>
      </c>
    </row>
    <row r="10" spans="1:28">
      <c r="A10" s="30">
        <v>9</v>
      </c>
      <c r="B10" s="17">
        <v>611182</v>
      </c>
      <c r="C10" s="17" t="s">
        <v>113</v>
      </c>
      <c r="D10" s="17" t="s">
        <v>147</v>
      </c>
      <c r="E10" s="17" t="s">
        <v>168</v>
      </c>
      <c r="F10" s="17" t="s">
        <v>203</v>
      </c>
      <c r="G10" s="17" t="s">
        <v>169</v>
      </c>
      <c r="H10" s="17" t="s">
        <v>66</v>
      </c>
      <c r="I10" s="17">
        <v>20210</v>
      </c>
      <c r="J10" s="17" t="s">
        <v>54</v>
      </c>
      <c r="K10" s="17" t="s">
        <v>60</v>
      </c>
      <c r="L10" s="17" t="s">
        <v>20</v>
      </c>
      <c r="M10" s="17" t="s">
        <v>99</v>
      </c>
      <c r="N10" s="17" t="s">
        <v>20</v>
      </c>
      <c r="O10" s="17" t="s">
        <v>58</v>
      </c>
      <c r="P10" s="17" t="s">
        <v>20</v>
      </c>
      <c r="Q10" s="17" t="s">
        <v>96</v>
      </c>
      <c r="R10" s="17" t="s">
        <v>20</v>
      </c>
      <c r="S10" s="17" t="s">
        <v>100</v>
      </c>
      <c r="T10" s="17">
        <v>0</v>
      </c>
      <c r="U10" s="18">
        <v>0</v>
      </c>
      <c r="X10" s="17" t="s">
        <v>59</v>
      </c>
      <c r="Y10" s="17" t="s">
        <v>70</v>
      </c>
      <c r="Z10" s="17" t="s">
        <v>92</v>
      </c>
      <c r="AA10" s="31">
        <v>777465.00354800001</v>
      </c>
      <c r="AB10" s="31">
        <v>2420221.7812999999</v>
      </c>
    </row>
    <row r="11" spans="1:28">
      <c r="A11" s="30">
        <v>10</v>
      </c>
      <c r="B11" s="17">
        <v>611181</v>
      </c>
      <c r="C11" s="17" t="s">
        <v>113</v>
      </c>
      <c r="D11" s="17" t="s">
        <v>52</v>
      </c>
      <c r="E11" s="17" t="s">
        <v>170</v>
      </c>
      <c r="F11" s="17" t="s">
        <v>202</v>
      </c>
      <c r="G11" s="17" t="s">
        <v>171</v>
      </c>
      <c r="H11" s="17" t="s">
        <v>66</v>
      </c>
      <c r="I11" s="17">
        <v>20230</v>
      </c>
      <c r="J11" s="17" t="s">
        <v>54</v>
      </c>
      <c r="K11" s="17" t="s">
        <v>55</v>
      </c>
      <c r="L11" s="17" t="s">
        <v>20</v>
      </c>
      <c r="M11" s="17" t="s">
        <v>98</v>
      </c>
      <c r="N11" s="17" t="s">
        <v>20</v>
      </c>
      <c r="O11" s="17" t="s">
        <v>97</v>
      </c>
      <c r="P11" s="17" t="s">
        <v>20</v>
      </c>
      <c r="Q11" s="17" t="s">
        <v>101</v>
      </c>
      <c r="R11" s="17" t="s">
        <v>20</v>
      </c>
      <c r="S11" s="17" t="s">
        <v>107</v>
      </c>
      <c r="T11" s="17">
        <v>105</v>
      </c>
      <c r="U11" s="18">
        <v>4491129658</v>
      </c>
      <c r="V11" s="17" t="s">
        <v>172</v>
      </c>
      <c r="X11" s="17" t="s">
        <v>61</v>
      </c>
      <c r="Y11" s="17" t="s">
        <v>70</v>
      </c>
      <c r="Z11" s="17" t="s">
        <v>92</v>
      </c>
      <c r="AA11" s="31">
        <v>779135.83094999997</v>
      </c>
      <c r="AB11" s="31">
        <v>2420946.6356700002</v>
      </c>
    </row>
    <row r="12" spans="1:28">
      <c r="A12" s="30">
        <v>11</v>
      </c>
      <c r="B12" s="17">
        <v>611182</v>
      </c>
      <c r="C12" s="17" t="s">
        <v>113</v>
      </c>
      <c r="D12" s="17" t="s">
        <v>147</v>
      </c>
      <c r="E12" s="17" t="s">
        <v>173</v>
      </c>
      <c r="F12" s="17" t="s">
        <v>203</v>
      </c>
      <c r="G12" s="17" t="s">
        <v>90</v>
      </c>
      <c r="H12" s="17" t="s">
        <v>63</v>
      </c>
      <c r="I12" s="17">
        <v>20000</v>
      </c>
      <c r="J12" s="17" t="s">
        <v>54</v>
      </c>
      <c r="K12" s="17" t="s">
        <v>64</v>
      </c>
      <c r="L12" s="17" t="s">
        <v>56</v>
      </c>
      <c r="M12" s="17" t="s">
        <v>84</v>
      </c>
      <c r="N12" s="17" t="s">
        <v>20</v>
      </c>
      <c r="O12" s="17" t="s">
        <v>79</v>
      </c>
      <c r="P12" s="17" t="s">
        <v>20</v>
      </c>
      <c r="Q12" s="17" t="s">
        <v>88</v>
      </c>
      <c r="R12" s="17" t="s">
        <v>20</v>
      </c>
      <c r="S12" s="17" t="s">
        <v>143</v>
      </c>
      <c r="T12" s="17">
        <v>518</v>
      </c>
      <c r="U12" s="18">
        <v>4499154680</v>
      </c>
      <c r="V12" s="17" t="s">
        <v>174</v>
      </c>
      <c r="X12" s="17" t="s">
        <v>62</v>
      </c>
      <c r="Y12" s="17" t="s">
        <v>82</v>
      </c>
      <c r="Z12" s="17" t="s">
        <v>102</v>
      </c>
      <c r="AA12" s="31">
        <v>780239.13553500001</v>
      </c>
      <c r="AB12" s="31">
        <v>2421950.1454699999</v>
      </c>
    </row>
    <row r="13" spans="1:28">
      <c r="A13" s="30">
        <v>12</v>
      </c>
      <c r="B13" s="17">
        <v>611181</v>
      </c>
      <c r="C13" s="17" t="s">
        <v>113</v>
      </c>
      <c r="D13" s="17" t="s">
        <v>52</v>
      </c>
      <c r="E13" s="17" t="s">
        <v>175</v>
      </c>
      <c r="F13" s="17" t="s">
        <v>202</v>
      </c>
      <c r="G13" s="17" t="s">
        <v>176</v>
      </c>
      <c r="H13" s="17" t="s">
        <v>53</v>
      </c>
      <c r="I13" s="17">
        <v>20259</v>
      </c>
      <c r="J13" s="17" t="s">
        <v>54</v>
      </c>
      <c r="K13" s="17" t="s">
        <v>55</v>
      </c>
      <c r="L13" s="17" t="s">
        <v>57</v>
      </c>
      <c r="M13" s="17" t="s">
        <v>104</v>
      </c>
      <c r="N13" s="17" t="s">
        <v>56</v>
      </c>
      <c r="O13" s="17" t="s">
        <v>81</v>
      </c>
      <c r="P13" s="17" t="s">
        <v>20</v>
      </c>
      <c r="Q13" s="17" t="s">
        <v>104</v>
      </c>
      <c r="R13" s="17" t="s">
        <v>20</v>
      </c>
      <c r="S13" s="17" t="s">
        <v>105</v>
      </c>
      <c r="T13" s="17">
        <v>101</v>
      </c>
      <c r="U13" s="18">
        <v>0</v>
      </c>
      <c r="V13" s="17" t="s">
        <v>177</v>
      </c>
      <c r="W13" s="17" t="s">
        <v>178</v>
      </c>
      <c r="X13" s="17" t="s">
        <v>62</v>
      </c>
      <c r="Y13" s="17" t="s">
        <v>82</v>
      </c>
      <c r="Z13" s="17" t="s">
        <v>102</v>
      </c>
      <c r="AA13" s="31">
        <v>780901.19646500004</v>
      </c>
      <c r="AB13" s="31">
        <v>2422061.0515700001</v>
      </c>
    </row>
    <row r="14" spans="1:28">
      <c r="A14" s="30">
        <v>13</v>
      </c>
      <c r="B14" s="17">
        <v>611181</v>
      </c>
      <c r="C14" s="17" t="s">
        <v>113</v>
      </c>
      <c r="D14" s="17" t="s">
        <v>52</v>
      </c>
      <c r="E14" s="17" t="s">
        <v>179</v>
      </c>
      <c r="F14" s="17" t="s">
        <v>202</v>
      </c>
      <c r="G14" s="17" t="s">
        <v>180</v>
      </c>
      <c r="H14" s="17" t="s">
        <v>53</v>
      </c>
      <c r="I14" s="17">
        <v>20240</v>
      </c>
      <c r="J14" s="17" t="s">
        <v>54</v>
      </c>
      <c r="K14" s="17" t="s">
        <v>64</v>
      </c>
      <c r="L14" s="17" t="s">
        <v>20</v>
      </c>
      <c r="M14" s="17" t="s">
        <v>93</v>
      </c>
      <c r="N14" s="17" t="s">
        <v>20</v>
      </c>
      <c r="O14" s="17" t="s">
        <v>106</v>
      </c>
      <c r="P14" s="17" t="s">
        <v>20</v>
      </c>
      <c r="Q14" s="17" t="s">
        <v>126</v>
      </c>
      <c r="R14" s="17" t="s">
        <v>20</v>
      </c>
      <c r="S14" s="17" t="s">
        <v>181</v>
      </c>
      <c r="T14" s="17">
        <v>404</v>
      </c>
      <c r="U14" s="18">
        <v>4499185319</v>
      </c>
      <c r="X14" s="17" t="s">
        <v>62</v>
      </c>
      <c r="Y14" s="17" t="s">
        <v>82</v>
      </c>
      <c r="Z14" s="17" t="s">
        <v>102</v>
      </c>
      <c r="AA14" s="31">
        <v>779556.60770199995</v>
      </c>
      <c r="AB14" s="31">
        <v>2421780.9770200001</v>
      </c>
    </row>
    <row r="15" spans="1:28">
      <c r="A15" s="30">
        <v>14</v>
      </c>
      <c r="B15" s="17">
        <v>611182</v>
      </c>
      <c r="C15" s="17" t="s">
        <v>113</v>
      </c>
      <c r="D15" s="17" t="s">
        <v>147</v>
      </c>
      <c r="E15" s="17" t="s">
        <v>182</v>
      </c>
      <c r="F15" s="17" t="s">
        <v>203</v>
      </c>
      <c r="G15" s="17" t="s">
        <v>90</v>
      </c>
      <c r="H15" s="17" t="s">
        <v>66</v>
      </c>
      <c r="I15" s="17">
        <v>20199</v>
      </c>
      <c r="J15" s="17" t="s">
        <v>54</v>
      </c>
      <c r="K15" s="17" t="s">
        <v>64</v>
      </c>
      <c r="L15" s="17" t="s">
        <v>20</v>
      </c>
      <c r="M15" s="17" t="s">
        <v>144</v>
      </c>
      <c r="N15" s="17" t="s">
        <v>20</v>
      </c>
      <c r="O15" s="17" t="s">
        <v>115</v>
      </c>
      <c r="P15" s="17" t="s">
        <v>69</v>
      </c>
      <c r="Q15" s="17" t="s">
        <v>117</v>
      </c>
      <c r="R15" s="17" t="s">
        <v>69</v>
      </c>
      <c r="S15" s="17" t="s">
        <v>117</v>
      </c>
      <c r="T15" s="17">
        <v>0</v>
      </c>
      <c r="U15" s="18">
        <v>0</v>
      </c>
      <c r="V15" s="17" t="s">
        <v>183</v>
      </c>
      <c r="X15" s="17" t="s">
        <v>62</v>
      </c>
      <c r="Y15" s="17" t="s">
        <v>108</v>
      </c>
      <c r="Z15" s="17" t="s">
        <v>114</v>
      </c>
      <c r="AA15" s="31">
        <v>783053.13815400004</v>
      </c>
      <c r="AB15" s="31">
        <v>2423489.2702700002</v>
      </c>
    </row>
    <row r="16" spans="1:28">
      <c r="A16" s="30">
        <v>15</v>
      </c>
      <c r="B16" s="17">
        <v>611182</v>
      </c>
      <c r="C16" s="17" t="s">
        <v>113</v>
      </c>
      <c r="D16" s="17" t="s">
        <v>147</v>
      </c>
      <c r="E16" s="17" t="s">
        <v>184</v>
      </c>
      <c r="F16" s="17" t="s">
        <v>203</v>
      </c>
      <c r="G16" s="17" t="s">
        <v>90</v>
      </c>
      <c r="H16" s="17" t="s">
        <v>66</v>
      </c>
      <c r="I16" s="17">
        <v>20199</v>
      </c>
      <c r="J16" s="17" t="s">
        <v>54</v>
      </c>
      <c r="K16" s="17" t="s">
        <v>64</v>
      </c>
      <c r="L16" s="17" t="s">
        <v>20</v>
      </c>
      <c r="M16" s="17" t="s">
        <v>144</v>
      </c>
      <c r="N16" s="17" t="s">
        <v>20</v>
      </c>
      <c r="O16" s="17" t="s">
        <v>115</v>
      </c>
      <c r="P16" s="17" t="s">
        <v>69</v>
      </c>
      <c r="Q16" s="17" t="s">
        <v>117</v>
      </c>
      <c r="R16" s="17" t="s">
        <v>69</v>
      </c>
      <c r="S16" s="17" t="s">
        <v>117</v>
      </c>
      <c r="T16" s="17">
        <v>0</v>
      </c>
      <c r="U16" s="18">
        <v>0</v>
      </c>
      <c r="X16" s="17" t="s">
        <v>62</v>
      </c>
      <c r="Y16" s="17" t="s">
        <v>108</v>
      </c>
      <c r="Z16" s="17" t="s">
        <v>114</v>
      </c>
      <c r="AA16" s="31">
        <v>783049.325496</v>
      </c>
      <c r="AB16" s="31">
        <v>2423491.5126800002</v>
      </c>
    </row>
    <row r="17" spans="1:28">
      <c r="A17" s="30">
        <v>16</v>
      </c>
      <c r="B17" s="17">
        <v>611182</v>
      </c>
      <c r="C17" s="17" t="s">
        <v>113</v>
      </c>
      <c r="D17" s="17" t="s">
        <v>147</v>
      </c>
      <c r="E17" s="17" t="s">
        <v>185</v>
      </c>
      <c r="F17" s="17" t="s">
        <v>203</v>
      </c>
      <c r="G17" s="17" t="s">
        <v>161</v>
      </c>
      <c r="H17" s="17" t="s">
        <v>66</v>
      </c>
      <c r="I17" s="17">
        <v>20256</v>
      </c>
      <c r="J17" s="17" t="s">
        <v>54</v>
      </c>
      <c r="K17" s="17" t="s">
        <v>64</v>
      </c>
      <c r="M17" s="17" t="s">
        <v>58</v>
      </c>
      <c r="N17" s="17" t="s">
        <v>20</v>
      </c>
      <c r="O17" s="17" t="s">
        <v>120</v>
      </c>
      <c r="P17" s="17" t="s">
        <v>20</v>
      </c>
      <c r="Q17" s="17" t="s">
        <v>145</v>
      </c>
      <c r="R17" s="17" t="s">
        <v>56</v>
      </c>
      <c r="S17" s="17" t="s">
        <v>121</v>
      </c>
      <c r="T17" s="17">
        <v>0</v>
      </c>
      <c r="U17" s="18">
        <v>0</v>
      </c>
      <c r="V17" s="17" t="s">
        <v>186</v>
      </c>
      <c r="X17" s="17" t="s">
        <v>59</v>
      </c>
      <c r="Y17" s="17" t="s">
        <v>78</v>
      </c>
      <c r="Z17" s="17" t="s">
        <v>118</v>
      </c>
      <c r="AA17" s="31">
        <v>782820.09367199999</v>
      </c>
      <c r="AB17" s="31">
        <v>2421316.1652199998</v>
      </c>
    </row>
    <row r="18" spans="1:28">
      <c r="A18" s="30">
        <v>17</v>
      </c>
      <c r="B18" s="17">
        <v>611182</v>
      </c>
      <c r="C18" s="17" t="s">
        <v>113</v>
      </c>
      <c r="D18" s="17" t="s">
        <v>147</v>
      </c>
      <c r="E18" s="17" t="s">
        <v>187</v>
      </c>
      <c r="F18" s="17" t="s">
        <v>203</v>
      </c>
      <c r="G18" s="17" t="s">
        <v>90</v>
      </c>
      <c r="H18" s="17" t="s">
        <v>66</v>
      </c>
      <c r="I18" s="17">
        <v>20198</v>
      </c>
      <c r="J18" s="17" t="s">
        <v>54</v>
      </c>
      <c r="K18" s="17" t="s">
        <v>64</v>
      </c>
      <c r="L18" s="17" t="s">
        <v>56</v>
      </c>
      <c r="M18" s="17" t="s">
        <v>116</v>
      </c>
      <c r="N18" s="17" t="s">
        <v>20</v>
      </c>
      <c r="O18" s="17" t="s">
        <v>67</v>
      </c>
      <c r="P18" s="17" t="s">
        <v>69</v>
      </c>
      <c r="Q18" s="17" t="s">
        <v>103</v>
      </c>
      <c r="R18" s="17" t="s">
        <v>20</v>
      </c>
      <c r="S18" s="17" t="s">
        <v>68</v>
      </c>
      <c r="T18" s="17">
        <v>0</v>
      </c>
      <c r="U18" s="18">
        <v>4499701524</v>
      </c>
      <c r="V18" s="17" t="s">
        <v>188</v>
      </c>
      <c r="X18" s="17" t="s">
        <v>62</v>
      </c>
      <c r="Y18" s="17" t="s">
        <v>110</v>
      </c>
      <c r="Z18" s="17" t="s">
        <v>118</v>
      </c>
      <c r="AA18" s="31">
        <v>783014.83988800005</v>
      </c>
      <c r="AB18" s="31">
        <v>2422803.5567299998</v>
      </c>
    </row>
    <row r="19" spans="1:28">
      <c r="A19" s="30">
        <v>18</v>
      </c>
      <c r="B19" s="17">
        <v>611182</v>
      </c>
      <c r="C19" s="17" t="s">
        <v>113</v>
      </c>
      <c r="D19" s="17" t="s">
        <v>147</v>
      </c>
      <c r="E19" s="17" t="s">
        <v>189</v>
      </c>
      <c r="F19" s="17" t="s">
        <v>203</v>
      </c>
      <c r="G19" s="17" t="s">
        <v>90</v>
      </c>
      <c r="H19" s="17" t="s">
        <v>66</v>
      </c>
      <c r="I19" s="17">
        <v>20196</v>
      </c>
      <c r="J19" s="17" t="s">
        <v>54</v>
      </c>
      <c r="K19" s="17" t="s">
        <v>64</v>
      </c>
      <c r="L19" s="17" t="s">
        <v>20</v>
      </c>
      <c r="M19" s="17" t="s">
        <v>109</v>
      </c>
      <c r="N19" s="17" t="s">
        <v>20</v>
      </c>
      <c r="O19" s="17" t="s">
        <v>111</v>
      </c>
      <c r="P19" s="17" t="s">
        <v>20</v>
      </c>
      <c r="Q19" s="17" t="s">
        <v>112</v>
      </c>
      <c r="R19" s="17" t="s">
        <v>20</v>
      </c>
      <c r="S19" s="17" t="s">
        <v>124</v>
      </c>
      <c r="T19" s="17">
        <v>0</v>
      </c>
      <c r="U19" s="18">
        <v>0</v>
      </c>
      <c r="X19" s="17" t="s">
        <v>62</v>
      </c>
      <c r="Y19" s="17" t="s">
        <v>110</v>
      </c>
      <c r="Z19" s="17" t="s">
        <v>123</v>
      </c>
      <c r="AA19" s="31">
        <v>784762.78387299995</v>
      </c>
      <c r="AB19" s="31">
        <v>2421750.5866100001</v>
      </c>
    </row>
    <row r="20" spans="1:28">
      <c r="A20" s="30">
        <v>19</v>
      </c>
      <c r="B20" s="17">
        <v>611182</v>
      </c>
      <c r="C20" s="17" t="s">
        <v>113</v>
      </c>
      <c r="D20" s="17" t="s">
        <v>147</v>
      </c>
      <c r="E20" s="17" t="s">
        <v>190</v>
      </c>
      <c r="F20" s="17" t="s">
        <v>203</v>
      </c>
      <c r="G20" s="17" t="s">
        <v>191</v>
      </c>
      <c r="H20" s="17" t="s">
        <v>66</v>
      </c>
      <c r="I20" s="17">
        <v>20208</v>
      </c>
      <c r="J20" s="17" t="s">
        <v>54</v>
      </c>
      <c r="K20" s="17" t="s">
        <v>60</v>
      </c>
      <c r="L20" s="17" t="s">
        <v>20</v>
      </c>
      <c r="M20" s="17" t="s">
        <v>146</v>
      </c>
      <c r="N20" s="17" t="s">
        <v>20</v>
      </c>
      <c r="O20" s="17" t="s">
        <v>146</v>
      </c>
      <c r="P20" s="17" t="s">
        <v>20</v>
      </c>
      <c r="Q20" s="17" t="s">
        <v>146</v>
      </c>
      <c r="R20" s="17" t="s">
        <v>20</v>
      </c>
      <c r="S20" s="17" t="s">
        <v>146</v>
      </c>
      <c r="T20" s="17">
        <v>0</v>
      </c>
      <c r="U20" s="18">
        <v>4499760899</v>
      </c>
      <c r="V20" s="17" t="s">
        <v>192</v>
      </c>
      <c r="X20" s="17" t="s">
        <v>62</v>
      </c>
      <c r="Y20" s="17" t="s">
        <v>80</v>
      </c>
      <c r="Z20" s="17" t="s">
        <v>125</v>
      </c>
      <c r="AA20" s="31">
        <v>775318.58735199994</v>
      </c>
      <c r="AB20" s="31">
        <v>2419411.4283599998</v>
      </c>
    </row>
    <row r="21" spans="1:28">
      <c r="A21" s="30">
        <v>20</v>
      </c>
      <c r="B21" s="17">
        <v>611182</v>
      </c>
      <c r="C21" s="17" t="s">
        <v>113</v>
      </c>
      <c r="D21" s="17" t="s">
        <v>147</v>
      </c>
      <c r="E21" s="17" t="s">
        <v>193</v>
      </c>
      <c r="F21" s="17" t="s">
        <v>203</v>
      </c>
      <c r="G21" s="17" t="s">
        <v>191</v>
      </c>
      <c r="H21" s="17" t="s">
        <v>66</v>
      </c>
      <c r="I21" s="17">
        <v>20208</v>
      </c>
      <c r="J21" s="17" t="s">
        <v>54</v>
      </c>
      <c r="K21" s="17" t="s">
        <v>64</v>
      </c>
      <c r="L21" s="17" t="s">
        <v>20</v>
      </c>
      <c r="M21" s="17" t="s">
        <v>146</v>
      </c>
      <c r="N21" s="17" t="s">
        <v>20</v>
      </c>
      <c r="O21" s="17" t="s">
        <v>146</v>
      </c>
      <c r="P21" s="17" t="s">
        <v>20</v>
      </c>
      <c r="Q21" s="17" t="s">
        <v>146</v>
      </c>
      <c r="R21" s="17" t="s">
        <v>20</v>
      </c>
      <c r="S21" s="17" t="s">
        <v>146</v>
      </c>
      <c r="T21" s="17">
        <v>0</v>
      </c>
      <c r="U21" s="18">
        <v>4499760899</v>
      </c>
      <c r="V21" s="17" t="s">
        <v>194</v>
      </c>
      <c r="X21" s="17" t="s">
        <v>62</v>
      </c>
      <c r="Y21" s="17" t="s">
        <v>80</v>
      </c>
      <c r="Z21" s="17" t="s">
        <v>125</v>
      </c>
      <c r="AA21" s="31">
        <v>775314.24852799997</v>
      </c>
      <c r="AB21" s="31">
        <v>2419403.1691899998</v>
      </c>
    </row>
    <row r="22" spans="1:28">
      <c r="A22" s="30">
        <v>21</v>
      </c>
      <c r="B22" s="17">
        <v>611182</v>
      </c>
      <c r="C22" s="17" t="s">
        <v>113</v>
      </c>
      <c r="D22" s="17" t="s">
        <v>147</v>
      </c>
      <c r="E22" s="17" t="s">
        <v>195</v>
      </c>
      <c r="F22" s="17" t="s">
        <v>203</v>
      </c>
      <c r="G22" s="17" t="s">
        <v>191</v>
      </c>
      <c r="H22" s="17" t="s">
        <v>66</v>
      </c>
      <c r="I22" s="17">
        <v>20208</v>
      </c>
      <c r="J22" s="17" t="s">
        <v>54</v>
      </c>
      <c r="K22" s="17" t="s">
        <v>60</v>
      </c>
      <c r="L22" s="17" t="s">
        <v>20</v>
      </c>
      <c r="M22" s="17" t="s">
        <v>146</v>
      </c>
      <c r="N22" s="17" t="s">
        <v>20</v>
      </c>
      <c r="O22" s="17" t="s">
        <v>146</v>
      </c>
      <c r="P22" s="17" t="s">
        <v>20</v>
      </c>
      <c r="Q22" s="17" t="s">
        <v>146</v>
      </c>
      <c r="R22" s="17" t="s">
        <v>20</v>
      </c>
      <c r="S22" s="17" t="s">
        <v>146</v>
      </c>
      <c r="T22" s="17">
        <v>0</v>
      </c>
      <c r="U22" s="18">
        <v>0</v>
      </c>
      <c r="V22" s="17" t="s">
        <v>196</v>
      </c>
      <c r="X22" s="17" t="s">
        <v>61</v>
      </c>
      <c r="Y22" s="17" t="s">
        <v>80</v>
      </c>
      <c r="Z22" s="17" t="s">
        <v>125</v>
      </c>
      <c r="AA22" s="31">
        <v>775313.53858299996</v>
      </c>
      <c r="AB22" s="31">
        <v>2419401.81727</v>
      </c>
    </row>
    <row r="23" spans="1:28">
      <c r="A23" s="30">
        <v>22</v>
      </c>
      <c r="B23" s="17">
        <v>611182</v>
      </c>
      <c r="C23" s="17" t="s">
        <v>113</v>
      </c>
      <c r="D23" s="17" t="s">
        <v>147</v>
      </c>
      <c r="E23" s="17" t="s">
        <v>197</v>
      </c>
      <c r="F23" s="17" t="s">
        <v>203</v>
      </c>
      <c r="G23" s="17" t="s">
        <v>191</v>
      </c>
      <c r="H23" s="17" t="s">
        <v>66</v>
      </c>
      <c r="I23" s="17">
        <v>20208</v>
      </c>
      <c r="J23" s="17" t="s">
        <v>54</v>
      </c>
      <c r="K23" s="17" t="s">
        <v>60</v>
      </c>
      <c r="L23" s="17" t="s">
        <v>20</v>
      </c>
      <c r="M23" s="17" t="s">
        <v>146</v>
      </c>
      <c r="N23" s="17" t="s">
        <v>20</v>
      </c>
      <c r="O23" s="17" t="s">
        <v>146</v>
      </c>
      <c r="P23" s="17" t="s">
        <v>20</v>
      </c>
      <c r="Q23" s="17" t="s">
        <v>146</v>
      </c>
      <c r="R23" s="17" t="s">
        <v>20</v>
      </c>
      <c r="S23" s="17" t="s">
        <v>146</v>
      </c>
      <c r="T23" s="17">
        <v>0</v>
      </c>
      <c r="U23" s="18">
        <v>4499760899</v>
      </c>
      <c r="V23" s="17" t="s">
        <v>198</v>
      </c>
      <c r="X23" s="17" t="s">
        <v>62</v>
      </c>
      <c r="Y23" s="17" t="s">
        <v>80</v>
      </c>
      <c r="Z23" s="17" t="s">
        <v>125</v>
      </c>
      <c r="AA23" s="31">
        <v>775313.93810300005</v>
      </c>
      <c r="AB23" s="31">
        <v>2419402.5787599999</v>
      </c>
    </row>
    <row r="24" spans="1:28">
      <c r="A24" s="30">
        <v>23</v>
      </c>
      <c r="B24" s="17">
        <v>611181</v>
      </c>
      <c r="C24" s="17" t="s">
        <v>113</v>
      </c>
      <c r="D24" s="17" t="s">
        <v>52</v>
      </c>
      <c r="E24" s="17" t="s">
        <v>199</v>
      </c>
      <c r="F24" s="17" t="s">
        <v>202</v>
      </c>
      <c r="G24" s="17" t="s">
        <v>200</v>
      </c>
      <c r="H24" s="17" t="s">
        <v>66</v>
      </c>
      <c r="I24" s="17">
        <v>20120</v>
      </c>
      <c r="J24" s="17" t="s">
        <v>54</v>
      </c>
      <c r="K24" s="17" t="s">
        <v>55</v>
      </c>
      <c r="L24" s="17" t="s">
        <v>20</v>
      </c>
      <c r="M24" s="17" t="s">
        <v>128</v>
      </c>
      <c r="N24" s="17" t="s">
        <v>20</v>
      </c>
      <c r="O24" s="17" t="s">
        <v>142</v>
      </c>
      <c r="P24" s="17" t="s">
        <v>20</v>
      </c>
      <c r="Q24" s="17" t="s">
        <v>119</v>
      </c>
      <c r="R24" s="17" t="s">
        <v>20</v>
      </c>
      <c r="S24" s="17" t="s">
        <v>129</v>
      </c>
      <c r="T24" s="17">
        <v>829</v>
      </c>
      <c r="U24" s="18">
        <v>0</v>
      </c>
      <c r="V24" s="17" t="s">
        <v>201</v>
      </c>
      <c r="X24" s="17" t="s">
        <v>59</v>
      </c>
      <c r="Y24" s="17" t="s">
        <v>77</v>
      </c>
      <c r="Z24" s="17" t="s">
        <v>127</v>
      </c>
      <c r="AA24" s="31">
        <v>779030.65908000001</v>
      </c>
      <c r="AB24" s="31">
        <v>2426762.4755199999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24EU_EDU_ESPECIAL</vt:lpstr>
      <vt:lpstr>BASE DE DATOS_EDU_ESPECIAL</vt:lpstr>
      <vt:lpstr>'24EU_EDU_ESPECIAL'!Área_de_impresión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2025-08-13T14:57:53Z</dcterms:modified>
</cp:coreProperties>
</file>