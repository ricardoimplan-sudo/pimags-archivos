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PRIMARIA\"/>
    </mc:Choice>
  </mc:AlternateContent>
  <bookViews>
    <workbookView xWindow="0" yWindow="0" windowWidth="28800" windowHeight="11535"/>
  </bookViews>
  <sheets>
    <sheet name="24EU_EDU_PRIMARIA" sheetId="1" r:id="rId1"/>
    <sheet name="BASE DE DATOS_EDU_PRIMARIA" sheetId="2" r:id="rId2"/>
  </sheets>
  <definedNames>
    <definedName name="_xlnm.Print_Area" localSheetId="0">'24EU_EDU_PRIMARIA'!$A$1:$C$35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<sst xmlns="http://schemas.openxmlformats.org/spreadsheetml/2006/main" count="4954" uniqueCount="1124">
  <si>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</si>
  <si>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</si>
  <si>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</si>
  <si>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</si>
  <si>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</si>
  <si>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</si>
  <si>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</si>
  <si>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</si>
  <si>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</si>
  <si>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</si>
  <si>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</si>
  <si>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</si>
  <si>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</si>
  <si>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</si>
  <si>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</si>
  <si>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</si>
  <si>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</si>
  <si>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</si>
  <si>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</si>
  <si>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</si>
  <si>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</si>
  <si>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</si>
  <si>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</si>
  <si>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</si>
  <si>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</si>
  <si>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</si>
  <si>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</si>
  <si>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</si>
  <si>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</si>
  <si>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</si>
  <si>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</si>
  <si>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</si>
  <si>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</si>
  <si>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</si>
  <si>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</si>
  <si>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</si>
  <si>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</si>
  <si>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</si>
  <si>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</si>
  <si>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</si>
  <si>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</si>
  <si>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</si>
  <si>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</si>
  <si>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</si>
  <si>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</si>
  <si>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</si>
  <si>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</si>
  <si>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</si>
  <si>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</si>
  <si>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</si>
  <si>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</si>
  <si>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</si>
  <si>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</si>
  <si>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</si>
  <si>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</si>
  <si>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</si>
  <si>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</si>
  <si>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</si>
  <si>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</si>
  <si>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</si>
  <si>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</si>
  <si>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</si>
  <si>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</si>
  <si>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</si>
  <si>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</si>
  <si>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AGUSTIN DE ITURBIDE</t>
  </si>
  <si>
    <t>2010-07</t>
  </si>
  <si>
    <t>SAN MIGUEL</t>
  </si>
  <si>
    <t>SAN ANTONIO</t>
  </si>
  <si>
    <t>COLONIA</t>
  </si>
  <si>
    <t>REVOLUCION</t>
  </si>
  <si>
    <t>FRANCISCO I. MADERO</t>
  </si>
  <si>
    <t>EMILIANO ZAPATA</t>
  </si>
  <si>
    <t>11 a 30 personas</t>
  </si>
  <si>
    <t>5 DE MAYO</t>
  </si>
  <si>
    <t>16 DE SEPTIEMBRE</t>
  </si>
  <si>
    <t>FELIPE ANGELES</t>
  </si>
  <si>
    <t>MIGUEL HIDALGO Y COSTILLA</t>
  </si>
  <si>
    <t>EJIDO</t>
  </si>
  <si>
    <t>DIAMANTES</t>
  </si>
  <si>
    <t>CORAL</t>
  </si>
  <si>
    <t>31 a 50 personas</t>
  </si>
  <si>
    <t>OTRO(ESPECIFIQUE)</t>
  </si>
  <si>
    <t>2023-11</t>
  </si>
  <si>
    <t>SIN REFERENCIA</t>
  </si>
  <si>
    <t>UNIDAD HABITACIONAL</t>
  </si>
  <si>
    <t>CLAVEL</t>
  </si>
  <si>
    <t>GIRASOL</t>
  </si>
  <si>
    <t>GERANIO</t>
  </si>
  <si>
    <t>CIRCUITO</t>
  </si>
  <si>
    <t>BENITO JUAREZ</t>
  </si>
  <si>
    <t>S/D</t>
  </si>
  <si>
    <t>PROFESOR EDMUNDO GAMEZ OROZCO</t>
  </si>
  <si>
    <t>PUEBLO</t>
  </si>
  <si>
    <t>FRACCIONAMIENTO</t>
  </si>
  <si>
    <t>INDEPENDENCIA</t>
  </si>
  <si>
    <t>EJERCITO NACIONAL</t>
  </si>
  <si>
    <t>LONDRES</t>
  </si>
  <si>
    <t>CARRETERA</t>
  </si>
  <si>
    <t>LOCALIDAD</t>
  </si>
  <si>
    <t>20 DE NOVIEMBRE</t>
  </si>
  <si>
    <t>LEONES</t>
  </si>
  <si>
    <t>TIGRES</t>
  </si>
  <si>
    <t>RIELEROS</t>
  </si>
  <si>
    <t>UVA</t>
  </si>
  <si>
    <t>GUAYABA</t>
  </si>
  <si>
    <t>HACIENDA DEL MEZQUITE</t>
  </si>
  <si>
    <t>HACIENDA DE LOS CAMPOS</t>
  </si>
  <si>
    <t>LOCALIDAD 800</t>
  </si>
  <si>
    <t>LEYES DE REFORMA</t>
  </si>
  <si>
    <t>LIBERTAD</t>
  </si>
  <si>
    <t>ADOLFO LOPEZ MATEOS</t>
  </si>
  <si>
    <t>PLAN DE AYALA</t>
  </si>
  <si>
    <t>2017-11</t>
  </si>
  <si>
    <t>51 a 100 personas</t>
  </si>
  <si>
    <t>HACIENDA DE MILPILLAS SUR</t>
  </si>
  <si>
    <t>LICENCIADO ADOLFO RUIZ CORTINES</t>
  </si>
  <si>
    <t>SAN JOSE</t>
  </si>
  <si>
    <t>GUADALUPE</t>
  </si>
  <si>
    <t>PROLONGACION</t>
  </si>
  <si>
    <t>CENTRO PONIENTE</t>
  </si>
  <si>
    <t>(ZUFO)- SAN FRANCISCO</t>
  </si>
  <si>
    <t>MARISCAL RAFAEL OROPEZA</t>
  </si>
  <si>
    <t>MARGARITA MAZA DE JUAREZ</t>
  </si>
  <si>
    <t>MARIANO ABAD MIRAMONTES</t>
  </si>
  <si>
    <t>SARGENTO LUCIANO PONCE</t>
  </si>
  <si>
    <t>CONVENCION</t>
  </si>
  <si>
    <t>DOCTOR MARIANO AZUELA</t>
  </si>
  <si>
    <t>BELISARIO DOMINGUEZ</t>
  </si>
  <si>
    <t>ANDADOR</t>
  </si>
  <si>
    <t>SARGENTO IGNACIO ADAME</t>
  </si>
  <si>
    <t>CANARIO</t>
  </si>
  <si>
    <t>BOULEVARD</t>
  </si>
  <si>
    <t>DOROTEO ARANGO</t>
  </si>
  <si>
    <t>AVESTRUZ</t>
  </si>
  <si>
    <t>FAISAN</t>
  </si>
  <si>
    <t>LICENCIADO LUIS CABRERA</t>
  </si>
  <si>
    <t>MAHATMA GANDHI</t>
  </si>
  <si>
    <t>AGUASCALIENTES SUR</t>
  </si>
  <si>
    <t>INGENIERO PASTOR ROUALX</t>
  </si>
  <si>
    <t>GENERAL FRANCISCO CARRERA TORRES</t>
  </si>
  <si>
    <t>GENERAL FORTUNATO MAYCOTTE</t>
  </si>
  <si>
    <t>INGENIERO CAMILO ARRIAGA</t>
  </si>
  <si>
    <t>ANDADOR DEL GORRION</t>
  </si>
  <si>
    <t>2011-03</t>
  </si>
  <si>
    <t>INSURGENTES</t>
  </si>
  <si>
    <t>ABRAHAM GONZALEZ</t>
  </si>
  <si>
    <t>ANDADOR DE LAS GAVIOTAS</t>
  </si>
  <si>
    <t>ROSAURA ZAPATA</t>
  </si>
  <si>
    <t>MARIANO N. RUIZ</t>
  </si>
  <si>
    <t>ESTANISLAO MEDINA</t>
  </si>
  <si>
    <t>GENERAL JULIAN MEDINA</t>
  </si>
  <si>
    <t>PROFESOR JOSE ANTONIO VELARDE</t>
  </si>
  <si>
    <t>JOSE CALVILLO</t>
  </si>
  <si>
    <t>GENERAL JUVENTINO ESPINOZA</t>
  </si>
  <si>
    <t>SANTA ROSA</t>
  </si>
  <si>
    <t>SIGLO XXI</t>
  </si>
  <si>
    <t>ANDADOR DE LA PALOMA</t>
  </si>
  <si>
    <t>AVENIDA DE LOS MAESTROS</t>
  </si>
  <si>
    <t>GENERAL LUIS MOYA</t>
  </si>
  <si>
    <t>CAPITAN GUSTAVO GARMENDIA</t>
  </si>
  <si>
    <t>GENERAL MACLOVIO HERRERA</t>
  </si>
  <si>
    <t>Semifijo</t>
  </si>
  <si>
    <t>ANDADOR DE LAS NUBES</t>
  </si>
  <si>
    <t>POCITOS</t>
  </si>
  <si>
    <t>MORELOS</t>
  </si>
  <si>
    <t>SAN FRANCISCO</t>
  </si>
  <si>
    <t>GENERAL PASCUAL CORNEJO BRUN</t>
  </si>
  <si>
    <t>EMILIO RABASA</t>
  </si>
  <si>
    <t>JOSEFA ORTIZ DE DOMINGUEZ</t>
  </si>
  <si>
    <t>ROSALIA MONROY</t>
  </si>
  <si>
    <t>BENITO MONTOYA</t>
  </si>
  <si>
    <t>MANUEL MARQUEZ STERLING</t>
  </si>
  <si>
    <t>ALTAGRACIA MERCADO</t>
  </si>
  <si>
    <t>MIGUEL RAMOS ARIZPE</t>
  </si>
  <si>
    <t>2021-11</t>
  </si>
  <si>
    <t>PROFESOR JOSE GUADALUPE PERALTA GAMEZ</t>
  </si>
  <si>
    <t>CERRADA</t>
  </si>
  <si>
    <t>MUJERES ILUSTRES</t>
  </si>
  <si>
    <t>RICARDO GARCIA MENDOZA</t>
  </si>
  <si>
    <t>SAN MARCOS</t>
  </si>
  <si>
    <t>AGUASCALIENTES PONIENTE</t>
  </si>
  <si>
    <t>HEROE DE NACOZARI NORTE</t>
  </si>
  <si>
    <t>CENTRO ORIENTE</t>
  </si>
  <si>
    <t>(ZUFO)-ARELLANO</t>
  </si>
  <si>
    <t>HVROE DE NACOZARI NORTE</t>
  </si>
  <si>
    <t>PROFESOR JOSE REYES MARTINEZ</t>
  </si>
  <si>
    <t>ALFREDO LEWIS</t>
  </si>
  <si>
    <t>GENERAL FRANCISCO VILLA</t>
  </si>
  <si>
    <t>MELQUIADES MORENO</t>
  </si>
  <si>
    <t>GENERAL IGNACIO ZARAGOZA</t>
  </si>
  <si>
    <t>SAUCE</t>
  </si>
  <si>
    <t>PETROLEOS MEXICANOS</t>
  </si>
  <si>
    <t>DOCTOR GERONIMO DE OROZCO</t>
  </si>
  <si>
    <t>GENERAL ENRIQUE ESTRADA</t>
  </si>
  <si>
    <t>AQUILES SERDAN</t>
  </si>
  <si>
    <t>MARINA NACIONAL</t>
  </si>
  <si>
    <t>GENERAL JOSE MARIA ARTEAGA</t>
  </si>
  <si>
    <t>ROBLE</t>
  </si>
  <si>
    <t>CONVENCION DE 1914 NORTE</t>
  </si>
  <si>
    <t>PETRELEOS MEXICANOS</t>
  </si>
  <si>
    <t>DOCTOR PEDRO DE ALBA</t>
  </si>
  <si>
    <t>CAMPECHE</t>
  </si>
  <si>
    <t>PUEBLITO</t>
  </si>
  <si>
    <t>NAVARRETE</t>
  </si>
  <si>
    <t>GUANAJUATO</t>
  </si>
  <si>
    <t>GENERAL EMILIANO ZAPATA</t>
  </si>
  <si>
    <t>TALAMANTES</t>
  </si>
  <si>
    <t>NARANJO</t>
  </si>
  <si>
    <t>MANOLO MARTINEZ</t>
  </si>
  <si>
    <t>26 DE MARZO</t>
  </si>
  <si>
    <t>AQUILES ELORDUY</t>
  </si>
  <si>
    <t>VERACRUZ</t>
  </si>
  <si>
    <t>RICARDO GARCIA</t>
  </si>
  <si>
    <t>CHABACANO</t>
  </si>
  <si>
    <t>LICENCIADO ADOLFO LOPEZ MATEOS PONIENTE</t>
  </si>
  <si>
    <t>CAPULIN</t>
  </si>
  <si>
    <t>PARIS</t>
  </si>
  <si>
    <t>C</t>
  </si>
  <si>
    <t>NAPOLES</t>
  </si>
  <si>
    <t>MAR CARIBE</t>
  </si>
  <si>
    <t>RIO BRAVO</t>
  </si>
  <si>
    <t>CARLOS SAGREDO</t>
  </si>
  <si>
    <t>FERROCARRIL</t>
  </si>
  <si>
    <t>ASIENTOS</t>
  </si>
  <si>
    <t>JOSE MARIA ELIZALDE</t>
  </si>
  <si>
    <t>MIGUEL RUELAS</t>
  </si>
  <si>
    <t>BENITO DIAZ</t>
  </si>
  <si>
    <t>PEATONAL</t>
  </si>
  <si>
    <t>RIO COLORADO</t>
  </si>
  <si>
    <t>POTRERO DEL LLANO</t>
  </si>
  <si>
    <t>SAN JUAN</t>
  </si>
  <si>
    <t>MAR DE GALILEA</t>
  </si>
  <si>
    <t>AURELIO GONZALEZ</t>
  </si>
  <si>
    <t>ARROYO</t>
  </si>
  <si>
    <t>QUINTANA ROO</t>
  </si>
  <si>
    <t>SAN CLEMENTE</t>
  </si>
  <si>
    <t>OAXACA</t>
  </si>
  <si>
    <t>ANTONIO NORZAGARAY</t>
  </si>
  <si>
    <t>FELIPE RUIZ DE CHAVEZ</t>
  </si>
  <si>
    <t>INSTITUTO DE EDUCACION DE AGUASCALIENTES</t>
  </si>
  <si>
    <t>TABASCO</t>
  </si>
  <si>
    <t>MANUEL  VILA CAMACHO</t>
  </si>
  <si>
    <t>TLAXCALA</t>
  </si>
  <si>
    <t>HOMBRES ILUSTRES</t>
  </si>
  <si>
    <t>RAFAEL ARELLANO</t>
  </si>
  <si>
    <t>GUILLERMO PRIETO</t>
  </si>
  <si>
    <t>FRANCISCO SARABIA</t>
  </si>
  <si>
    <t>FATIMA</t>
  </si>
  <si>
    <t>DOCTOR SALVADOR QUEZADA LIMON</t>
  </si>
  <si>
    <t>MIGUEL  NGEL</t>
  </si>
  <si>
    <t>RUBI</t>
  </si>
  <si>
    <t>(ZUFO)-AYUNTAMIENTO</t>
  </si>
  <si>
    <t>CONVENCION DE 1914 SUR</t>
  </si>
  <si>
    <t>PASEO JUAN DE TOLOSA</t>
  </si>
  <si>
    <t>CRISTOBAL COLON</t>
  </si>
  <si>
    <t>JARDIN DE ZARAGOZA</t>
  </si>
  <si>
    <t>AYUNTAMIENTO</t>
  </si>
  <si>
    <t>JARDEN DEL ENCINO</t>
  </si>
  <si>
    <t>ENRIQUE C. REBSAMEN</t>
  </si>
  <si>
    <t>CATALU</t>
  </si>
  <si>
    <t>ESPAEA</t>
  </si>
  <si>
    <t>IGNACIO T. CHAVEZ</t>
  </si>
  <si>
    <t>DALIAS</t>
  </si>
  <si>
    <t>CAMELIAS</t>
  </si>
  <si>
    <t>LAS AMERICAS</t>
  </si>
  <si>
    <t>GRANADA</t>
  </si>
  <si>
    <t>SORIA</t>
  </si>
  <si>
    <t>GILBERTO LOPEZ VELARDE</t>
  </si>
  <si>
    <t>ARAGON</t>
  </si>
  <si>
    <t>BURGOS</t>
  </si>
  <si>
    <t>REPUBLICA DE URUGUAY</t>
  </si>
  <si>
    <t>CLAMOS</t>
  </si>
  <si>
    <t>REPUBLICA DE COSTA RICA</t>
  </si>
  <si>
    <t>(ZUFO)-CENTRO</t>
  </si>
  <si>
    <t>MANUEL G. ESCOBEDO</t>
  </si>
  <si>
    <t>PEDRO PARGA</t>
  </si>
  <si>
    <t>LICENCIADO ADOLFO LOPEZ MATEOS ORIENTE</t>
  </si>
  <si>
    <t>MANUEL GOMEZ MORIN</t>
  </si>
  <si>
    <t>DIANA</t>
  </si>
  <si>
    <t>ALAMEDA</t>
  </si>
  <si>
    <t>MARTE</t>
  </si>
  <si>
    <t>DELICIAS</t>
  </si>
  <si>
    <t>ACUEDUCTO</t>
  </si>
  <si>
    <t>LA LUNA</t>
  </si>
  <si>
    <t>3 DE MAYO</t>
  </si>
  <si>
    <t>HEROICO COLEGIO MILITAR</t>
  </si>
  <si>
    <t>SIGLO XIX</t>
  </si>
  <si>
    <t>MARTIRES DEL RIO BLANCO</t>
  </si>
  <si>
    <t>EJLRCITO NACIONAL</t>
  </si>
  <si>
    <t>PASEO DE LA CRUZ</t>
  </si>
  <si>
    <t>SOLEDAD</t>
  </si>
  <si>
    <t>GONZALEZ SARACHO</t>
  </si>
  <si>
    <t>AGUST</t>
  </si>
  <si>
    <t>LICENCIADO FRANCISCO PRIMO VERDAD</t>
  </si>
  <si>
    <t>COSIO SUR</t>
  </si>
  <si>
    <t>GENERAL ILVARO OBREGGN</t>
  </si>
  <si>
    <t>MELCHOR OCAMPO 224</t>
  </si>
  <si>
    <t>TENIENTE JUAN DE LA BARRERA</t>
  </si>
  <si>
    <t>FERNANDO MONTES DE OCA</t>
  </si>
  <si>
    <t>GRANJENITO</t>
  </si>
  <si>
    <t>LICENCIADO ADOLFO LEPEZ MATEOS PONIENTE</t>
  </si>
  <si>
    <t>GENERAL RLVARO OBREGON</t>
  </si>
  <si>
    <t>PRIVADA CATALINA DE AYALA</t>
  </si>
  <si>
    <t>VALENTIN GOMEZ FARIAS</t>
  </si>
  <si>
    <t>RINCON</t>
  </si>
  <si>
    <t>GENERAL VICENTE GUERRERO SUR</t>
  </si>
  <si>
    <t>MARIANO MATAMOROS SUR</t>
  </si>
  <si>
    <t>JUAN DIEGO</t>
  </si>
  <si>
    <t>SANTA ANITA</t>
  </si>
  <si>
    <t>GUADALUPE PERALTA</t>
  </si>
  <si>
    <t>(ZUFO)-DON PASCUAL ORIENTE</t>
  </si>
  <si>
    <t>CATEDRATICOS</t>
  </si>
  <si>
    <t>SALUD</t>
  </si>
  <si>
    <t>POLIDUCTO</t>
  </si>
  <si>
    <t>JOSE TRINIDAD VELA SALAS</t>
  </si>
  <si>
    <t>SAN PEDRO</t>
  </si>
  <si>
    <t>RODOLFO LANDEROS GALLEGOS</t>
  </si>
  <si>
    <t>CALIXTO SERNA VALDIVIA</t>
  </si>
  <si>
    <t>URBANISMO</t>
  </si>
  <si>
    <t>PRECERES DE LA ENSEIANZA</t>
  </si>
  <si>
    <t>MAESTRO ISMAEL RODRIGUEZ NEGRETE</t>
  </si>
  <si>
    <t>SANTIAGO</t>
  </si>
  <si>
    <t>VISTAS DE ORIENTE</t>
  </si>
  <si>
    <t>PROCERES DE LA ENSEIANZA</t>
  </si>
  <si>
    <t>CABUYA</t>
  </si>
  <si>
    <t>FRACCION</t>
  </si>
  <si>
    <t>TRABAJO</t>
  </si>
  <si>
    <t>OJOCALIENTE</t>
  </si>
  <si>
    <t>EL MOCHO</t>
  </si>
  <si>
    <t>LA BARRANCA</t>
  </si>
  <si>
    <t>EDUCACION</t>
  </si>
  <si>
    <t>VILLAS</t>
  </si>
  <si>
    <t>CULTURA TARAHUMARA</t>
  </si>
  <si>
    <t>GUADALUPANO</t>
  </si>
  <si>
    <t>(ZUFO)-DON PASCUAL PONIENTE</t>
  </si>
  <si>
    <t>POZO BRAVO</t>
  </si>
  <si>
    <t>SALVADOR NOVO</t>
  </si>
  <si>
    <t>EL GIGANTE</t>
  </si>
  <si>
    <t>EL PICACHO</t>
  </si>
  <si>
    <t>CUATRO MILPAS</t>
  </si>
  <si>
    <t>CARLOS FUENTES MARES</t>
  </si>
  <si>
    <t>FRIDA KALHO</t>
  </si>
  <si>
    <t>VICENTE ROJO</t>
  </si>
  <si>
    <t>PEDRO CORONEL</t>
  </si>
  <si>
    <t>MARIA GUADALUPE RUIZ DE CHAVEZ PINALES</t>
  </si>
  <si>
    <t>ESFUERZO NACIONAL</t>
  </si>
  <si>
    <t>JUANA DE ASBAJE</t>
  </si>
  <si>
    <t>LUIS COLOMA</t>
  </si>
  <si>
    <t>SIERRA DE LAS GARZAS</t>
  </si>
  <si>
    <t>CUMBRES DE MIAHUATLAN</t>
  </si>
  <si>
    <t>PASCUAL CORNEJO</t>
  </si>
  <si>
    <t>AMPARO DE LA TORRE</t>
  </si>
  <si>
    <t>PAZ ROMO DE VIVAR</t>
  </si>
  <si>
    <t>AVENIDA PARQUE VIA ORIENTE</t>
  </si>
  <si>
    <t>DAVID ALFARO SIQUEIROS</t>
  </si>
  <si>
    <t>HOMERO</t>
  </si>
  <si>
    <t>CAMPOS ELISEOS</t>
  </si>
  <si>
    <t>AND.FUENTE DEL JARDIN</t>
  </si>
  <si>
    <t>FRAY LUIS DE LEON</t>
  </si>
  <si>
    <t>LA LOMA</t>
  </si>
  <si>
    <t>LAS FRAGUAS</t>
  </si>
  <si>
    <t>MATIAS SAUCEDO</t>
  </si>
  <si>
    <t>GOBERNANTES</t>
  </si>
  <si>
    <t>HEROE MILITAR</t>
  </si>
  <si>
    <t>MIGUEL INGEL BARBERENA VEGA</t>
  </si>
  <si>
    <t>PASTORES</t>
  </si>
  <si>
    <t>VISTA HERMOSA</t>
  </si>
  <si>
    <t>SEGURIDAD SOCIAL</t>
  </si>
  <si>
    <t>RETORNO</t>
  </si>
  <si>
    <t>(ZUFO)-EL CEDAZO</t>
  </si>
  <si>
    <t>CASA BLANCA</t>
  </si>
  <si>
    <t>COAHUILA</t>
  </si>
  <si>
    <t>PLAZA NAYARIT</t>
  </si>
  <si>
    <t>JESUS YUREM</t>
  </si>
  <si>
    <t>CHIHUAHUA</t>
  </si>
  <si>
    <t>AVENIDA DE LOS PENSADORES</t>
  </si>
  <si>
    <t>AVENIDA DE LOS FUNDADORES</t>
  </si>
  <si>
    <t>AVENIDA DE LAS PALMAS</t>
  </si>
  <si>
    <t>ALMENDRO</t>
  </si>
  <si>
    <t>30 DE SEPTIEMBRE</t>
  </si>
  <si>
    <t>22 DE DICIEMBRE</t>
  </si>
  <si>
    <t>CONGRESO DE CHILPANCINGO</t>
  </si>
  <si>
    <t>MARIANO HIDALGO</t>
  </si>
  <si>
    <t>30 DE JULIO</t>
  </si>
  <si>
    <t>SITIO DE CUAUTLA</t>
  </si>
  <si>
    <t>MAXICO LIBRE</t>
  </si>
  <si>
    <t>ARTILLERO MIER</t>
  </si>
  <si>
    <t>ARQUEROS</t>
  </si>
  <si>
    <t>MEXICO LIBRE</t>
  </si>
  <si>
    <t>CAUDILLOS</t>
  </si>
  <si>
    <t>VIVERO DE LA HACIENDA</t>
  </si>
  <si>
    <t>LIRA</t>
  </si>
  <si>
    <t>CASIOPEA</t>
  </si>
  <si>
    <t>UXMAL</t>
  </si>
  <si>
    <t>HERMANOS GALEANA</t>
  </si>
  <si>
    <t>MARIANO JIMENEZ</t>
  </si>
  <si>
    <t>SOL</t>
  </si>
  <si>
    <t>ANTARES</t>
  </si>
  <si>
    <t>GENERAL PLUTARCO ELIAS CALLES</t>
  </si>
  <si>
    <t>GENERAL RODOLFO SANCHEZ TABOADA</t>
  </si>
  <si>
    <t>BONAMPAK</t>
  </si>
  <si>
    <t>YAXCHILAN</t>
  </si>
  <si>
    <t>PASEO DEL CERRITO</t>
  </si>
  <si>
    <t>PASEO DEL CEDAZO</t>
  </si>
  <si>
    <t>PASEO DE LA HACIENDA</t>
  </si>
  <si>
    <t>LOYOLA ESCOBEDO</t>
  </si>
  <si>
    <t>MUNGUIA</t>
  </si>
  <si>
    <t>LIBRA</t>
  </si>
  <si>
    <t>VIVERO HONDO</t>
  </si>
  <si>
    <t>ACUARIO</t>
  </si>
  <si>
    <t>CANCER</t>
  </si>
  <si>
    <t>DENEB</t>
  </si>
  <si>
    <t>GEMINIS</t>
  </si>
  <si>
    <t>(ZUFO)-FERROCARRIL</t>
  </si>
  <si>
    <t>NICOLO PAGANINI</t>
  </si>
  <si>
    <t>FRANZ SCHUBERT</t>
  </si>
  <si>
    <t>WOLFGANG AMADEUS MOZART</t>
  </si>
  <si>
    <t>ARTICULO 27</t>
  </si>
  <si>
    <t>ARTLCULO 27</t>
  </si>
  <si>
    <t>ARTICULO 23</t>
  </si>
  <si>
    <t>ARTICULO 35</t>
  </si>
  <si>
    <t>ARTICULO 12</t>
  </si>
  <si>
    <t>ARTICULO 14</t>
  </si>
  <si>
    <t>ARTLCULO 21</t>
  </si>
  <si>
    <t>G</t>
  </si>
  <si>
    <t>H</t>
  </si>
  <si>
    <t>PAULINO N. MARTI</t>
  </si>
  <si>
    <t>PARRAS</t>
  </si>
  <si>
    <t>GENERAL SAMUEL M. DE LOS SANTOS</t>
  </si>
  <si>
    <t>CAPRICORNIO</t>
  </si>
  <si>
    <t>FELIPE PESCADOR</t>
  </si>
  <si>
    <t>ANTONIO OROZCO</t>
  </si>
  <si>
    <t>ARTICULO 52</t>
  </si>
  <si>
    <t>TAMARINDO</t>
  </si>
  <si>
    <t>GENERAL PANFILO NATERA</t>
  </si>
  <si>
    <t>GRITO DE LA LIBERTAD</t>
  </si>
  <si>
    <t>ARTICULO 31</t>
  </si>
  <si>
    <t>PARQUE VIA</t>
  </si>
  <si>
    <t>NAZARIO ORTIZ GARZA</t>
  </si>
  <si>
    <t>AGUASCALIENTES</t>
  </si>
  <si>
    <t>MIGUEL DE CERVANTES SAAVEDRA</t>
  </si>
  <si>
    <t>BENITEZ CARRASCO</t>
  </si>
  <si>
    <t>(ZUFO)-INDUSTRIAL</t>
  </si>
  <si>
    <t>AVENIDA ADOLFO LOPEZ MATEOS</t>
  </si>
  <si>
    <t>AVENIDA DE LAS PRESAS</t>
  </si>
  <si>
    <t>DOMINGO VELASCO</t>
  </si>
  <si>
    <t>VALLE DE LOS ROMERO</t>
  </si>
  <si>
    <t>(ZUFO)-LA HACIENDA</t>
  </si>
  <si>
    <t>VALLE DE LOS ROMEROS</t>
  </si>
  <si>
    <t>RODRIGO RINCON GALLARDO</t>
  </si>
  <si>
    <t>GERONIMO DE LA CUEVA</t>
  </si>
  <si>
    <t>GASPAR DE LA FUENTE</t>
  </si>
  <si>
    <t>FEDERICO MENDEZ</t>
  </si>
  <si>
    <t>JUAN G. ALVARADO</t>
  </si>
  <si>
    <t>JOSE E. FEMAT GUTIERREZ</t>
  </si>
  <si>
    <t>FERNAN GONZALEZ DE ESLAVA</t>
  </si>
  <si>
    <t>TENIENTE CORONEL ROBERTO JEFKINS RANGEL</t>
  </si>
  <si>
    <t>DOCTOR FRANCISCO GUEL JIMENEZ</t>
  </si>
  <si>
    <t>FRANCISCO ARMENGOL</t>
  </si>
  <si>
    <t>LICENCIADO FRANCISCO RAMIREZ MARTINEZ</t>
  </si>
  <si>
    <t>CELIA MARIA MARTINEZ</t>
  </si>
  <si>
    <t>ADALBERTO SANTACRUZ</t>
  </si>
  <si>
    <t>JOSE MORAN RUIZ</t>
  </si>
  <si>
    <t>CELIA MARDA MARTUNEZ</t>
  </si>
  <si>
    <t>(ZUFO)-LOS PARGA</t>
  </si>
  <si>
    <t>PALMA ABANICO</t>
  </si>
  <si>
    <t>PALMA MEXICANA</t>
  </si>
  <si>
    <t>IXTLAHUATL</t>
  </si>
  <si>
    <t>LOBELIA</t>
  </si>
  <si>
    <t>DIAGONAL ALFIL</t>
  </si>
  <si>
    <t>AMALIA GOMEZ ZEPEDA</t>
  </si>
  <si>
    <t>VOCEADORES</t>
  </si>
  <si>
    <t>CALLE DE LA TORRE</t>
  </si>
  <si>
    <t>AVENIDA DEL REY</t>
  </si>
  <si>
    <t>HACIENDA DE OJOCALIENTE</t>
  </si>
  <si>
    <t>HACIENDA LAS AMARILLAS</t>
  </si>
  <si>
    <t>(ZUFO)-OJOCALIENTE</t>
  </si>
  <si>
    <t>HACIENDA SAN JOSE DE GUADALUPE</t>
  </si>
  <si>
    <t>HACIENDA MILPILLAS</t>
  </si>
  <si>
    <t>HACIENDA EL MEZQUITE</t>
  </si>
  <si>
    <t>LA MANZANA</t>
  </si>
  <si>
    <t>JUANA DE ARCO</t>
  </si>
  <si>
    <t>LOMA DE LA PLATA</t>
  </si>
  <si>
    <t>CALLE DE LA INFANTERIA</t>
  </si>
  <si>
    <t>PALO ALTO</t>
  </si>
  <si>
    <t>PELUELAS</t>
  </si>
  <si>
    <t>ALTEA</t>
  </si>
  <si>
    <t>LA CARPA</t>
  </si>
  <si>
    <t>CIENEGUILLAS</t>
  </si>
  <si>
    <t>FORMADORES</t>
  </si>
  <si>
    <t>LAS CUMBRES</t>
  </si>
  <si>
    <t>XIUHNEL</t>
  </si>
  <si>
    <t>MARRUBIO</t>
  </si>
  <si>
    <t>MIGUEL HIDALGO</t>
  </si>
  <si>
    <t>LEONARDO MURIALDO</t>
  </si>
  <si>
    <t>EL TERREMOTO</t>
  </si>
  <si>
    <t>PASCUAL ORTIZ RUBIO</t>
  </si>
  <si>
    <t>SAN FRANCISCO DE LOS ROMO</t>
  </si>
  <si>
    <t>EUGENIO GARZA SADA</t>
  </si>
  <si>
    <t>(ZUFO)-SAN PEDRO NORTE</t>
  </si>
  <si>
    <t>TEPATITLAN</t>
  </si>
  <si>
    <t>YAHUALICA</t>
  </si>
  <si>
    <t>TLAQUEPAQUE</t>
  </si>
  <si>
    <t>JALISCO</t>
  </si>
  <si>
    <t>(ZUFO)-SAN PEDRO SUR</t>
  </si>
  <si>
    <t>JUAN PABLO II</t>
  </si>
  <si>
    <t>FRANCISCO INDALECIO MADERO</t>
  </si>
  <si>
    <t>1857</t>
  </si>
  <si>
    <t>ARTICULO NUMERO 3</t>
  </si>
  <si>
    <t>1917</t>
  </si>
  <si>
    <t>ADOLFO RUIZ CORTINES</t>
  </si>
  <si>
    <t>SAN JUAN DE LOS LAGOS</t>
  </si>
  <si>
    <t>TEPEZALA</t>
  </si>
  <si>
    <t>SAN MIGUEL EL ALTO</t>
  </si>
  <si>
    <t>SAN JULIAN</t>
  </si>
  <si>
    <t>(ZUFO)-UNIVERSIDAD</t>
  </si>
  <si>
    <t>MONTE EVEREST</t>
  </si>
  <si>
    <t>SILOS</t>
  </si>
  <si>
    <t>POTREROS</t>
  </si>
  <si>
    <t>VALLE DE GUADALUPE</t>
  </si>
  <si>
    <t>LAGOS DE MORENO</t>
  </si>
  <si>
    <t>7</t>
  </si>
  <si>
    <t>PRESA SANDOVALES</t>
  </si>
  <si>
    <t>MARCOS CORONADO</t>
  </si>
  <si>
    <t>CERRO DE LA BUFA</t>
  </si>
  <si>
    <t>JESUS DELGADO</t>
  </si>
  <si>
    <t>SANTA MONICA</t>
  </si>
  <si>
    <t>PROLONGACION LIBERTAD</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</si>
  <si>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</si>
  <si>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</si>
  <si>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</si>
  <si>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</si>
  <si>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</si>
  <si>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</si>
  <si>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</si>
  <si>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</si>
  <si>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</si>
  <si>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</si>
  <si>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</si>
  <si>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</si>
  <si>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JOSEFA ORTIZ DE DOM</t>
  </si>
  <si>
    <t>AZALEA</t>
  </si>
  <si>
    <t>EMILIO RANGEL</t>
  </si>
  <si>
    <t>CALLEJON</t>
  </si>
  <si>
    <t>LA VEGAS</t>
  </si>
  <si>
    <t>NUEVA YORK</t>
  </si>
  <si>
    <t>OBELISCO</t>
  </si>
  <si>
    <t>PARAISO</t>
  </si>
  <si>
    <t>FLOR DE AMAPOLA</t>
  </si>
  <si>
    <t>FLOR DE MARIA (NOGALES)</t>
  </si>
  <si>
    <t>NORIA DEL CARMEN</t>
  </si>
  <si>
    <t>NORIA DE BAMBILETE</t>
  </si>
  <si>
    <t>NORIA DEL BROCAL</t>
  </si>
  <si>
    <t>NORIA BLANCA</t>
  </si>
  <si>
    <t>ANDADOR DEL BUHO</t>
  </si>
  <si>
    <t>SERAPIO RENDGN</t>
  </si>
  <si>
    <t>PEDASCO</t>
  </si>
  <si>
    <t>ANDADOR DEL RAYO</t>
  </si>
  <si>
    <t>JOSL MAR A GONZNLEZ BOCANEGRA</t>
  </si>
  <si>
    <t>VEREDA</t>
  </si>
  <si>
    <t>BELISARIO DOMMNGUEZ</t>
  </si>
  <si>
    <t>GENERAL JULION MEDINA</t>
  </si>
  <si>
    <t>LOS POCITOS</t>
  </si>
  <si>
    <t>SALTILLO</t>
  </si>
  <si>
    <t>E</t>
  </si>
  <si>
    <t>PNGEL GARCIA</t>
  </si>
  <si>
    <t>INEGI</t>
  </si>
  <si>
    <t>MANUEL CARPIO</t>
  </si>
  <si>
    <t>JOSE MARIA AVILA</t>
  </si>
  <si>
    <t>RAO NILO</t>
  </si>
  <si>
    <t>RUBL</t>
  </si>
  <si>
    <t>VALLE NACIONAL</t>
  </si>
  <si>
    <t>GUSTAVO A. QUINTERO</t>
  </si>
  <si>
    <t>FEDERICO GARCIA LORCA</t>
  </si>
  <si>
    <t>PASEO DE LA ASUNCION NORTE</t>
  </si>
  <si>
    <t>JESUS SOTELO INCLAN</t>
  </si>
  <si>
    <t>ARQUIMEDES CABALLERO</t>
  </si>
  <si>
    <t>REPLBLICA DOMINICANA</t>
  </si>
  <si>
    <t>JOSL ACEVES DIAZ DE SANDI</t>
  </si>
  <si>
    <t>SAO PAULO</t>
  </si>
  <si>
    <t>CHICHEN ITZA</t>
  </si>
  <si>
    <t>HOSTAL DE LAS CAMELINAS</t>
  </si>
  <si>
    <t>BUGAMBILIAS</t>
  </si>
  <si>
    <t>CATARINO ARREOLA</t>
  </si>
  <si>
    <t>INGENIERO L. RAMIREZ</t>
  </si>
  <si>
    <t>FRANCISCO MARQUEZ</t>
  </si>
  <si>
    <t>GARITA DE ZACATECAS</t>
  </si>
  <si>
    <t>MANUEL MADRIGAL</t>
  </si>
  <si>
    <t>CERRADA DE OCAMPO</t>
  </si>
  <si>
    <t>SERVANDO CANALES</t>
  </si>
  <si>
    <t>JARDIN DE GUADALUPE ORIENTE</t>
  </si>
  <si>
    <t>LICENCIADO ADOLFO LOPEZ MATEOS</t>
  </si>
  <si>
    <t>ARQUITECTO CARLOS AGUILERA VILLEGAS</t>
  </si>
  <si>
    <t>MAESTRO FERNANDO VILLALPANDO</t>
  </si>
  <si>
    <t>MAESTRO JUAN ARELLANO</t>
  </si>
  <si>
    <t>MAPOCHO</t>
  </si>
  <si>
    <t>SAN JUDAS</t>
  </si>
  <si>
    <t>LECHUGUILLA</t>
  </si>
  <si>
    <t>SANTIAGO 203</t>
  </si>
  <si>
    <t>CLARIN</t>
  </si>
  <si>
    <t>CULTURA OLMECA</t>
  </si>
  <si>
    <t>LOMA DE LAS CALANDRIAS</t>
  </si>
  <si>
    <t>CULTURA CHALCA</t>
  </si>
  <si>
    <t>CULTURA TARASCA</t>
  </si>
  <si>
    <t>CULTURA MAYA 232</t>
  </si>
  <si>
    <t>A E A</t>
  </si>
  <si>
    <t>CULTURA XOCHIMILCA</t>
  </si>
  <si>
    <t>TRIGO</t>
  </si>
  <si>
    <t>LOS ARBOLITOS</t>
  </si>
  <si>
    <t>AURORA ESPINOZA REYES</t>
  </si>
  <si>
    <t>MARIA LUISA MIER</t>
  </si>
  <si>
    <t>SIERRA IXTLAN</t>
  </si>
  <si>
    <t>GUTIERRE DE CETINA</t>
  </si>
  <si>
    <t>DIEGO RIVERA</t>
  </si>
  <si>
    <t>CHARCO AZUL</t>
  </si>
  <si>
    <t>EL ZARCO</t>
  </si>
  <si>
    <t>DERECHOS HUMANOS</t>
  </si>
  <si>
    <t>19 DE OCTUBRE</t>
  </si>
  <si>
    <t>MARIA ELENA TORRES E.</t>
  </si>
  <si>
    <t>PAULA DE J. JIMENEZ DE YAmEZ</t>
  </si>
  <si>
    <t>MARLA LUISA MIER</t>
  </si>
  <si>
    <t>ANTONIO GISBERT</t>
  </si>
  <si>
    <t>FEDERALISMO</t>
  </si>
  <si>
    <t>JOSE MARIA BOCANEGRA</t>
  </si>
  <si>
    <t>PLAZA MICHOAC</t>
  </si>
  <si>
    <t>POPOCATEPETL</t>
  </si>
  <si>
    <t>VIVERO TENOCHTITLAN</t>
  </si>
  <si>
    <t>ESTRELLA</t>
  </si>
  <si>
    <t>MIZAR</t>
  </si>
  <si>
    <t>MUNGU</t>
  </si>
  <si>
    <t>PASEO DE LAS TORRES PONIENTE</t>
  </si>
  <si>
    <t>CONSTELACION</t>
  </si>
  <si>
    <t>PRIMER UXMAL</t>
  </si>
  <si>
    <t>LAZARO MALDONADO DEL RIO</t>
  </si>
  <si>
    <t>24 DE DICIEMBRE</t>
  </si>
  <si>
    <t>B. AZUL DE LANDEROS</t>
  </si>
  <si>
    <t>CIRCUITO DE LOS ALMARCIGOS</t>
  </si>
  <si>
    <t>CIRCUITO DE LA CAVA</t>
  </si>
  <si>
    <t>CIRCUITO DE LA RECOLECCION</t>
  </si>
  <si>
    <t>DESTILER A</t>
  </si>
  <si>
    <t>FRUTALES</t>
  </si>
  <si>
    <t>TOMAS PINEIRA</t>
  </si>
  <si>
    <t>MOSCATEL</t>
  </si>
  <si>
    <t>POZO DE LA CRUZ</t>
  </si>
  <si>
    <t>LAGO AZUL</t>
  </si>
  <si>
    <t>CONSTITUCI2N</t>
  </si>
  <si>
    <t>ANDRES LOPEZ</t>
  </si>
  <si>
    <t>ARROYO SECO</t>
  </si>
  <si>
    <t>JESLS REYES</t>
  </si>
  <si>
    <t>SALVADOR DOAZ</t>
  </si>
  <si>
    <t>ATANASIO RODRRGUEZ</t>
  </si>
  <si>
    <t>MARTIN PESCADOR</t>
  </si>
  <si>
    <t>ELIAS DE LARA</t>
  </si>
  <si>
    <t>DOCTOR FRANCISCO GUEL JIMJNEZ</t>
  </si>
  <si>
    <t>LICENCIADO FRANCISCO RAM REZ MARTRNEZ</t>
  </si>
  <si>
    <t>VILLA DEL RIO</t>
  </si>
  <si>
    <t>FRANCISCO ANTONIO MORENO ESCANDON</t>
  </si>
  <si>
    <t>GRAL. ANTONIO ROSALES FLORES</t>
  </si>
  <si>
    <t>SEBASTIAN DE LARA</t>
  </si>
  <si>
    <t>JESLS GARCAA CORONA</t>
  </si>
  <si>
    <t>JESLS HERNANDEZ DNAZ</t>
  </si>
  <si>
    <t>PALMA DATILERA</t>
  </si>
  <si>
    <t>HACIENDA EL SOYATAL</t>
  </si>
  <si>
    <t>HACIENDA LOS CUARTOS</t>
  </si>
  <si>
    <t>LOMA AMBAR</t>
  </si>
  <si>
    <t>CALLE DEL ALFIL NEGRO</t>
  </si>
  <si>
    <t>LOMA HUASTECA</t>
  </si>
  <si>
    <t>LAS NORIAS</t>
  </si>
  <si>
    <t>ADOLFO DE LA HUERTA</t>
  </si>
  <si>
    <t>MARIANO ARISTA</t>
  </si>
  <si>
    <t>BALCONES DE OJOCALIENTE SUR</t>
  </si>
  <si>
    <t>BALCONES DEL NORTE</t>
  </si>
  <si>
    <t>POTRERILLO</t>
  </si>
  <si>
    <t>XOLOTL</t>
  </si>
  <si>
    <t>C-2</t>
  </si>
  <si>
    <t>VILLAS DE LA ASUNCILN</t>
  </si>
  <si>
    <t>BALCONES DEL PONIENTE</t>
  </si>
  <si>
    <t>LUNA</t>
  </si>
  <si>
    <t>ARTLCULO NUMERO 123</t>
  </si>
  <si>
    <t>PASEO DEL PORVENIR</t>
  </si>
  <si>
    <t>Silos</t>
  </si>
  <si>
    <t>PRIVADA DEL POZO</t>
  </si>
  <si>
    <t>PRESA DEL JOCOQUI</t>
  </si>
  <si>
    <t>LA PEDA</t>
  </si>
  <si>
    <t>CERRO DEL LAUREL</t>
  </si>
  <si>
    <t>Trapiche</t>
  </si>
  <si>
    <t>Potreros</t>
  </si>
  <si>
    <t>GOBIERNO</t>
  </si>
  <si>
    <t>PUBLICO</t>
  </si>
  <si>
    <t>CAÑADA HONDA</t>
  </si>
  <si>
    <t>(REFOM)-CAÑADA</t>
  </si>
  <si>
    <t>(REFOM)-PEÑUELAS</t>
  </si>
  <si>
    <t>PEÑUELAS</t>
  </si>
  <si>
    <t>GOBIERNO DEL ESTADO</t>
  </si>
  <si>
    <t>ESCUELA PRIMARIA LICENCIADO PRIMO VERDAD TURNO VESPERTINO</t>
  </si>
  <si>
    <t>81DPR0464@IEA.EDU.MX</t>
  </si>
  <si>
    <t>ESCUELA PRIMARIA LICENCIADO PRIMO VERDAD TURNO MATUTINO</t>
  </si>
  <si>
    <t>ESCUELA PRIMARIA FEDERICO ENGELS TURNO MATUTINO</t>
  </si>
  <si>
    <t>I E A</t>
  </si>
  <si>
    <t>IEA INSTITUTO DE EDUCACION DE AGUASCALIENTES</t>
  </si>
  <si>
    <t>ESCUELA PRIMARIA JOSE MA MORELOS Y PAVON</t>
  </si>
  <si>
    <t>ESCUELA PRIMARIA HEROES DE LA INDEPENDENCIA TV</t>
  </si>
  <si>
    <t>ESCUELA PRIMARIA HEROES DE LA INDEPENDENCIA TM</t>
  </si>
  <si>
    <t>PRIMARIA EMILIO RANGEL CLAVE 01DPR0167C</t>
  </si>
  <si>
    <t>INSTITUTO DEL ESTADO DE AGUASCALIENTES</t>
  </si>
  <si>
    <t>PRIMARIA FRANCISCO I MADERO</t>
  </si>
  <si>
    <t>WWW.IEA.EDU.COM</t>
  </si>
  <si>
    <t>01DPR0244R@IEA.EDU.MX</t>
  </si>
  <si>
    <t>ESCUELA PRIMARIA MARTIN TRIANA</t>
  </si>
  <si>
    <t>05009I@IEA.EDU.MX</t>
  </si>
  <si>
    <t>WWW.IEA.GOB.MX</t>
  </si>
  <si>
    <t>PRIMARIA SALVADOR NOVO</t>
  </si>
  <si>
    <t>IEA</t>
  </si>
  <si>
    <t>ESCUELA PRIMARIA JOSE T VELAS SALAS</t>
  </si>
  <si>
    <t>ESCUELA PRIMARIA OCTAVIO PAZ</t>
  </si>
  <si>
    <t>01DPR0711V@IEA.EDU.MX</t>
  </si>
  <si>
    <t>ESCUELA PRIMARIA CRISTOBAL COLON</t>
  </si>
  <si>
    <t>ESCUELA PRIMARIA HERMENEJILDO GALEANA</t>
  </si>
  <si>
    <t>01DPR0594W@IEA.GOB.MX</t>
  </si>
  <si>
    <t>ESCUELA PRIMARIA FERMIN BECERRA</t>
  </si>
  <si>
    <t>01DPR0377H@IEA.EDU.MX</t>
  </si>
  <si>
    <t>WWW.IEA.GOB</t>
  </si>
  <si>
    <t>ESCUELA PRIMARIA JUAN DE LA BARRERA</t>
  </si>
  <si>
    <t>ESCUELA FERNANDO MONTES DE OCA</t>
  </si>
  <si>
    <t>INSTITUTO DE EDUCACION DE AGUSCALIENTES</t>
  </si>
  <si>
    <t>01DPR0119T@IEA.EDU.MX</t>
  </si>
  <si>
    <t>ESCUELA PRIMARIA MARTIN LUIS GUZMAN TURNO MATUTINO</t>
  </si>
  <si>
    <t>ESCUELA PRIMARIA CARMEN SERDAN TURNO MATUTINO</t>
  </si>
  <si>
    <t>ESCUELA PRIMARIA JUAN ESCUTIA TV</t>
  </si>
  <si>
    <t>01DPR0552X@IEA.EDU.MX</t>
  </si>
  <si>
    <t>ESCUELA PRIMARIA NI0OS HEROES</t>
  </si>
  <si>
    <t>01DPR0635F@IEA.EDU.MX</t>
  </si>
  <si>
    <t>ESCUELA PRIMARIA JUAN ESCUTIA TM</t>
  </si>
  <si>
    <t>01DPR0551Y@IEA.EDU.MX</t>
  </si>
  <si>
    <t>ESCUELA PRIMARIA VICENTE SUAREZ</t>
  </si>
  <si>
    <t>ESCUELA PRIMARIA FRANCISCO MARQUEZ</t>
  </si>
  <si>
    <t>01DPR0576G@IEA.EDU.MX</t>
  </si>
  <si>
    <t>ESCUELA PRIMARIA QUETZALCOATL</t>
  </si>
  <si>
    <t>ESCUELA PRIMARIA AGUSTIN MELGAR TURNO MATUTINO</t>
  </si>
  <si>
    <t>ESCUELA PRIMARIA AGUSTIN MELGAR TURNO VESPERTINO</t>
  </si>
  <si>
    <t>ESCUELA PRIMARIA ANTONIO GUTIERREZ SOLA TM</t>
  </si>
  <si>
    <t>ESCUELA PRIMARIA DERECHOS HUMANOS DE JORNADA AMPLIADA</t>
  </si>
  <si>
    <t>ESCUELA PRIMARIA FORD 115</t>
  </si>
  <si>
    <t>INSTITUTO DE EDUCACION DE AGUASCALIENETES</t>
  </si>
  <si>
    <t>FORD115@HOTMAIL.COM</t>
  </si>
  <si>
    <t>ESCUELA PRIMARIA CARMEN MARTIN DEL CAMPO</t>
  </si>
  <si>
    <t>ESCUELA PRIMARIA ENRIQUE GARCIA GALLEGOS</t>
  </si>
  <si>
    <t>01DPR0574I@IEA.EDU.MX</t>
  </si>
  <si>
    <t>ESCUELA PRIMARIA RAFAEL RAMIREZ UGARTE</t>
  </si>
  <si>
    <t>01DPR0557S@IEA.EDU.MX</t>
  </si>
  <si>
    <t>ESCUELA PRIMARIA ISIDRO CASTILLO P REZ</t>
  </si>
  <si>
    <t>01DPR0561E@IEA.EDU.MX</t>
  </si>
  <si>
    <t>ESCUELA PRIMARIA RAFAEL ARELLANO IEA</t>
  </si>
  <si>
    <t>01DPR0356UV@IEA.EDU.MX</t>
  </si>
  <si>
    <t>ESCUELA PRIMARIA CARLOS A CARRILLO IEA</t>
  </si>
  <si>
    <t>01DPR0458S@IEA.EDU.MX</t>
  </si>
  <si>
    <t>ESCUELA PRIMARIA FEDERAL PROFESORA ROSA TRILLO LOPEZ</t>
  </si>
  <si>
    <t>ESCUELA FEDERAL</t>
  </si>
  <si>
    <t>01DPR0354X@IEA.EDU.MX</t>
  </si>
  <si>
    <t>WWW.IEA.EDU.MX</t>
  </si>
  <si>
    <t>ESCUELA PRIMARIA DR PEDRO DE ALBA</t>
  </si>
  <si>
    <t>ESCUELA PRIMARIA LIC JOAQUIN CRUZ RAMIREZ</t>
  </si>
  <si>
    <t>01DPR@IEA.EDU.MX</t>
  </si>
  <si>
    <t>ESCUELA PRIMARIA INDEPENDENCIA</t>
  </si>
  <si>
    <t>ESCUELA PRIMARIA ENRIQUE C REBSAMEN</t>
  </si>
  <si>
    <t>01DPR0282U@IEA.EDU.MX</t>
  </si>
  <si>
    <t>ESCUELA PRIMARIA IGNACIO RAMIREZ</t>
  </si>
  <si>
    <t>E.PRIMARIAIGNACIORAMIREZ@HOTMAIL.COM</t>
  </si>
  <si>
    <t>PRIMARIA REFORMA</t>
  </si>
  <si>
    <t>01DPR03522Z</t>
  </si>
  <si>
    <t>LOHR37@YAHOO.ES</t>
  </si>
  <si>
    <t>ESCUELA PRIMARIA PEDRO GARCIA ROJAS</t>
  </si>
  <si>
    <t>01DPR373L@IEA.EDU.MX</t>
  </si>
  <si>
    <t>ESCUELA PRIMARIA EDMUNDO GAMES OROZCO</t>
  </si>
  <si>
    <t>ESCUELA PRIMARIA JOS0 MAR0A IGLESIAS</t>
  </si>
  <si>
    <t>ESCUELA PRIMARIA PROFESOR JOSt SANTOS VALDEZ GARCIA</t>
  </si>
  <si>
    <t>INSTITUTO DE EDUCACION DEL ESTADO DE AGUASCALIENTES</t>
  </si>
  <si>
    <t>GUILLERMO_CALVILLO@HOTMAIL.COM</t>
  </si>
  <si>
    <t>ESCUELA PRIMARIA FEDERAL JESUS REYES HEROLES TURNO MATUTINO</t>
  </si>
  <si>
    <t>PRIMARIA JOSE GUADALUPE POSADA</t>
  </si>
  <si>
    <t>GERARDO.LOPEZE@IEA.EDU.MX</t>
  </si>
  <si>
    <t>ESCUELA PRIMARIA CLUB DE LEONES 1</t>
  </si>
  <si>
    <t>PRIMARIA CLUB DE LEONES 1</t>
  </si>
  <si>
    <t>ESCUELA PRIMARIA FEDERAL JOSE MARIA CHAVEZ</t>
  </si>
  <si>
    <t>01DPR0361G@IEA.EDU.MX</t>
  </si>
  <si>
    <t>ESCUELA PRIMARIA DAVID G BERLANGA</t>
  </si>
  <si>
    <t>ESCUELA PRIMARIA PRESIDENTES DE MEXICO</t>
  </si>
  <si>
    <t>ESCUELA PRIMARIA FEDERAL MARGARITA MAZA DE JUAREZ</t>
  </si>
  <si>
    <t>01DPR0131O@IEA.EDU.MX</t>
  </si>
  <si>
    <t>PRIMARIA MARISTA</t>
  </si>
  <si>
    <t>PRIMARIA MARISTA AC</t>
  </si>
  <si>
    <t>COLEGIOMARISTA@PRODIGY.NET</t>
  </si>
  <si>
    <t>WWW.PRIMARIAMARISTAAGUASCALIENTES.EDU.COM</t>
  </si>
  <si>
    <t>COMUNIDAD EDUCATIVA ASUNCION</t>
  </si>
  <si>
    <t>COMUNIDAD EDUCATIVA ASUNCION AC</t>
  </si>
  <si>
    <t>RITALOPEZ@TERRA.COM.MX</t>
  </si>
  <si>
    <t>FEDERICO GARCSA LORCA</t>
  </si>
  <si>
    <t>ESCUELA PRIMARIA JARDINES DE AGUASCALIENTES MATUTINO</t>
  </si>
  <si>
    <t>ESCUELA PRIMARIA JARDINES DE AGUASCALIENTES IEA</t>
  </si>
  <si>
    <t>01DPR0154Z@IEA.EDU.MX</t>
  </si>
  <si>
    <t>ESCUELA PRIMARIA JARDINES DE AGUASCALIENTES TURNO VESPERTINO</t>
  </si>
  <si>
    <t>ESCUELA PRIMARIA JARDINES DE AUASCALIENTES TURNO VESPERTINO</t>
  </si>
  <si>
    <t>INSTITUTO DE EDUCACION DE AGUASCALIENTES TURNO MATUTINO</t>
  </si>
  <si>
    <t>ESCUELA MAGISTERIO NACIONAL TURNO VESPERTINO</t>
  </si>
  <si>
    <t>JESLS SOTELO INCLEN</t>
  </si>
  <si>
    <t>ESCUELA MAGISTERIO NACIONAL TURNO MATUTINO</t>
  </si>
  <si>
    <t>ESCUELA INGENIERO JESUS MARIA RODRIGUEZ</t>
  </si>
  <si>
    <t>ESCUELA PRIMARIA DR FRANCISCO GUEL JIMENEZ</t>
  </si>
  <si>
    <t>ESCUELA PRIMARIA LIC EZEQUIEL A CHAVEZ TURNO VESPERTINO</t>
  </si>
  <si>
    <t>ESCUELA PRIMARIA JOSE MARIA MORELOS JORNADA AMPLIADA</t>
  </si>
  <si>
    <t>ESCUELA PRIMARIA BENEMERITO DE LAS AMERICAS CCT 01DPR0159U</t>
  </si>
  <si>
    <t>BENEMERITOAMERICAS04@GMAIL.COM</t>
  </si>
  <si>
    <t>ESCUELA PRIMARIA MONSERRAT MORENO</t>
  </si>
  <si>
    <t>01DPR0651X@IEA.EDU.MX</t>
  </si>
  <si>
    <t>INSTITUTO PSICOPEDAGOGIA INFANTIL AUSUBEL</t>
  </si>
  <si>
    <t>CLARAGRACIELA1@OUTLOKK.COM</t>
  </si>
  <si>
    <t>ESCUELAS DE EDUCACI0N PRIMARIA DEL SECTOR P BLICO</t>
  </si>
  <si>
    <t>ESCUELA.JVC@GMAIL.COM</t>
  </si>
  <si>
    <t>ESCUELA PRIMARIA FRAY BARTOLOM  DE LAS CASAS</t>
  </si>
  <si>
    <t>ESCUELA PRIMARIA LIC JESUS TERAN DE JORNADA AMPLIADA</t>
  </si>
  <si>
    <t>01DPR0351Z@IEA.EDU.MX</t>
  </si>
  <si>
    <t>ESCUELA PRIMARIA DEL FUTBOL</t>
  </si>
  <si>
    <t>01DPR0672J@IEA.EDU.MX</t>
  </si>
  <si>
    <t>ESCUELA PRIMARIA MANUEL FERNANDEZ</t>
  </si>
  <si>
    <t>01DPR0378G@IEA.EDU.MX</t>
  </si>
  <si>
    <t>01DPR0376I@IEA.EDU.MX</t>
  </si>
  <si>
    <t>ESCUELA PRIMARIA LICENCIADO ADOLFO LOPEZ MATEOS</t>
  </si>
  <si>
    <t>01DPR0276J@IEA.EDU.MX</t>
  </si>
  <si>
    <t>ESCUELA PRIMARIA FEDERAL MANUEL CARPIO</t>
  </si>
  <si>
    <t>01DPR0535G@IEEA.COM.MX</t>
  </si>
  <si>
    <t>ESCUELA PRIMARIA MELCHOR OCAMPO</t>
  </si>
  <si>
    <t>LUZ_SANTA65@HOTMAIL.COM</t>
  </si>
  <si>
    <t>ESCUELA PRIMARIA MELQUIADES MORENO</t>
  </si>
  <si>
    <t>01DPR0374@IEA.EDU.MX</t>
  </si>
  <si>
    <t>ESCUELA LIC FRANCISCO PRIMO VERDAD</t>
  </si>
  <si>
    <t>FRAPRIVE@HOTMAILCOM.MX</t>
  </si>
  <si>
    <t>ESCUELA FRANCISCO DE RIVERO Y GUTIERREZ</t>
  </si>
  <si>
    <t>RIVERO5A2014@GMAIL.COM</t>
  </si>
  <si>
    <t>ESCUELA PRIMARIA FRANCISCO ZARCO</t>
  </si>
  <si>
    <t>SECRETARIA DE EDUCACION PUBLICA</t>
  </si>
  <si>
    <t>COLEGIO NICOLAS BRAVO</t>
  </si>
  <si>
    <t>ESCUELA NICOLAS BRAVO DE AGUASCALIENTES AC</t>
  </si>
  <si>
    <t>SERVICIO@COLEGIONICOLASBRAVO.EDU.MX</t>
  </si>
  <si>
    <t>INSTITUTO JUAN PABLO SEGUNDO</t>
  </si>
  <si>
    <t>SEDESSAPIENTIAECOLEGIO@YAHOO.COM</t>
  </si>
  <si>
    <t>ESCUELA PRIMARIA PENSADOR MEXICANO</t>
  </si>
  <si>
    <t>ESCUELA PRIMARIA 21 DE AGOSTO TURNO MATUTINO</t>
  </si>
  <si>
    <t>ESCUELA GENERAL PEREZ TREVI8O</t>
  </si>
  <si>
    <t>ESCUELA VALENTIN GOMEZ FARIAS TURNO MATUTINO</t>
  </si>
  <si>
    <t>ESCUELA PRIMARIA DOCTOR JESUS DIAZ DE LEON</t>
  </si>
  <si>
    <t>01DPR0360H@IEA.EDU.MX</t>
  </si>
  <si>
    <t>ESCUELA J JES1S GOMEZ PORTUGAL</t>
  </si>
  <si>
    <t>ESCUELA PRIMARIA J JESUS GOMEZ PORTUGAL</t>
  </si>
  <si>
    <t>INSTITUTO DE EDUCACION DE AGUASCALIENTES IEA</t>
  </si>
  <si>
    <t>SALVADOR RAMLREZ MARTNN DEL CAMPO</t>
  </si>
  <si>
    <t>ESCUELA PRIMARIA ANTONIO TORRES REYES</t>
  </si>
  <si>
    <t>ESCUELA PRIMARIA ISIDRO SALAZAR MORALES TURNO VESPERTINO</t>
  </si>
  <si>
    <t>ESCUELA PRIMARIA ISIDRO SALAZAR MORALES TURNO MATUTINO</t>
  </si>
  <si>
    <t>ISIDROSALAZARM13@HOTMAIL.COM</t>
  </si>
  <si>
    <t>ESCUELA PRIMARIA ANTONIO LANDIN RODRIGUEZ T MATUTINO</t>
  </si>
  <si>
    <t>MARIA LUISA CASTADEDA DE LOPEZ VELARDE</t>
  </si>
  <si>
    <t>01DPR0667Y@IEA.EDU.MX</t>
  </si>
  <si>
    <t>ESCUELA PRIMARIA ANTONIO LANDIN RODRIGUEZ, TURNO VESPERTINO</t>
  </si>
  <si>
    <t>MARLA LUISA CASTADEDA DE LOPEZ VELARDE</t>
  </si>
  <si>
    <t>01DPR0674H@IEA.EDU.MX</t>
  </si>
  <si>
    <t>ESCUELA PRIMARIA MARTA E GALLARDO TOPETE TM</t>
  </si>
  <si>
    <t>INSTITUTO DE EDUCACION PRIMARIA DESIDERIO MACIAS SILVA TURNO MATUTINO</t>
  </si>
  <si>
    <t>JOSV DE JESCS BERNAL DLAZ</t>
  </si>
  <si>
    <t>01DPR0731I@IEA.EDU.MX</t>
  </si>
  <si>
    <t>ESCUELA PRIMARIA DESIDERIO MACIAS SILVA TURNO VESPERTINO</t>
  </si>
  <si>
    <t>ESCUELA PRIMARIA RUBEN REINA MACIAS</t>
  </si>
  <si>
    <t>SECRETARIA DE EDUCACION PIBLICA SEP</t>
  </si>
  <si>
    <t>ESCUELA PRIMARIA RUB0N REYNA MAC AS</t>
  </si>
  <si>
    <t>RRM0705K@GMAIL.COM</t>
  </si>
  <si>
    <t>ESCUELA PRIMARIA JOSE REFUGIO ESPARZA REYES TV</t>
  </si>
  <si>
    <t>PRIMARIA JOSE REFUGIO ESPARZA REYES</t>
  </si>
  <si>
    <t>ESCUELA PRIMARIA ALEJANDRO TOPETE DEL VALLE T V</t>
  </si>
  <si>
    <t>ESCUELA PRIMARIA ALEJANDRO TOPETE DEL VALLE T M</t>
  </si>
  <si>
    <t>ESCUELA PRIMARIA RUBEN REYNA MACIAS TURNO VESPERTINO SECTOR PUBLICO</t>
  </si>
  <si>
    <t>LOMA DE LAS CALANDRIAS 105</t>
  </si>
  <si>
    <t>CULTURA CHALCA 105</t>
  </si>
  <si>
    <t>ESCUELA PRIMARIA RUBER REYNA MACIAS SECTOR PUBLICO TURNO MATUTINO</t>
  </si>
  <si>
    <t>ESCUELA PRIMARIA SOLIDARIDAD SECTOR PUBLICO TURNO MATUTINO</t>
  </si>
  <si>
    <t>01DPR0638C@IEA.EDU.MX</t>
  </si>
  <si>
    <t>ESCUELA PRIMARIA DIEGO RIVERA TURNO VESPERTINO</t>
  </si>
  <si>
    <t>ESCUELA PRIMARIA DIEGO RIVERA TURNO MATUTINO</t>
  </si>
  <si>
    <t>ESCUELA PRIMARIA CUAHUTEMOC II TURNO MATUTINO</t>
  </si>
  <si>
    <t>ESCUELA PRIMARIA CUAUHTEMOC I TURNO MATUTINO</t>
  </si>
  <si>
    <t>ESCUELA PRIMARIA CUAUHTEMOC II TURNO VESPERTINO</t>
  </si>
  <si>
    <t>ESCUELA PRIMARIA JOSE GUADALUPE NAGUERA CLAVE 01DPR0530L TV</t>
  </si>
  <si>
    <t>ESCUELA PIRIMARIA EL NI0O ARTILLERO</t>
  </si>
  <si>
    <t>VICENTE LOMBARDO TOLEDANO TURNO VESPERTINO</t>
  </si>
  <si>
    <t>01DPR0649I@IEA.EDU.MX</t>
  </si>
  <si>
    <t>ESCUELA PRIMARIA VICENTE LOMBARDO TOLEDANO TURNO MATUTINO</t>
  </si>
  <si>
    <t>ESCUELA PRIMARIA INGENIERO LUIS ORTEGA DOUGLAS</t>
  </si>
  <si>
    <t>01DPR0531K@IEA.EDU.MX</t>
  </si>
  <si>
    <t>ESCUELA PRIMARIA OTTO GRANADOS ROLDAN TURNO MATUTINO</t>
  </si>
  <si>
    <t>ESCUELA PRIMARIA J REFUGIO NIETO BERMcDEZ</t>
  </si>
  <si>
    <t>NIETOBERMUDEZ@GMAIL.COM</t>
  </si>
  <si>
    <t>ESCUELA PRIMARIA ALFONSO REYES</t>
  </si>
  <si>
    <t>01DPR0033N@IEA.EDU.MX</t>
  </si>
  <si>
    <t>DAVID.TELLEZ@IEA.EDU.COM</t>
  </si>
  <si>
    <t>ESCUELA PRIMARIA EDUARDO J CORREA TIEMPO COMPLETO</t>
  </si>
  <si>
    <t>01DPR0047Q@IEA.EDU.MX</t>
  </si>
  <si>
    <t>JOSE F ELIZONDO TM</t>
  </si>
  <si>
    <t>ESCUELA PRIMARIA JOSE F ELIZONDO TV</t>
  </si>
  <si>
    <t>ESCUELA PRIMARIA RUFINO TAMAYO TURNO MATUTINO</t>
  </si>
  <si>
    <t>ESCUELA RUFINO TAMAYO TURNO VESPERTINO</t>
  </si>
  <si>
    <t>ASOCIACION AGUASCALENTENSE PARA LA EDUCACION Y LA CULTURA AC</t>
  </si>
  <si>
    <t>COLEGIO TIERRA NUEVA AC</t>
  </si>
  <si>
    <t>HENRY WALSON KINDER Y PRIMARIA</t>
  </si>
  <si>
    <t>ALIANZA AVANZADA DE ESTUDIOS ELEMENTALES SC</t>
  </si>
  <si>
    <t>H-WALSON@HOTMAIL.COM</t>
  </si>
  <si>
    <t>WWW.COLEGIOHENRYWALSON.COM.MX</t>
  </si>
  <si>
    <t>COLEGIO ESPA0A</t>
  </si>
  <si>
    <t>COLEGIO.ESPANA@HOTMAIL.COM</t>
  </si>
  <si>
    <t>ESCUELA PRIMARIA EJERCITO NACIONAL TM</t>
  </si>
  <si>
    <t>ESCUELA PRIMARIA ALBERTO J PANI</t>
  </si>
  <si>
    <t>ESCUELA PRIMARIA JOSE LANDEROS GUTIERREZ</t>
  </si>
  <si>
    <t>AGUSTNN OROLA</t>
  </si>
  <si>
    <t>ESCUELA PRIMARIA 15 DE SEPTIEMBRE TURNO MATUTINO</t>
  </si>
  <si>
    <t>01DPR0005R@IEA.EDU.MX</t>
  </si>
  <si>
    <t>ESCUELA PRIMARIA 15 DE SEPTIEMBRE VESPERTINO</t>
  </si>
  <si>
    <t>01DPR0010C@IEA.EDU.MX</t>
  </si>
  <si>
    <t>ESCUELA PRIMARIA JOS0 L PEDROZA</t>
  </si>
  <si>
    <t>ESCUELA HEROE DE NACOZARI</t>
  </si>
  <si>
    <t>01DPR0490A@IEA.EDU.MX</t>
  </si>
  <si>
    <t>ESCUELA PRIMARIA CARITINO MALDONADO</t>
  </si>
  <si>
    <t>ESCUELA PRIMARIA LUIS FELIPE OBREGON</t>
  </si>
  <si>
    <t>01DPR0568Y@IEA.EDU.MX</t>
  </si>
  <si>
    <t>ESCUELA PRIMARIA J GUADALUPE PERALTA GAMEZ T MATUTINO</t>
  </si>
  <si>
    <t>ESCUELA PRIMARIA J GUADALUPE PERALTA GAMEZ TURNO MATUTINO</t>
  </si>
  <si>
    <t>ESCUELA PRIMARIA MARIANO JIMENEZ TURNO VESPERTINO</t>
  </si>
  <si>
    <t>01DPR0061J@IEA.EDU.MX</t>
  </si>
  <si>
    <t>ESCUELA PRIMARIA MARIANO JIMENEZ TURNO MATUTINO</t>
  </si>
  <si>
    <t>01DPR0647Q@IEA.EDU.MX</t>
  </si>
  <si>
    <t>ESCUELA PRIMARIA SIGLO XXI TM</t>
  </si>
  <si>
    <t>ESCUELA PRIMARIA SIGLO XXI TV</t>
  </si>
  <si>
    <t>SIGLO21_23G@HOTMAIL.COM</t>
  </si>
  <si>
    <t>ESCUELA ELOISA BARBOZA CHAVEZ TM</t>
  </si>
  <si>
    <t>INSTITUTO DE EDUCACION IEA</t>
  </si>
  <si>
    <t>OIDPOOO9@IEA.EDU.MX</t>
  </si>
  <si>
    <t>ESCUELA PRIMARIA FRANCISCO DE QUEVEDO Y VILLEGAS</t>
  </si>
  <si>
    <t>ESCUELA PRIMARIA GABRIEL FERNANDEZ LEDESMA</t>
  </si>
  <si>
    <t>ESCUELA PRIMARIA GABRIEL FERNANDEZ LEDEZMA</t>
  </si>
  <si>
    <t>ESCUELA PRIMARIA ROSARIO CASTELLANOS</t>
  </si>
  <si>
    <t>ESCUELA PRIMARIA TENOCHTITLAN TURNO VESPERTINO</t>
  </si>
  <si>
    <t>ESCUELA PRIMARIA TENOCHTITLAN TURNO MATUTINO</t>
  </si>
  <si>
    <t>01BPR00132@IEA.EDU.MX</t>
  </si>
  <si>
    <t>ESCUELA PRIMARIA J GUADALUPE N JERA</t>
  </si>
  <si>
    <t>ESCUELA PRIMARIA PUBLICA GABRIEL RAMOS MILLAN</t>
  </si>
  <si>
    <t>ESCUELA PRIMARIA CUITLAHUAC TURNO MATUTINO</t>
  </si>
  <si>
    <t>ESCUELA PRIMARIA CUITLAHUAC TURNO VESPERTINO</t>
  </si>
  <si>
    <t>ESCUELA PRIMARIA GABRIEL RAMOS MILLAN</t>
  </si>
  <si>
    <t>ESCUELA PRIMARIA ALFONSO ESPARZA OTEO</t>
  </si>
  <si>
    <t>SEBASTIAN BACH</t>
  </si>
  <si>
    <t>01DNR0517R@IEA.EDU.GOB</t>
  </si>
  <si>
    <t>ESCUELA PRIMARIA LICENCIADO LUIS CABRERA</t>
  </si>
  <si>
    <t>ESCUELA PRIMARIA MAURICIO MAGDALENO 01DPR0534H</t>
  </si>
  <si>
    <t>ESCUELA PRIMARIA MAURICIO MAGDALENO TV 01BPR0560F</t>
  </si>
  <si>
    <t>ESCUELA PRIMARIA FORD 57</t>
  </si>
  <si>
    <t>01DPR0436G@IEA.EDU.MX</t>
  </si>
  <si>
    <t>ESCUELA PRIMARIA EL CENTAURO DEL NORTE</t>
  </si>
  <si>
    <t>01DPR0604M@IEA.EDU.MX</t>
  </si>
  <si>
    <t>ESCUELA PRIMARIA SATURNINO HERRAN TURNO MATUTINO CLAVE 01DPRO6321</t>
  </si>
  <si>
    <t>ESCUELA PRIMARIA CARLOS PELLICER</t>
  </si>
  <si>
    <t>01DPR0071Q@IEA.EDU.MX</t>
  </si>
  <si>
    <t>ESCUELA PRIMARIA PLAN DE IGUALA TV</t>
  </si>
  <si>
    <t>01DPR0087IEA.MX</t>
  </si>
  <si>
    <t>ESCUELA PRIMARIA PLAN DE IGUALA TM</t>
  </si>
  <si>
    <t>01DPR0086SIEA.EDU.MX</t>
  </si>
  <si>
    <t>ESCUELA PRIMARIA FELIPE ANGELES TM</t>
  </si>
  <si>
    <t>ESCUELA PRIMARIA ELVIA CARRILLO PUERTO TURNO VESPERTINO</t>
  </si>
  <si>
    <t>01DPR070025Y@IEA.EDU.MX</t>
  </si>
  <si>
    <t>ESCUELA PRIMARIA JOSEFA ORTIZ DE DOMINGUEZ TURNO MATUTINO</t>
  </si>
  <si>
    <t>01DPR0723Z@IEA.EDU.MX</t>
  </si>
  <si>
    <t>ESCUELA PRIMARIA BELISARIO DOMINGUEZ</t>
  </si>
  <si>
    <t>ESCUELA PRIMARIA GENERAL FRANCISCO VILLA</t>
  </si>
  <si>
    <t>GRAL.FRANCISCOVILLA0204@GMAIL.COM</t>
  </si>
  <si>
    <t>PRIMARIA MA CONCEPCION MALDONADO</t>
  </si>
  <si>
    <t>01DPR0569X@IEA.EDU.MX</t>
  </si>
  <si>
    <t>ESCUELA EZEQUIEL A CHAVEZ</t>
  </si>
  <si>
    <t>01DPR155Y@IEA.EDU.MX</t>
  </si>
  <si>
    <t>ESCUELA PRIMARIA NI1OS HEROES ESCUELA DE HORARIO AMPLIADO</t>
  </si>
  <si>
    <t>ESCUELA PRIMARIA ENRIQUE ESTRADA TURNO VESPERTINO</t>
  </si>
  <si>
    <t>ESCUELA PRIMARIA GENERAL ENRIQUE ESTRADA TURNO MATUTINO</t>
  </si>
  <si>
    <t>01DPR0350A@IEA.EDU.MX</t>
  </si>
  <si>
    <t>ESCUELA PRIMARIA RAFAEL FRANCISCO AGUILAR LOMELI</t>
  </si>
  <si>
    <t>HACIENDA SANTORAL 109</t>
  </si>
  <si>
    <t>WWW.IEA.EDU.GOB.MX</t>
  </si>
  <si>
    <t>PRIMARIA RAFAEL FRANCISCO AGUILAR LOMELI TURNO MATUTINO</t>
  </si>
  <si>
    <t>ESCUELA PRIMARIA ANTONIO ARIAS BERNAL</t>
  </si>
  <si>
    <t>01DPR0042V@GMAIL.IEA.EDU.MX</t>
  </si>
  <si>
    <t>ESCUELA PRIMARIA JOSE JESUS GONZALEZ RIVAS TURNO MATUTINO CLAVE 01DPR0728V</t>
  </si>
  <si>
    <t>ESCUELAS DE EDUCACI0N PRIMARIA DEL SECTOR PCBLICO</t>
  </si>
  <si>
    <t>INSTITUTO DEEDUCACION DE AGUASCALIENTES</t>
  </si>
  <si>
    <t>JOSL MOR N RURZ</t>
  </si>
  <si>
    <t>ESCUELA PRIMARIA RAQUEL CELESTINO SALAZAR</t>
  </si>
  <si>
    <t>IEA GOBIERNO</t>
  </si>
  <si>
    <t>ERMITA DE SAN SEBASTILN</t>
  </si>
  <si>
    <t>ESCUELA PRIMARIA RAQUEL CELESTINO SALAZAR TURNO VESPERTINO</t>
  </si>
  <si>
    <t>ESCUELA PRIMARIA SEMBLANZA NACIONAL 01DPR0669W</t>
  </si>
  <si>
    <t>ISAAC DE LA PEaA</t>
  </si>
  <si>
    <t>ESCUELA PRIMARIA JUAN H RAMIREZ MARTIN DEL CAMPO 01DPR0670L</t>
  </si>
  <si>
    <t>01DPR0670L@IEA.EDU.MX</t>
  </si>
  <si>
    <t>ESCUELA PRIMARIA JACINTO CANEK</t>
  </si>
  <si>
    <t>MARLIN PESCADOR</t>
  </si>
  <si>
    <t>CAPITANA</t>
  </si>
  <si>
    <t>ESCUELA PRIMARIA JACINTO CANEK T V CLAVE 01DPR0737C</t>
  </si>
  <si>
    <t>INSTITUTO DE EDUCACION DEL ESTADO DE AGUASCLIENTES</t>
  </si>
  <si>
    <t>SE ENCUENTRA DENTRO DEL FRACCIONAMIENTO</t>
  </si>
  <si>
    <t>PRIMARIA HEROES MEXICANOS TRNO MATUTINO SECTOR PUBLICO</t>
  </si>
  <si>
    <t>PRIMARIA 1 DE MAYO TURNO VESPERTINO</t>
  </si>
  <si>
    <t>ESCUELA HEROES MEXICANOS TURNO VESPERTINO SECTOR PUBLICO</t>
  </si>
  <si>
    <t>PRIMARIA 1 DE MAYO TURNO MATUTINO</t>
  </si>
  <si>
    <t>ESCUELA PRIMARIA JUANA DE ASBAJE TURNO VESPERTINO 01DPR070O</t>
  </si>
  <si>
    <t>ESCUELA PRIMARIA 2010 CENTENARIO DE LA REVOLUCION MEXICANA CLAVE 01DPR0698R TURNO VESTPERTINO</t>
  </si>
  <si>
    <t>ESCUELA PRIMARIA JUANA DE ASBAJE TURNO MATUTINO 01DPR0685N</t>
  </si>
  <si>
    <t>2010 BICENTENARIO DE LA INDEPENDENCIA DE MEXICO CLAVE 01DPR0697S TURNO MATUTINO ESCUELA PRIMARIA</t>
  </si>
  <si>
    <t>ESCUELA PRIMARIA SIMBOLOS PATRIOS TURNO VESPERTINO 01DPR0689J</t>
  </si>
  <si>
    <t>01DPR0689J@IEA.EDU.MX</t>
  </si>
  <si>
    <t>ESCUELA PRIMARIA SIMBOLOS PATRIOS TURNO MATUTINO CLAVE01DPR0686M</t>
  </si>
  <si>
    <t>01DPR0686M@IEA.EDU.MX</t>
  </si>
  <si>
    <t>ESC PRIM MARIA ELENA CABRAL MEDINA</t>
  </si>
  <si>
    <t>ESCUELA PRIMARIA ISMAEL COLLAZO GARCIA</t>
  </si>
  <si>
    <t>01DPR070N@IEA.AGS.MX</t>
  </si>
  <si>
    <t>ESCUELA PRIMARIA ISMAEL COLLAZO GARCIA TURNO MATUTINO</t>
  </si>
  <si>
    <t>01DPR0687L@IEA.EDU.MX</t>
  </si>
  <si>
    <t>ESCUELA PRIMARIA JOSE ISABEL RODRIGUEZ MONTOYA</t>
  </si>
  <si>
    <t>MARIA ISABEL R. MONTOYA</t>
  </si>
  <si>
    <t>ANPUNK@HOTMAIL.ES</t>
  </si>
  <si>
    <t>ESCUELA PRIMARIA FUNDADORES MEXICANOS TURNO MATUTINO</t>
  </si>
  <si>
    <t>ESCUELA PRIMARIA FUNDADORES MEXICANOS T VESPERTINO</t>
  </si>
  <si>
    <t>CLDPR00920@IEA.EDU.MX</t>
  </si>
  <si>
    <t>ESCUELA PRIMARIA URBANA HACIENDA PABELLcN DE HIDALGO TURNO VESPERTINO</t>
  </si>
  <si>
    <t>PRIMARIAHACIENDADEPABELLON@HOTMAIL.COM</t>
  </si>
  <si>
    <t>ESCUELA PRIMARIA URBANA HACIENDA DE PABELLON DE HIDALGO TURNO MATUTINO01DPR0094A</t>
  </si>
  <si>
    <t>COLEGIO TIERRA NUEVA</t>
  </si>
  <si>
    <t>MARAAGUILAR@COLEGIOTIERRANUEA.EDU.MX</t>
  </si>
  <si>
    <t>ESCUELA PRIMARIA RAMON G BONFIL T M</t>
  </si>
  <si>
    <t>ESCUELA PRIMARIA RAMON G BONFIL TURNO VESPERTINO</t>
  </si>
  <si>
    <t>ESCUELA PRIMARIA TEMACHTIANI TURNO MATUTINO</t>
  </si>
  <si>
    <t>ESCUELA PRIMARIA TEMACHTIANI TURNO VESPERTINO</t>
  </si>
  <si>
    <t>TEMACHTIANIVESP@GMAIL.COM</t>
  </si>
  <si>
    <t>MARIA CURIE TURNO MATUTINO</t>
  </si>
  <si>
    <t>ADPR0090C@IEA.EDU.MX</t>
  </si>
  <si>
    <t>MARIA CURIE TURNO VESPERTINO</t>
  </si>
  <si>
    <t>CIDPRCO91D@IEA.EDU.MX</t>
  </si>
  <si>
    <t>ESTACION CAsADA</t>
  </si>
  <si>
    <t>ESCUELA PRIMARIA MOCTEZUMA</t>
  </si>
  <si>
    <t>PRIMARIAMOCTEZUMA655T@GMAIL.COM</t>
  </si>
  <si>
    <t>EMILIANO ZAPATA TURNO VESPERTINO</t>
  </si>
  <si>
    <t>EMILIANO ZAPATA TURNO MATUTINO</t>
  </si>
  <si>
    <t>ESCUELA PRIMARIA MIGUEL ANGEL BARBERENA VEGA TURNO VESPERTINO</t>
  </si>
  <si>
    <t>INSTITUTO DE EDUCACION DE AGUASCAIENTES</t>
  </si>
  <si>
    <t>ESCUELA PRIMARIA AZTLAN</t>
  </si>
  <si>
    <t>ESCUELA PRIMARIA TIERRA SOLIDARIA TURNO DESPERTINO 01DPR0028B</t>
  </si>
  <si>
    <t>ESCUELA PRIMARIA TIERRA SOLIDARIA TURNO MATUTINO</t>
  </si>
  <si>
    <t>ESCUELA PRIMARIA TERESA ARTEAGA DE FLORES MAGON</t>
  </si>
  <si>
    <t>01DPR0682Q@IEA.EDI.MX</t>
  </si>
  <si>
    <t>01DPR0117V@IEA.EDU.MX</t>
  </si>
  <si>
    <t>ESCUELA PRIMARIA HUMBERTO RAMIREZ DsAZ TURNO VESPERTINO</t>
  </si>
  <si>
    <t>ESCUELA PRIMARIA HUMBERTO RAMIREZ DIAZ TURNO MATUTINO</t>
  </si>
  <si>
    <t>ESCUELA HEROE DE GRANADITAS T V</t>
  </si>
  <si>
    <t>PRIMARIA HEROE DE GRANADITAS T M</t>
  </si>
  <si>
    <t>ESCUELA PRIMARIA JUAN RULFO</t>
  </si>
  <si>
    <t>ANDREITARPLM@YAHOO.COM.MX</t>
  </si>
  <si>
    <t>01BPR0032OIEA.COM.MX</t>
  </si>
  <si>
    <t>ESCUELA PRIMARIA JUAN RULFO TURNO VESPERTINO</t>
  </si>
  <si>
    <t>01BPR0038I@IEA.EDU.MX</t>
  </si>
  <si>
    <t>ESCUELA P2BLICA PRIMARIA MARIO AGUILERA DORANTES</t>
  </si>
  <si>
    <t>ESCUELA PUBLICA DEL GOBIERNO DEL ESTADO DE AGUASCALIENTES</t>
  </si>
  <si>
    <t>ESCUELA PRIMARIA PUBLICA RODOLFO LANDEROS TURNO VESPERTINO</t>
  </si>
  <si>
    <t>ESCUELA LUIS REGALADO CECENIA</t>
  </si>
  <si>
    <t>01DPR0616R@IEA.EDU.MX</t>
  </si>
  <si>
    <t>ESCUELA PRIMARIA ANADAC NISSAN N 8 CLAVE 01DPR0100V</t>
  </si>
  <si>
    <t>01DPR0100V@IEA.EDU.MX</t>
  </si>
  <si>
    <t>ESCUELA PRIMARIA ANDANAC NISSAN N 8 TV 01DPR01035</t>
  </si>
  <si>
    <t>01DPRO1035@IEA.EDU.MX</t>
  </si>
  <si>
    <t>PRIMARIA JESUS MARIA ROMO ROMOCLAVE 01DPR0646L TURNO VESPERTINO</t>
  </si>
  <si>
    <t>ESCUELAS DE EDUCACI0N PRIMARIA DEL SECTOR PlBLICO</t>
  </si>
  <si>
    <t>ESCUELA PRIMARIA CONVENCION DE AGUASCALIENTES</t>
  </si>
  <si>
    <t>01DPR0659P@IEA.EDU.MX</t>
  </si>
  <si>
    <t>ESCUELA PRIMARIA CONVENCI0N DE AGUASCALIENTES TM</t>
  </si>
  <si>
    <t>01DPR0067D@IEA.EDU.MX</t>
  </si>
  <si>
    <t>ESCUELA A2O INTERNACIONAL DEL NISO</t>
  </si>
  <si>
    <t>INSTITUTO DE EDUCACION PUBLICA Y SECRETARIA DE EDUCACION PUBLICA</t>
  </si>
  <si>
    <t>ESCUELA PRIMARIA VICENTE GUERRERO</t>
  </si>
  <si>
    <t>SADILO64@HOTMAIL.COM</t>
  </si>
  <si>
    <t>CENTRO EDUCATIVO STEINER INICIATIVA WALDORF AC</t>
  </si>
  <si>
    <t>CERRADA DEL CIRCUITO ORIENTE</t>
  </si>
  <si>
    <t>COMUNIDAD EDUCATIVA LOS OLIVOS</t>
  </si>
  <si>
    <t>AVENIDA PASEO DEL PORVENIR</t>
  </si>
  <si>
    <t>ESCUELA PRIMARIA PROFESOR EDMUNDO GAMEZ OROZCO</t>
  </si>
  <si>
    <t>PRIMARIAEGOAGS@YAHOO.COM</t>
  </si>
  <si>
    <t>ESCUELA PRIMARIA DOCTOR JAIME TORRES BODET</t>
  </si>
  <si>
    <t>DPRO494X@IEA.EDU.MX</t>
  </si>
  <si>
    <t>ESCUELA PRIMARIA BENITO JUAREZ</t>
  </si>
  <si>
    <t>ESCUELA PRIMARIA JEAN PIAGET TV</t>
  </si>
  <si>
    <t>FJAVIERVQUEZADA@GMAIL.COM</t>
  </si>
  <si>
    <t>ESCUELA PRIMARIA JEAN PIAGET TM</t>
  </si>
  <si>
    <t>AMANECER MATERNAL SC</t>
  </si>
  <si>
    <t>COLEGIO BOQUES</t>
  </si>
  <si>
    <t>COLEGIO BOSQUES SC</t>
  </si>
  <si>
    <t>ADMISIONES@COLEGIOBOSQUES.EDU.MX</t>
  </si>
  <si>
    <t>WWW.COLEGIOBOSQUES.EDU.MX</t>
  </si>
  <si>
    <t>INSTITUTO EDUCATIVO SAVATER</t>
  </si>
  <si>
    <t>INSTITUTO EDUCATIVO SAVATER AC</t>
  </si>
  <si>
    <t>SAVATERAGS@HOTMAIL.COM</t>
  </si>
  <si>
    <t>WWW.URREATOMAS.WIX.COM/SAVATERINSTITUTE</t>
  </si>
  <si>
    <t>COLEGIO GUALDORF AMANECER PRIMARI</t>
  </si>
  <si>
    <t>OFICINA.AMANECERAGS@GMAIL.COM</t>
  </si>
  <si>
    <t>PRIMARIA CEDROS</t>
  </si>
  <si>
    <t>PRIMARIA CEDROS AC</t>
  </si>
  <si>
    <t>COLEGIO CUMUNIDAD APRENDE</t>
  </si>
  <si>
    <t>COLEGIO CUMUNIDAD APRENDE SC</t>
  </si>
  <si>
    <t>Escuelas de educacion primaria del sector privado</t>
  </si>
  <si>
    <t>Escuelas de educacion primaria del sector publico</t>
  </si>
  <si>
    <t>SECRETARIA DE EDUCACION publica</t>
  </si>
  <si>
    <t>LA CLASIFICACIÓN DE ELEMENTOS ESTÁ BASADA EN EL SISTEMA NORMATIVO DE EQUIPAMIENTO URBANO DE LA SEDESOL FEDERAL, SUBSISTEMA EDUCACIÓN. LA INTEGRACIÓN FUE REALIZADA POR EL IMPLAN CON INFORMACIÓN DEL DIRECTORIO ESTADISTICO NACIONAL DE UNIDADES ECONOMICAS (INEGI)</t>
  </si>
  <si>
    <t>UBICACIÓN DE ESCUELA PRIMARIA</t>
  </si>
  <si>
    <t>EU_ PRIMARIA</t>
  </si>
  <si>
    <t>CVE (1-252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</si>
</sst>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123265</xdr:rowOff>
    </xdr:from>
    <xdr:to>
      <xdr:col>2</xdr:col>
      <xdr:colOff>5093859</xdr:colOff>
      <xdr:row>1</xdr:row>
      <xdr:rowOff>526678</xdr:rowOff>
    </xdr:to>
    <xdr:grpSp>
      <xdr:nvGrpSpPr>
        <xdr:cNvPr id="3" name="Grupo 2"/>
        <xdr:cNvGrpSpPr/>
      </xdr:nvGrpSpPr>
      <xdr:grpSpPr>
        <a:xfrm>
          <a:off x="257735" y="123265"/>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253" totalsRowShown="0" headerRowDxfId="28">
  <autoFilter ref="A1:AB253"/>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I7" sqref="I7"/>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2"/>
      <c r="C1" s="32"/>
    </row>
    <row r="2" spans="2:4" ht="50.25" customHeight="1" thickBot="1">
      <c r="B2" s="32"/>
      <c r="C2" s="32"/>
    </row>
    <row r="3" spans="2:4" ht="18.75" thickBot="1">
      <c r="B3" s="33" t="s">
        <v>1121</v>
      </c>
      <c r="C3" s="34"/>
    </row>
    <row r="4" spans="2:4">
      <c r="B4" s="8"/>
      <c r="C4" s="8"/>
    </row>
    <row r="5" spans="2:4" ht="15.75">
      <c r="B5" s="35" t="s">
        <v>0</v>
      </c>
      <c r="C5" s="35"/>
      <c r="D5" s="9"/>
    </row>
    <row r="6" spans="2:4">
      <c r="B6" s="10" t="s">
        <v>2</v>
      </c>
      <c r="C6" s="11" t="s">
        <v>1122</v>
      </c>
    </row>
    <row r="7" spans="2:4" ht="24.75" customHeight="1">
      <c r="B7" s="10" t="s">
        <v>3</v>
      </c>
      <c r="C7" s="12" t="s">
        <v>1</v>
      </c>
    </row>
    <row r="8" spans="2:4">
      <c r="B8" s="10" t="s">
        <v>4</v>
      </c>
      <c r="C8" s="11" t="s">
        <v>5</v>
      </c>
    </row>
    <row r="9" spans="2:4">
      <c r="B9" s="10" t="s">
        <v>6</v>
      </c>
      <c r="C9" s="11" t="s">
        <v>7</v>
      </c>
    </row>
    <row r="10" spans="2:4">
      <c r="B10" s="10" t="s">
        <v>8</v>
      </c>
      <c r="C10" s="11" t="s">
        <v>531</v>
      </c>
    </row>
    <row r="11" spans="2:4">
      <c r="B11" s="10" t="s">
        <v>9</v>
      </c>
      <c r="C11" s="11" t="s">
        <v>530</v>
      </c>
    </row>
    <row r="12" spans="2:4">
      <c r="B12" s="10" t="s">
        <v>10</v>
      </c>
      <c r="C12" s="11" t="s">
        <v>11</v>
      </c>
    </row>
    <row r="13" spans="2:4" ht="39">
      <c r="B13" s="13" t="s">
        <v>12</v>
      </c>
      <c r="C13" s="12" t="s">
        <v>1120</v>
      </c>
    </row>
    <row r="14" spans="2:4">
      <c r="B14" s="8"/>
      <c r="C14" s="8"/>
    </row>
    <row r="15" spans="2:4" ht="16.5" thickBot="1">
      <c r="B15" s="35" t="s">
        <v>13</v>
      </c>
      <c r="C15" s="35"/>
    </row>
    <row r="16" spans="2:4" ht="18">
      <c r="B16" s="14" t="s">
        <v>14</v>
      </c>
      <c r="C16" s="15" t="s">
        <v>15</v>
      </c>
    </row>
    <row r="17" spans="2:12">
      <c r="B17" s="1" t="s">
        <v>16</v>
      </c>
      <c r="C17" s="2" t="s">
        <v>440</v>
      </c>
    </row>
    <row r="18" spans="2:12">
      <c r="B18" s="1" t="s">
        <v>17</v>
      </c>
      <c r="C18" s="3" t="s">
        <v>440</v>
      </c>
      <c r="G18"/>
      <c r="H18"/>
      <c r="I18"/>
      <c r="J18"/>
      <c r="K18"/>
    </row>
    <row r="19" spans="2:12">
      <c r="B19" s="1" t="s">
        <v>18</v>
      </c>
      <c r="C19" s="3" t="str">
        <f>VLOOKUP($C$21,ABASTO[#All],25,FALSE)</f>
        <v>POCITOS</v>
      </c>
      <c r="G19" s="23"/>
      <c r="H19" s="23"/>
      <c r="I19" s="24"/>
      <c r="J19" s="24"/>
      <c r="K19" s="25"/>
      <c r="L19" s="16"/>
    </row>
    <row r="20" spans="2:12">
      <c r="B20" s="1" t="s">
        <v>532</v>
      </c>
      <c r="C20" s="3" t="str">
        <f>VLOOKUP($C$21,ABASTO[#All],26,FALSE)</f>
        <v>(ZUFO)-UNIVERSIDAD</v>
      </c>
      <c r="G20" s="25"/>
      <c r="H20" s="16"/>
      <c r="I20" s="25"/>
      <c r="J20" s="25"/>
      <c r="K20" s="25"/>
      <c r="L20" s="16"/>
    </row>
    <row r="21" spans="2:12" ht="19.5">
      <c r="B21" s="26" t="s">
        <v>1123</v>
      </c>
      <c r="C21" s="27">
        <v>252</v>
      </c>
      <c r="G21" s="25"/>
      <c r="H21" s="25"/>
      <c r="I21" s="25"/>
      <c r="J21" s="25"/>
      <c r="K21" s="25"/>
      <c r="L21" s="16"/>
    </row>
    <row r="22" spans="2:12">
      <c r="B22" s="1" t="s">
        <v>533</v>
      </c>
      <c r="C22" s="21" t="str">
        <f>VLOOKUP($C$21,ABASTO[#All],5,FALSE)</f>
        <v>COLEGIO CUMUNIDAD APRENDE</v>
      </c>
      <c r="G22"/>
      <c r="H22"/>
      <c r="I22"/>
      <c r="J22"/>
      <c r="K22"/>
    </row>
    <row r="23" spans="2:12">
      <c r="B23" s="4" t="s">
        <v>534</v>
      </c>
      <c r="C23" s="21" t="str">
        <f>VLOOKUP($C$21,ABASTO[#All],6,FALSE)</f>
        <v>Escuelas de educacion primaria del sector privado</v>
      </c>
    </row>
    <row r="24" spans="2:12">
      <c r="B24" s="1" t="s">
        <v>19</v>
      </c>
      <c r="C24" s="21">
        <f>VLOOKUP($C$21,ABASTO[#All],2,FALSE)</f>
        <v>611121</v>
      </c>
    </row>
    <row r="25" spans="2:12">
      <c r="B25" s="5" t="s">
        <v>535</v>
      </c>
      <c r="C25" s="21" t="str">
        <f>VLOOKUP($C$21,ABASTO[#All],4,FALSE)</f>
        <v>PRIVADO</v>
      </c>
    </row>
    <row r="26" spans="2:12">
      <c r="B26" s="1" t="s">
        <v>536</v>
      </c>
      <c r="C26" s="21" t="str">
        <f>VLOOKUP($C$21,ABASTO[#All],11,FALSE)</f>
        <v>6 a 10 personas</v>
      </c>
    </row>
    <row r="27" spans="2:12">
      <c r="B27" s="4" t="s">
        <v>537</v>
      </c>
      <c r="C27" s="21" t="str">
        <f>VLOOKUP($C$21,ABASTO[#All],8,FALSE)</f>
        <v>LOCALIDAD</v>
      </c>
    </row>
    <row r="28" spans="2:12">
      <c r="B28" s="1" t="s">
        <v>539</v>
      </c>
      <c r="C28" s="21" t="str">
        <f>VLOOKUP($C$21,ABASTO[#All],13,FALSE)</f>
        <v>PRESA SANDOVALES</v>
      </c>
    </row>
    <row r="29" spans="2:12">
      <c r="B29" s="1" t="s">
        <v>538</v>
      </c>
      <c r="C29" s="21" t="str">
        <f>VLOOKUP($C$21,ABASTO[#All],12,FALSE)</f>
        <v>CALLE</v>
      </c>
    </row>
    <row r="30" spans="2:12">
      <c r="B30" s="4" t="s">
        <v>540</v>
      </c>
      <c r="C30" s="21">
        <f>VLOOKUP($C$21,ABASTO[#All],22,FALSE)</f>
        <v>0</v>
      </c>
    </row>
    <row r="31" spans="2:12">
      <c r="B31" s="1" t="s">
        <v>21</v>
      </c>
      <c r="C31" s="21">
        <f>VLOOKUP($C$21,ABASTO[#All],20,FALSE)</f>
        <v>102</v>
      </c>
    </row>
    <row r="32" spans="2:12">
      <c r="B32" s="4" t="s">
        <v>24</v>
      </c>
      <c r="C32" s="21">
        <f>VLOOKUP($C$21,ABASTO[#All],21,FALSE)</f>
        <v>0</v>
      </c>
    </row>
    <row r="33" spans="1:3">
      <c r="B33" s="1" t="s">
        <v>22</v>
      </c>
      <c r="C33" s="21">
        <f>VLOOKUP($C$21,ABASTO[#All],27,FALSE)</f>
        <v>775578.81370399997</v>
      </c>
    </row>
    <row r="34" spans="1:3" ht="15.75" thickBot="1">
      <c r="B34" s="6" t="s">
        <v>23</v>
      </c>
      <c r="C34" s="21">
        <f>VLOOKUP($C$21,ABASTO[#All],28,FALSE)</f>
        <v>2426067.51633</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DATOS_EDU_PRIMARIA'!$A$2:$A$253</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53"/>
  <sheetViews>
    <sheetView topLeftCell="A218" zoomScale="85" zoomScaleNormal="85" workbookViewId="0">
      <selection activeCell="C260" sqref="C260"/>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529</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611122</v>
      </c>
      <c r="C2" s="17" t="s">
        <v>331</v>
      </c>
      <c r="D2" s="17" t="s">
        <v>689</v>
      </c>
      <c r="E2" s="17" t="s">
        <v>695</v>
      </c>
      <c r="F2" s="17" t="s">
        <v>1118</v>
      </c>
      <c r="G2" s="17" t="s">
        <v>240</v>
      </c>
      <c r="H2" s="17" t="s">
        <v>53</v>
      </c>
      <c r="I2" s="17">
        <v>20344</v>
      </c>
      <c r="J2" s="17" t="s">
        <v>54</v>
      </c>
      <c r="K2" s="17" t="s">
        <v>63</v>
      </c>
      <c r="L2" s="17" t="s">
        <v>56</v>
      </c>
      <c r="M2" s="17" t="s">
        <v>57</v>
      </c>
      <c r="N2" s="17" t="s">
        <v>20</v>
      </c>
      <c r="O2" s="17" t="s">
        <v>100</v>
      </c>
      <c r="P2" s="17" t="s">
        <v>20</v>
      </c>
      <c r="Q2" s="17" t="s">
        <v>65</v>
      </c>
      <c r="R2" s="17" t="s">
        <v>20</v>
      </c>
      <c r="S2" s="17" t="s">
        <v>541</v>
      </c>
      <c r="T2" s="17">
        <v>0</v>
      </c>
      <c r="U2" s="18">
        <v>4491044375</v>
      </c>
      <c r="V2" s="17" t="s">
        <v>696</v>
      </c>
      <c r="X2" s="17" t="s">
        <v>66</v>
      </c>
      <c r="Y2" s="17" t="s">
        <v>61</v>
      </c>
      <c r="Z2" s="17" t="s">
        <v>62</v>
      </c>
      <c r="AA2" s="31">
        <v>790619.33581099997</v>
      </c>
      <c r="AB2" s="31">
        <v>2416347.8075999999</v>
      </c>
    </row>
    <row r="3" spans="1:28">
      <c r="A3" s="30">
        <v>2</v>
      </c>
      <c r="B3" s="17">
        <v>611122</v>
      </c>
      <c r="C3" s="17" t="s">
        <v>331</v>
      </c>
      <c r="D3" s="17" t="s">
        <v>689</v>
      </c>
      <c r="E3" s="17" t="s">
        <v>697</v>
      </c>
      <c r="F3" s="17" t="s">
        <v>1118</v>
      </c>
      <c r="G3" s="17" t="s">
        <v>240</v>
      </c>
      <c r="H3" s="17" t="s">
        <v>53</v>
      </c>
      <c r="I3" s="17">
        <v>20344</v>
      </c>
      <c r="J3" s="17" t="s">
        <v>54</v>
      </c>
      <c r="K3" s="17" t="s">
        <v>63</v>
      </c>
      <c r="L3" s="17" t="s">
        <v>56</v>
      </c>
      <c r="M3" s="17" t="s">
        <v>57</v>
      </c>
      <c r="O3" s="17" t="s">
        <v>59</v>
      </c>
      <c r="P3" s="17" t="s">
        <v>20</v>
      </c>
      <c r="Q3" s="17" t="s">
        <v>65</v>
      </c>
      <c r="R3" s="17" t="s">
        <v>20</v>
      </c>
      <c r="S3" s="17" t="s">
        <v>541</v>
      </c>
      <c r="T3" s="17">
        <v>0</v>
      </c>
      <c r="U3" s="18">
        <v>0</v>
      </c>
      <c r="X3" s="17" t="s">
        <v>66</v>
      </c>
      <c r="Y3" s="17" t="s">
        <v>61</v>
      </c>
      <c r="Z3" s="17" t="s">
        <v>62</v>
      </c>
      <c r="AA3" s="31">
        <v>790619.28383600002</v>
      </c>
      <c r="AB3" s="31">
        <v>2416349.5775199998</v>
      </c>
    </row>
    <row r="4" spans="1:28">
      <c r="A4" s="30">
        <v>3</v>
      </c>
      <c r="B4" s="17">
        <v>611122</v>
      </c>
      <c r="C4" s="17" t="s">
        <v>331</v>
      </c>
      <c r="D4" s="17" t="s">
        <v>689</v>
      </c>
      <c r="E4" s="17" t="s">
        <v>698</v>
      </c>
      <c r="F4" s="17" t="s">
        <v>1118</v>
      </c>
      <c r="G4" s="17" t="s">
        <v>699</v>
      </c>
      <c r="H4" s="17" t="s">
        <v>53</v>
      </c>
      <c r="I4" s="17">
        <v>20344</v>
      </c>
      <c r="J4" s="17" t="s">
        <v>54</v>
      </c>
      <c r="K4" s="17" t="s">
        <v>73</v>
      </c>
      <c r="L4" s="17" t="s">
        <v>20</v>
      </c>
      <c r="M4" s="17" t="s">
        <v>231</v>
      </c>
      <c r="N4" s="17" t="s">
        <v>20</v>
      </c>
      <c r="O4" s="17" t="s">
        <v>117</v>
      </c>
      <c r="Q4" s="17" t="s">
        <v>59</v>
      </c>
      <c r="R4" s="17" t="s">
        <v>20</v>
      </c>
      <c r="S4" s="17" t="s">
        <v>597</v>
      </c>
      <c r="T4" s="17">
        <v>0</v>
      </c>
      <c r="U4" s="18">
        <v>0</v>
      </c>
      <c r="X4" s="17" t="s">
        <v>66</v>
      </c>
      <c r="Y4" s="17" t="s">
        <v>61</v>
      </c>
      <c r="Z4" s="17" t="s">
        <v>62</v>
      </c>
      <c r="AA4" s="31">
        <v>789820.192622</v>
      </c>
      <c r="AB4" s="31">
        <v>2415717.6809999999</v>
      </c>
    </row>
    <row r="5" spans="1:28">
      <c r="A5" s="30">
        <v>4</v>
      </c>
      <c r="B5" s="17">
        <v>611122</v>
      </c>
      <c r="C5" s="17" t="s">
        <v>331</v>
      </c>
      <c r="D5" s="17" t="s">
        <v>689</v>
      </c>
      <c r="E5" s="17" t="s">
        <v>701</v>
      </c>
      <c r="F5" s="17" t="s">
        <v>1118</v>
      </c>
      <c r="G5" s="17" t="s">
        <v>240</v>
      </c>
      <c r="H5" s="17" t="s">
        <v>78</v>
      </c>
      <c r="I5" s="17">
        <v>20384</v>
      </c>
      <c r="J5" s="17" t="s">
        <v>54</v>
      </c>
      <c r="K5" s="17" t="s">
        <v>73</v>
      </c>
      <c r="L5" s="17" t="s">
        <v>20</v>
      </c>
      <c r="M5" s="17" t="s">
        <v>88</v>
      </c>
      <c r="N5" s="17" t="s">
        <v>20</v>
      </c>
      <c r="O5" s="17" t="s">
        <v>87</v>
      </c>
      <c r="P5" s="17" t="s">
        <v>20</v>
      </c>
      <c r="Q5" s="17" t="s">
        <v>542</v>
      </c>
      <c r="R5" s="17" t="s">
        <v>20</v>
      </c>
      <c r="S5" s="17" t="s">
        <v>86</v>
      </c>
      <c r="T5" s="17">
        <v>0</v>
      </c>
      <c r="U5" s="18">
        <v>0</v>
      </c>
      <c r="X5" s="17" t="s">
        <v>64</v>
      </c>
      <c r="Y5" s="17" t="s">
        <v>690</v>
      </c>
      <c r="Z5" s="17" t="s">
        <v>62</v>
      </c>
      <c r="AA5" s="31">
        <v>788460.96122299996</v>
      </c>
      <c r="AB5" s="31">
        <v>2420096.9398099999</v>
      </c>
    </row>
    <row r="6" spans="1:28">
      <c r="A6" s="30">
        <v>5</v>
      </c>
      <c r="B6" s="17">
        <v>611122</v>
      </c>
      <c r="C6" s="17" t="s">
        <v>331</v>
      </c>
      <c r="D6" s="17" t="s">
        <v>689</v>
      </c>
      <c r="E6" s="17" t="s">
        <v>701</v>
      </c>
      <c r="F6" s="17" t="s">
        <v>1118</v>
      </c>
      <c r="G6" s="17" t="s">
        <v>240</v>
      </c>
      <c r="H6" s="17" t="s">
        <v>78</v>
      </c>
      <c r="I6" s="17">
        <v>20384</v>
      </c>
      <c r="J6" s="17" t="s">
        <v>54</v>
      </c>
      <c r="K6" s="17" t="s">
        <v>73</v>
      </c>
      <c r="L6" s="17" t="s">
        <v>20</v>
      </c>
      <c r="M6" s="17" t="s">
        <v>88</v>
      </c>
      <c r="N6" s="17" t="s">
        <v>20</v>
      </c>
      <c r="O6" s="17" t="s">
        <v>87</v>
      </c>
      <c r="P6" s="17" t="s">
        <v>20</v>
      </c>
      <c r="Q6" s="17" t="s">
        <v>542</v>
      </c>
      <c r="R6" s="17" t="s">
        <v>20</v>
      </c>
      <c r="S6" s="17" t="s">
        <v>86</v>
      </c>
      <c r="T6" s="17">
        <v>0</v>
      </c>
      <c r="U6" s="18">
        <v>0</v>
      </c>
      <c r="X6" s="17" t="s">
        <v>64</v>
      </c>
      <c r="Y6" s="17" t="s">
        <v>690</v>
      </c>
      <c r="Z6" s="17" t="s">
        <v>62</v>
      </c>
      <c r="AA6" s="31">
        <v>788473.21745500003</v>
      </c>
      <c r="AB6" s="31">
        <v>2420109.9793099998</v>
      </c>
    </row>
    <row r="7" spans="1:28">
      <c r="A7" s="30">
        <v>6</v>
      </c>
      <c r="B7" s="17">
        <v>611122</v>
      </c>
      <c r="C7" s="17" t="s">
        <v>331</v>
      </c>
      <c r="D7" s="17" t="s">
        <v>689</v>
      </c>
      <c r="E7" s="17" t="s">
        <v>702</v>
      </c>
      <c r="F7" s="17" t="s">
        <v>1118</v>
      </c>
      <c r="G7" s="17" t="s">
        <v>240</v>
      </c>
      <c r="H7" s="17" t="s">
        <v>99</v>
      </c>
      <c r="I7" s="17">
        <v>20196</v>
      </c>
      <c r="J7" s="17" t="s">
        <v>54</v>
      </c>
      <c r="K7" s="17" t="s">
        <v>73</v>
      </c>
      <c r="L7" s="17" t="s">
        <v>20</v>
      </c>
      <c r="M7" s="17" t="s">
        <v>79</v>
      </c>
      <c r="N7" s="17" t="s">
        <v>20</v>
      </c>
      <c r="O7" s="17" t="s">
        <v>80</v>
      </c>
      <c r="P7" s="17" t="s">
        <v>20</v>
      </c>
      <c r="Q7" s="17" t="s">
        <v>251</v>
      </c>
      <c r="R7" s="17" t="s">
        <v>20</v>
      </c>
      <c r="S7" s="17" t="s">
        <v>80</v>
      </c>
      <c r="T7" s="17">
        <v>0</v>
      </c>
      <c r="U7" s="18">
        <v>0</v>
      </c>
      <c r="X7" s="17" t="s">
        <v>66</v>
      </c>
      <c r="Y7" s="17" t="s">
        <v>690</v>
      </c>
      <c r="Z7" s="17" t="s">
        <v>62</v>
      </c>
      <c r="AA7" s="31">
        <v>787587.86951400002</v>
      </c>
      <c r="AB7" s="31">
        <v>2423209.3189300001</v>
      </c>
    </row>
    <row r="8" spans="1:28">
      <c r="A8" s="30">
        <v>7</v>
      </c>
      <c r="B8" s="17">
        <v>611122</v>
      </c>
      <c r="C8" s="17" t="s">
        <v>331</v>
      </c>
      <c r="D8" s="17" t="s">
        <v>689</v>
      </c>
      <c r="E8" s="17" t="s">
        <v>703</v>
      </c>
      <c r="F8" s="17" t="s">
        <v>1118</v>
      </c>
      <c r="G8" s="17" t="s">
        <v>240</v>
      </c>
      <c r="H8" s="17" t="s">
        <v>99</v>
      </c>
      <c r="I8" s="17">
        <v>20196</v>
      </c>
      <c r="J8" s="17" t="s">
        <v>54</v>
      </c>
      <c r="K8" s="17" t="s">
        <v>73</v>
      </c>
      <c r="L8" s="17" t="s">
        <v>20</v>
      </c>
      <c r="M8" s="17" t="s">
        <v>79</v>
      </c>
      <c r="N8" s="17" t="s">
        <v>20</v>
      </c>
      <c r="O8" s="17" t="s">
        <v>80</v>
      </c>
      <c r="P8" s="17" t="s">
        <v>20</v>
      </c>
      <c r="Q8" s="17" t="s">
        <v>251</v>
      </c>
      <c r="R8" s="17" t="s">
        <v>20</v>
      </c>
      <c r="S8" s="17" t="s">
        <v>571</v>
      </c>
      <c r="T8" s="17">
        <v>0</v>
      </c>
      <c r="U8" s="18">
        <v>0</v>
      </c>
      <c r="X8" s="17" t="s">
        <v>66</v>
      </c>
      <c r="Y8" s="17" t="s">
        <v>690</v>
      </c>
      <c r="Z8" s="17" t="s">
        <v>62</v>
      </c>
      <c r="AA8" s="31">
        <v>787586.77064</v>
      </c>
      <c r="AB8" s="31">
        <v>2423207.74981</v>
      </c>
    </row>
    <row r="9" spans="1:28">
      <c r="A9" s="30">
        <v>8</v>
      </c>
      <c r="B9" s="17">
        <v>611122</v>
      </c>
      <c r="C9" s="17" t="s">
        <v>331</v>
      </c>
      <c r="D9" s="17" t="s">
        <v>689</v>
      </c>
      <c r="E9" s="17" t="s">
        <v>704</v>
      </c>
      <c r="F9" s="17" t="s">
        <v>1118</v>
      </c>
      <c r="G9" s="17" t="s">
        <v>240</v>
      </c>
      <c r="H9" s="17" t="s">
        <v>93</v>
      </c>
      <c r="I9" s="17">
        <v>20320</v>
      </c>
      <c r="J9" s="17" t="s">
        <v>54</v>
      </c>
      <c r="K9" s="17" t="s">
        <v>73</v>
      </c>
      <c r="L9" s="17" t="s">
        <v>20</v>
      </c>
      <c r="M9" s="17" t="s">
        <v>92</v>
      </c>
      <c r="N9" s="17" t="s">
        <v>20</v>
      </c>
      <c r="O9" s="17" t="s">
        <v>96</v>
      </c>
      <c r="P9" s="17" t="s">
        <v>20</v>
      </c>
      <c r="Q9" s="17" t="s">
        <v>543</v>
      </c>
      <c r="R9" s="17" t="s">
        <v>20</v>
      </c>
      <c r="S9" s="17" t="s">
        <v>92</v>
      </c>
      <c r="T9" s="17">
        <v>107</v>
      </c>
      <c r="U9" s="18">
        <v>4499675438</v>
      </c>
      <c r="X9" s="17" t="s">
        <v>64</v>
      </c>
      <c r="Y9" s="17" t="s">
        <v>690</v>
      </c>
      <c r="Z9" s="17" t="s">
        <v>691</v>
      </c>
      <c r="AA9" s="31">
        <v>788965.95256000001</v>
      </c>
      <c r="AB9" s="31">
        <v>2435561.72444</v>
      </c>
    </row>
    <row r="10" spans="1:28">
      <c r="A10" s="30">
        <v>9</v>
      </c>
      <c r="B10" s="17">
        <v>611122</v>
      </c>
      <c r="C10" s="17" t="s">
        <v>331</v>
      </c>
      <c r="D10" s="17" t="s">
        <v>689</v>
      </c>
      <c r="E10" s="17" t="s">
        <v>706</v>
      </c>
      <c r="F10" s="17" t="s">
        <v>1118</v>
      </c>
      <c r="G10" s="17" t="s">
        <v>240</v>
      </c>
      <c r="H10" s="17" t="s">
        <v>99</v>
      </c>
      <c r="I10" s="17">
        <v>20394</v>
      </c>
      <c r="J10" s="17" t="s">
        <v>54</v>
      </c>
      <c r="K10" s="17" t="s">
        <v>73</v>
      </c>
      <c r="L10" s="17" t="s">
        <v>544</v>
      </c>
      <c r="M10" s="17" t="s">
        <v>266</v>
      </c>
      <c r="N10" s="17" t="s">
        <v>58</v>
      </c>
      <c r="O10" s="17" t="s">
        <v>104</v>
      </c>
      <c r="P10" s="17" t="s">
        <v>20</v>
      </c>
      <c r="Q10" s="17" t="s">
        <v>214</v>
      </c>
      <c r="R10" s="17" t="s">
        <v>20</v>
      </c>
      <c r="S10" s="17" t="s">
        <v>105</v>
      </c>
      <c r="T10" s="17">
        <v>0</v>
      </c>
      <c r="U10" s="18">
        <v>0</v>
      </c>
      <c r="W10" s="17" t="s">
        <v>707</v>
      </c>
      <c r="X10" s="17" t="s">
        <v>60</v>
      </c>
      <c r="Y10" s="17" t="s">
        <v>61</v>
      </c>
      <c r="Z10" s="17" t="s">
        <v>692</v>
      </c>
      <c r="AA10" s="31">
        <v>785776.33121400001</v>
      </c>
      <c r="AB10" s="31">
        <v>2411329.2549999999</v>
      </c>
    </row>
    <row r="11" spans="1:28">
      <c r="A11" s="30">
        <v>10</v>
      </c>
      <c r="B11" s="17">
        <v>611122</v>
      </c>
      <c r="C11" s="17" t="s">
        <v>331</v>
      </c>
      <c r="D11" s="17" t="s">
        <v>689</v>
      </c>
      <c r="E11" s="17" t="s">
        <v>592</v>
      </c>
      <c r="F11" s="17" t="s">
        <v>1118</v>
      </c>
      <c r="G11" s="17" t="s">
        <v>705</v>
      </c>
      <c r="H11" s="17" t="s">
        <v>99</v>
      </c>
      <c r="I11" s="17">
        <v>20340</v>
      </c>
      <c r="J11" s="17" t="s">
        <v>54</v>
      </c>
      <c r="K11" s="17" t="s">
        <v>73</v>
      </c>
      <c r="L11" s="17" t="s">
        <v>20</v>
      </c>
      <c r="M11" s="17" t="s">
        <v>101</v>
      </c>
      <c r="N11" s="17" t="s">
        <v>20</v>
      </c>
      <c r="O11" s="17" t="s">
        <v>102</v>
      </c>
      <c r="Q11" s="17" t="s">
        <v>59</v>
      </c>
      <c r="R11" s="17" t="s">
        <v>20</v>
      </c>
      <c r="S11" s="17" t="s">
        <v>103</v>
      </c>
      <c r="T11" s="17">
        <v>0</v>
      </c>
      <c r="U11" s="18">
        <v>0</v>
      </c>
      <c r="V11" s="17" t="s">
        <v>708</v>
      </c>
      <c r="X11" s="17" t="s">
        <v>60</v>
      </c>
      <c r="Y11" s="17" t="s">
        <v>61</v>
      </c>
      <c r="Z11" s="17" t="s">
        <v>692</v>
      </c>
      <c r="AA11" s="31">
        <v>782500.75611900003</v>
      </c>
      <c r="AB11" s="31">
        <v>2407706.4523700001</v>
      </c>
    </row>
    <row r="12" spans="1:28">
      <c r="A12" s="30">
        <v>11</v>
      </c>
      <c r="B12" s="17">
        <v>611122</v>
      </c>
      <c r="C12" s="17" t="s">
        <v>331</v>
      </c>
      <c r="D12" s="17" t="s">
        <v>689</v>
      </c>
      <c r="E12" s="17" t="s">
        <v>709</v>
      </c>
      <c r="F12" s="17" t="s">
        <v>1118</v>
      </c>
      <c r="G12" s="17" t="s">
        <v>240</v>
      </c>
      <c r="H12" s="17" t="s">
        <v>99</v>
      </c>
      <c r="I12" s="17">
        <v>20390</v>
      </c>
      <c r="J12" s="17" t="s">
        <v>54</v>
      </c>
      <c r="K12" s="17" t="s">
        <v>55</v>
      </c>
      <c r="L12" s="17" t="s">
        <v>20</v>
      </c>
      <c r="M12" s="17" t="s">
        <v>90</v>
      </c>
      <c r="N12" s="17" t="s">
        <v>20</v>
      </c>
      <c r="O12" s="17" t="s">
        <v>59</v>
      </c>
      <c r="Q12" s="17" t="s">
        <v>59</v>
      </c>
      <c r="R12" s="17" t="s">
        <v>20</v>
      </c>
      <c r="S12" s="17" t="s">
        <v>59</v>
      </c>
      <c r="T12" s="17">
        <v>0</v>
      </c>
      <c r="U12" s="18">
        <v>0</v>
      </c>
      <c r="V12" s="17" t="s">
        <v>710</v>
      </c>
      <c r="W12" s="17" t="s">
        <v>711</v>
      </c>
      <c r="X12" s="17" t="s">
        <v>60</v>
      </c>
      <c r="Y12" s="17" t="s">
        <v>61</v>
      </c>
      <c r="Z12" s="17" t="s">
        <v>692</v>
      </c>
      <c r="AA12" s="31">
        <v>783275.58419299999</v>
      </c>
      <c r="AB12" s="31">
        <v>2410842.9051700002</v>
      </c>
    </row>
    <row r="13" spans="1:28">
      <c r="A13" s="30">
        <v>12</v>
      </c>
      <c r="B13" s="17">
        <v>611122</v>
      </c>
      <c r="C13" s="17" t="s">
        <v>331</v>
      </c>
      <c r="D13" s="17" t="s">
        <v>689</v>
      </c>
      <c r="E13" s="17" t="s">
        <v>712</v>
      </c>
      <c r="F13" s="17" t="s">
        <v>1118</v>
      </c>
      <c r="G13" s="17" t="s">
        <v>240</v>
      </c>
      <c r="H13" s="17" t="s">
        <v>99</v>
      </c>
      <c r="I13" s="17">
        <v>20298</v>
      </c>
      <c r="J13" s="17" t="s">
        <v>54</v>
      </c>
      <c r="K13" s="17" t="s">
        <v>55</v>
      </c>
      <c r="L13" s="17" t="s">
        <v>98</v>
      </c>
      <c r="M13" s="17" t="s">
        <v>108</v>
      </c>
      <c r="O13" s="17" t="s">
        <v>59</v>
      </c>
      <c r="Q13" s="17" t="s">
        <v>59</v>
      </c>
      <c r="S13" s="17" t="s">
        <v>59</v>
      </c>
      <c r="T13" s="17">
        <v>0</v>
      </c>
      <c r="U13" s="18">
        <v>0</v>
      </c>
      <c r="X13" s="17" t="s">
        <v>60</v>
      </c>
      <c r="Y13" s="17" t="s">
        <v>61</v>
      </c>
      <c r="Z13" s="17" t="s">
        <v>692</v>
      </c>
      <c r="AA13" s="31">
        <v>783766.08059699996</v>
      </c>
      <c r="AB13" s="31">
        <v>2414519.2991499999</v>
      </c>
    </row>
    <row r="14" spans="1:28">
      <c r="A14" s="30">
        <v>13</v>
      </c>
      <c r="B14" s="17">
        <v>611122</v>
      </c>
      <c r="C14" s="17" t="s">
        <v>331</v>
      </c>
      <c r="D14" s="17" t="s">
        <v>689</v>
      </c>
      <c r="E14" s="17" t="s">
        <v>714</v>
      </c>
      <c r="F14" s="17" t="s">
        <v>1118</v>
      </c>
      <c r="G14" s="17" t="s">
        <v>705</v>
      </c>
      <c r="H14" s="17" t="s">
        <v>99</v>
      </c>
      <c r="I14" s="17">
        <v>20340</v>
      </c>
      <c r="J14" s="17" t="s">
        <v>54</v>
      </c>
      <c r="K14" s="17" t="s">
        <v>55</v>
      </c>
      <c r="L14" s="17" t="s">
        <v>20</v>
      </c>
      <c r="M14" s="17" t="s">
        <v>547</v>
      </c>
      <c r="N14" s="17" t="s">
        <v>20</v>
      </c>
      <c r="O14" s="17" t="s">
        <v>548</v>
      </c>
      <c r="P14" s="17" t="s">
        <v>20</v>
      </c>
      <c r="Q14" s="17" t="s">
        <v>550</v>
      </c>
      <c r="R14" s="17" t="s">
        <v>20</v>
      </c>
      <c r="S14" s="17" t="s">
        <v>549</v>
      </c>
      <c r="T14" s="17">
        <v>0</v>
      </c>
      <c r="U14" s="18">
        <v>0</v>
      </c>
      <c r="X14" s="17" t="s">
        <v>60</v>
      </c>
      <c r="Y14" s="17" t="s">
        <v>693</v>
      </c>
      <c r="Z14" s="17" t="s">
        <v>692</v>
      </c>
      <c r="AA14" s="31">
        <v>778999.98937800003</v>
      </c>
      <c r="AB14" s="31">
        <v>2411763.8610700001</v>
      </c>
    </row>
    <row r="15" spans="1:28">
      <c r="A15" s="30">
        <v>14</v>
      </c>
      <c r="B15" s="17">
        <v>611122</v>
      </c>
      <c r="C15" s="17" t="s">
        <v>331</v>
      </c>
      <c r="D15" s="17" t="s">
        <v>689</v>
      </c>
      <c r="E15" s="17" t="s">
        <v>715</v>
      </c>
      <c r="F15" s="17" t="s">
        <v>1118</v>
      </c>
      <c r="G15" s="17" t="s">
        <v>713</v>
      </c>
      <c r="H15" s="17" t="s">
        <v>99</v>
      </c>
      <c r="I15" s="17">
        <v>20372</v>
      </c>
      <c r="J15" s="17" t="s">
        <v>54</v>
      </c>
      <c r="K15" s="17" t="s">
        <v>63</v>
      </c>
      <c r="L15" s="17" t="s">
        <v>20</v>
      </c>
      <c r="M15" s="17" t="s">
        <v>107</v>
      </c>
      <c r="N15" s="17" t="s">
        <v>20</v>
      </c>
      <c r="O15" s="17" t="s">
        <v>115</v>
      </c>
      <c r="P15" s="17" t="s">
        <v>20</v>
      </c>
      <c r="Q15" s="17" t="s">
        <v>106</v>
      </c>
      <c r="R15" s="17" t="s">
        <v>20</v>
      </c>
      <c r="S15" s="17" t="s">
        <v>59</v>
      </c>
      <c r="T15" s="17">
        <v>0</v>
      </c>
      <c r="U15" s="18">
        <v>4498674222</v>
      </c>
      <c r="V15" s="17" t="s">
        <v>716</v>
      </c>
      <c r="X15" s="17" t="s">
        <v>60</v>
      </c>
      <c r="Y15" s="17" t="s">
        <v>693</v>
      </c>
      <c r="Z15" s="17" t="s">
        <v>692</v>
      </c>
      <c r="AA15" s="31">
        <v>773380.40513099998</v>
      </c>
      <c r="AB15" s="31">
        <v>2410785.9138799999</v>
      </c>
    </row>
    <row r="16" spans="1:28">
      <c r="A16" s="30">
        <v>15</v>
      </c>
      <c r="B16" s="17">
        <v>611122</v>
      </c>
      <c r="C16" s="17" t="s">
        <v>331</v>
      </c>
      <c r="D16" s="17" t="s">
        <v>689</v>
      </c>
      <c r="E16" s="17" t="s">
        <v>717</v>
      </c>
      <c r="F16" s="17" t="s">
        <v>1118</v>
      </c>
      <c r="G16" s="17" t="s">
        <v>717</v>
      </c>
      <c r="H16" s="17" t="s">
        <v>99</v>
      </c>
      <c r="I16" s="17">
        <v>20392</v>
      </c>
      <c r="J16" s="17" t="s">
        <v>54</v>
      </c>
      <c r="K16" s="17" t="s">
        <v>63</v>
      </c>
      <c r="L16" s="17" t="s">
        <v>20</v>
      </c>
      <c r="M16" s="17" t="s">
        <v>100</v>
      </c>
      <c r="N16" s="17" t="s">
        <v>20</v>
      </c>
      <c r="O16" s="17" t="s">
        <v>255</v>
      </c>
      <c r="P16" s="17" t="s">
        <v>20</v>
      </c>
      <c r="Q16" s="17" t="s">
        <v>109</v>
      </c>
      <c r="R16" s="17" t="s">
        <v>20</v>
      </c>
      <c r="S16" s="17" t="s">
        <v>112</v>
      </c>
      <c r="T16" s="17">
        <v>0</v>
      </c>
      <c r="U16" s="18">
        <v>0</v>
      </c>
      <c r="X16" s="17" t="s">
        <v>60</v>
      </c>
      <c r="Y16" s="17" t="s">
        <v>693</v>
      </c>
      <c r="Z16" s="17" t="s">
        <v>692</v>
      </c>
      <c r="AA16" s="31">
        <v>778976.28738899995</v>
      </c>
      <c r="AB16" s="31">
        <v>2408101.5325199999</v>
      </c>
    </row>
    <row r="17" spans="1:28">
      <c r="A17" s="30">
        <v>16</v>
      </c>
      <c r="B17" s="17">
        <v>611122</v>
      </c>
      <c r="C17" s="17" t="s">
        <v>331</v>
      </c>
      <c r="D17" s="17" t="s">
        <v>689</v>
      </c>
      <c r="E17" s="17" t="s">
        <v>718</v>
      </c>
      <c r="F17" s="17" t="s">
        <v>1118</v>
      </c>
      <c r="G17" s="17" t="s">
        <v>713</v>
      </c>
      <c r="H17" s="17" t="s">
        <v>99</v>
      </c>
      <c r="I17" s="17">
        <v>20340</v>
      </c>
      <c r="J17" s="17" t="s">
        <v>54</v>
      </c>
      <c r="K17" s="17" t="s">
        <v>55</v>
      </c>
      <c r="L17" s="17" t="s">
        <v>20</v>
      </c>
      <c r="M17" s="17" t="s">
        <v>554</v>
      </c>
      <c r="N17" s="17" t="s">
        <v>20</v>
      </c>
      <c r="O17" s="17" t="s">
        <v>551</v>
      </c>
      <c r="P17" s="17" t="s">
        <v>20</v>
      </c>
      <c r="Q17" s="17" t="s">
        <v>552</v>
      </c>
      <c r="R17" s="17" t="s">
        <v>20</v>
      </c>
      <c r="S17" s="17" t="s">
        <v>553</v>
      </c>
      <c r="T17" s="17">
        <v>0</v>
      </c>
      <c r="U17" s="18">
        <v>4498901097</v>
      </c>
      <c r="V17" s="17" t="s">
        <v>719</v>
      </c>
      <c r="X17" s="17" t="s">
        <v>60</v>
      </c>
      <c r="Y17" s="17" t="s">
        <v>693</v>
      </c>
      <c r="Z17" s="17" t="s">
        <v>692</v>
      </c>
      <c r="AA17" s="31">
        <v>778028.51198199997</v>
      </c>
      <c r="AB17" s="31">
        <v>2410056.1153799999</v>
      </c>
    </row>
    <row r="18" spans="1:28">
      <c r="A18" s="30">
        <v>17</v>
      </c>
      <c r="B18" s="17">
        <v>611122</v>
      </c>
      <c r="C18" s="17" t="s">
        <v>331</v>
      </c>
      <c r="D18" s="17" t="s">
        <v>689</v>
      </c>
      <c r="E18" s="17" t="s">
        <v>720</v>
      </c>
      <c r="F18" s="17" t="s">
        <v>1118</v>
      </c>
      <c r="G18" s="17" t="s">
        <v>713</v>
      </c>
      <c r="H18" s="17" t="s">
        <v>99</v>
      </c>
      <c r="I18" s="17">
        <v>20340</v>
      </c>
      <c r="J18" s="17" t="s">
        <v>54</v>
      </c>
      <c r="K18" s="17" t="s">
        <v>63</v>
      </c>
      <c r="L18" s="17" t="s">
        <v>20</v>
      </c>
      <c r="M18" s="17" t="s">
        <v>75</v>
      </c>
      <c r="N18" s="17" t="s">
        <v>20</v>
      </c>
      <c r="O18" s="17" t="s">
        <v>116</v>
      </c>
      <c r="P18" s="17" t="s">
        <v>20</v>
      </c>
      <c r="Q18" s="17" t="s">
        <v>111</v>
      </c>
      <c r="R18" s="17" t="s">
        <v>20</v>
      </c>
      <c r="S18" s="17" t="s">
        <v>100</v>
      </c>
      <c r="T18" s="17">
        <v>0</v>
      </c>
      <c r="U18" s="18">
        <v>0</v>
      </c>
      <c r="V18" s="17" t="s">
        <v>721</v>
      </c>
      <c r="W18" s="17" t="s">
        <v>722</v>
      </c>
      <c r="X18" s="17" t="s">
        <v>60</v>
      </c>
      <c r="Y18" s="17" t="s">
        <v>693</v>
      </c>
      <c r="Z18" s="17" t="s">
        <v>692</v>
      </c>
      <c r="AA18" s="31">
        <v>782310.71806099999</v>
      </c>
      <c r="AB18" s="31">
        <v>2404615.6801700001</v>
      </c>
    </row>
    <row r="19" spans="1:28">
      <c r="A19" s="30">
        <v>18</v>
      </c>
      <c r="B19" s="17">
        <v>611122</v>
      </c>
      <c r="C19" s="17" t="s">
        <v>331</v>
      </c>
      <c r="D19" s="17" t="s">
        <v>689</v>
      </c>
      <c r="E19" s="17" t="s">
        <v>723</v>
      </c>
      <c r="F19" s="17" t="s">
        <v>1118</v>
      </c>
      <c r="G19" s="17" t="s">
        <v>723</v>
      </c>
      <c r="H19" s="17" t="s">
        <v>69</v>
      </c>
      <c r="I19" s="17">
        <v>20287</v>
      </c>
      <c r="J19" s="17" t="s">
        <v>54</v>
      </c>
      <c r="K19" s="17" t="s">
        <v>73</v>
      </c>
      <c r="L19" s="17" t="s">
        <v>20</v>
      </c>
      <c r="M19" s="17" t="s">
        <v>128</v>
      </c>
      <c r="N19" s="17" t="s">
        <v>56</v>
      </c>
      <c r="O19" s="17" t="s">
        <v>127</v>
      </c>
      <c r="P19" s="17" t="s">
        <v>20</v>
      </c>
      <c r="Q19" s="17" t="s">
        <v>133</v>
      </c>
      <c r="R19" s="17" t="s">
        <v>20</v>
      </c>
      <c r="S19" s="17" t="s">
        <v>556</v>
      </c>
      <c r="T19" s="17">
        <v>0</v>
      </c>
      <c r="U19" s="18">
        <v>44991763335</v>
      </c>
      <c r="X19" s="17" t="s">
        <v>66</v>
      </c>
      <c r="Y19" s="17" t="s">
        <v>120</v>
      </c>
      <c r="Z19" s="17" t="s">
        <v>121</v>
      </c>
      <c r="AA19" s="31">
        <v>778360.91715400002</v>
      </c>
      <c r="AB19" s="31">
        <v>2419027.25385</v>
      </c>
    </row>
    <row r="20" spans="1:28">
      <c r="A20" s="30">
        <v>19</v>
      </c>
      <c r="B20" s="17">
        <v>611122</v>
      </c>
      <c r="C20" s="17" t="s">
        <v>331</v>
      </c>
      <c r="D20" s="17" t="s">
        <v>689</v>
      </c>
      <c r="E20" s="17" t="s">
        <v>724</v>
      </c>
      <c r="F20" s="17" t="s">
        <v>1118</v>
      </c>
      <c r="G20" s="17" t="s">
        <v>725</v>
      </c>
      <c r="H20" s="17" t="s">
        <v>69</v>
      </c>
      <c r="I20" s="17">
        <v>20287</v>
      </c>
      <c r="J20" s="17" t="s">
        <v>54</v>
      </c>
      <c r="K20" s="17" t="s">
        <v>73</v>
      </c>
      <c r="L20" s="17" t="s">
        <v>20</v>
      </c>
      <c r="M20" s="17" t="s">
        <v>160</v>
      </c>
      <c r="N20" s="17" t="s">
        <v>20</v>
      </c>
      <c r="O20" s="17" t="s">
        <v>133</v>
      </c>
      <c r="P20" s="17" t="s">
        <v>56</v>
      </c>
      <c r="Q20" s="17" t="s">
        <v>127</v>
      </c>
      <c r="R20" s="17" t="s">
        <v>20</v>
      </c>
      <c r="S20" s="17" t="s">
        <v>141</v>
      </c>
      <c r="T20" s="17">
        <v>0</v>
      </c>
      <c r="U20" s="18">
        <v>0</v>
      </c>
      <c r="V20" s="17" t="s">
        <v>726</v>
      </c>
      <c r="X20" s="17" t="s">
        <v>66</v>
      </c>
      <c r="Y20" s="17" t="s">
        <v>120</v>
      </c>
      <c r="Z20" s="17" t="s">
        <v>121</v>
      </c>
      <c r="AA20" s="31">
        <v>777884.43740900001</v>
      </c>
      <c r="AB20" s="31">
        <v>2419134.84797</v>
      </c>
    </row>
    <row r="21" spans="1:28">
      <c r="A21" s="30">
        <v>20</v>
      </c>
      <c r="B21" s="17">
        <v>611122</v>
      </c>
      <c r="C21" s="17" t="s">
        <v>331</v>
      </c>
      <c r="D21" s="17" t="s">
        <v>689</v>
      </c>
      <c r="E21" s="17" t="s">
        <v>727</v>
      </c>
      <c r="F21" s="17" t="s">
        <v>1118</v>
      </c>
      <c r="G21" s="17" t="s">
        <v>700</v>
      </c>
      <c r="H21" s="17" t="s">
        <v>69</v>
      </c>
      <c r="I21" s="17">
        <v>20289</v>
      </c>
      <c r="J21" s="17" t="s">
        <v>54</v>
      </c>
      <c r="K21" s="17" t="s">
        <v>73</v>
      </c>
      <c r="L21" s="17" t="s">
        <v>20</v>
      </c>
      <c r="M21" s="17" t="s">
        <v>134</v>
      </c>
      <c r="N21" s="17" t="s">
        <v>56</v>
      </c>
      <c r="O21" s="17" t="s">
        <v>135</v>
      </c>
      <c r="P21" s="17" t="s">
        <v>129</v>
      </c>
      <c r="Q21" s="17" t="s">
        <v>555</v>
      </c>
      <c r="R21" s="17" t="s">
        <v>20</v>
      </c>
      <c r="S21" s="17" t="s">
        <v>134</v>
      </c>
      <c r="T21" s="17">
        <v>101</v>
      </c>
      <c r="U21" s="18">
        <v>4499172487</v>
      </c>
      <c r="X21" s="17" t="s">
        <v>66</v>
      </c>
      <c r="Y21" s="17" t="s">
        <v>120</v>
      </c>
      <c r="Z21" s="17" t="s">
        <v>121</v>
      </c>
      <c r="AA21" s="31">
        <v>779236.92570799997</v>
      </c>
      <c r="AB21" s="31">
        <v>2418947.78571</v>
      </c>
    </row>
    <row r="22" spans="1:28">
      <c r="A22" s="30">
        <v>21</v>
      </c>
      <c r="B22" s="17">
        <v>611122</v>
      </c>
      <c r="C22" s="17" t="s">
        <v>331</v>
      </c>
      <c r="D22" s="17" t="s">
        <v>689</v>
      </c>
      <c r="E22" s="17" t="s">
        <v>727</v>
      </c>
      <c r="F22" s="17" t="s">
        <v>1118</v>
      </c>
      <c r="G22" s="17" t="s">
        <v>700</v>
      </c>
      <c r="H22" s="17" t="s">
        <v>69</v>
      </c>
      <c r="I22" s="17">
        <v>20289</v>
      </c>
      <c r="J22" s="17" t="s">
        <v>54</v>
      </c>
      <c r="K22" s="17" t="s">
        <v>73</v>
      </c>
      <c r="L22" s="17" t="s">
        <v>129</v>
      </c>
      <c r="M22" s="17" t="s">
        <v>143</v>
      </c>
      <c r="N22" s="17" t="s">
        <v>129</v>
      </c>
      <c r="O22" s="17" t="s">
        <v>555</v>
      </c>
      <c r="P22" s="17" t="s">
        <v>56</v>
      </c>
      <c r="Q22" s="17" t="s">
        <v>135</v>
      </c>
      <c r="R22" s="17" t="s">
        <v>20</v>
      </c>
      <c r="S22" s="17" t="s">
        <v>134</v>
      </c>
      <c r="T22" s="17">
        <v>0</v>
      </c>
      <c r="U22" s="18">
        <v>0</v>
      </c>
      <c r="X22" s="17" t="s">
        <v>66</v>
      </c>
      <c r="Y22" s="17" t="s">
        <v>120</v>
      </c>
      <c r="Z22" s="17" t="s">
        <v>121</v>
      </c>
      <c r="AA22" s="31">
        <v>779236.92570799997</v>
      </c>
      <c r="AB22" s="31">
        <v>2418947.78571</v>
      </c>
    </row>
    <row r="23" spans="1:28">
      <c r="A23" s="30">
        <v>22</v>
      </c>
      <c r="B23" s="17">
        <v>611122</v>
      </c>
      <c r="C23" s="17" t="s">
        <v>331</v>
      </c>
      <c r="D23" s="17" t="s">
        <v>689</v>
      </c>
      <c r="E23" s="17" t="s">
        <v>728</v>
      </c>
      <c r="F23" s="17" t="s">
        <v>1118</v>
      </c>
      <c r="G23" s="17" t="s">
        <v>240</v>
      </c>
      <c r="H23" s="17" t="s">
        <v>69</v>
      </c>
      <c r="I23" s="17">
        <v>20280</v>
      </c>
      <c r="J23" s="17" t="s">
        <v>54</v>
      </c>
      <c r="K23" s="17" t="s">
        <v>73</v>
      </c>
      <c r="L23" s="17" t="s">
        <v>20</v>
      </c>
      <c r="M23" s="17" t="s">
        <v>124</v>
      </c>
      <c r="N23" s="17" t="s">
        <v>20</v>
      </c>
      <c r="O23" s="17" t="s">
        <v>125</v>
      </c>
      <c r="P23" s="17" t="s">
        <v>20</v>
      </c>
      <c r="Q23" s="17" t="s">
        <v>130</v>
      </c>
      <c r="R23" s="17" t="s">
        <v>20</v>
      </c>
      <c r="S23" s="17" t="s">
        <v>122</v>
      </c>
      <c r="T23" s="17">
        <v>205</v>
      </c>
      <c r="U23" s="18">
        <v>4499784606</v>
      </c>
      <c r="X23" s="17" t="s">
        <v>66</v>
      </c>
      <c r="Y23" s="17" t="s">
        <v>120</v>
      </c>
      <c r="Z23" s="17" t="s">
        <v>121</v>
      </c>
      <c r="AA23" s="31">
        <v>779205.16766299994</v>
      </c>
      <c r="AB23" s="31">
        <v>2419127.24621</v>
      </c>
    </row>
    <row r="24" spans="1:28">
      <c r="A24" s="30">
        <v>23</v>
      </c>
      <c r="B24" s="17">
        <v>611122</v>
      </c>
      <c r="C24" s="17" t="s">
        <v>331</v>
      </c>
      <c r="D24" s="17" t="s">
        <v>689</v>
      </c>
      <c r="E24" s="17" t="s">
        <v>729</v>
      </c>
      <c r="F24" s="17" t="s">
        <v>1118</v>
      </c>
      <c r="G24" s="17" t="s">
        <v>240</v>
      </c>
      <c r="H24" s="17" t="s">
        <v>69</v>
      </c>
      <c r="I24" s="17">
        <v>20287</v>
      </c>
      <c r="J24" s="17" t="s">
        <v>54</v>
      </c>
      <c r="K24" s="17" t="s">
        <v>63</v>
      </c>
      <c r="L24" s="17" t="s">
        <v>20</v>
      </c>
      <c r="M24" s="17" t="s">
        <v>159</v>
      </c>
      <c r="N24" s="17" t="s">
        <v>20</v>
      </c>
      <c r="O24" s="17" t="s">
        <v>563</v>
      </c>
      <c r="P24" s="17" t="s">
        <v>20</v>
      </c>
      <c r="Q24" s="17" t="s">
        <v>174</v>
      </c>
      <c r="R24" s="17" t="s">
        <v>20</v>
      </c>
      <c r="S24" s="17" t="s">
        <v>174</v>
      </c>
      <c r="T24" s="17">
        <v>0</v>
      </c>
      <c r="U24" s="18">
        <v>4491383204</v>
      </c>
      <c r="V24" s="17" t="s">
        <v>730</v>
      </c>
      <c r="X24" s="17" t="s">
        <v>66</v>
      </c>
      <c r="Y24" s="17" t="s">
        <v>145</v>
      </c>
      <c r="Z24" s="17" t="s">
        <v>121</v>
      </c>
      <c r="AA24" s="31">
        <v>778022.68004799995</v>
      </c>
      <c r="AB24" s="31">
        <v>2418457.3842099998</v>
      </c>
    </row>
    <row r="25" spans="1:28">
      <c r="A25" s="30">
        <v>24</v>
      </c>
      <c r="B25" s="17">
        <v>611122</v>
      </c>
      <c r="C25" s="17" t="s">
        <v>331</v>
      </c>
      <c r="D25" s="17" t="s">
        <v>689</v>
      </c>
      <c r="E25" s="17" t="s">
        <v>731</v>
      </c>
      <c r="F25" s="17" t="s">
        <v>1118</v>
      </c>
      <c r="G25" s="17" t="s">
        <v>240</v>
      </c>
      <c r="H25" s="17" t="s">
        <v>69</v>
      </c>
      <c r="I25" s="17">
        <v>20287</v>
      </c>
      <c r="J25" s="17" t="s">
        <v>54</v>
      </c>
      <c r="K25" s="17" t="s">
        <v>63</v>
      </c>
      <c r="L25" s="17" t="s">
        <v>20</v>
      </c>
      <c r="M25" s="17" t="s">
        <v>173</v>
      </c>
      <c r="N25" s="17" t="s">
        <v>20</v>
      </c>
      <c r="O25" s="17" t="s">
        <v>151</v>
      </c>
      <c r="P25" s="17" t="s">
        <v>20</v>
      </c>
      <c r="Q25" s="17" t="s">
        <v>159</v>
      </c>
      <c r="R25" s="17" t="s">
        <v>20</v>
      </c>
      <c r="S25" s="17" t="s">
        <v>561</v>
      </c>
      <c r="T25" s="17">
        <v>0</v>
      </c>
      <c r="U25" s="18">
        <v>4499174120</v>
      </c>
      <c r="V25" s="17" t="s">
        <v>732</v>
      </c>
      <c r="X25" s="17" t="s">
        <v>66</v>
      </c>
      <c r="Y25" s="17" t="s">
        <v>145</v>
      </c>
      <c r="Z25" s="17" t="s">
        <v>121</v>
      </c>
      <c r="AA25" s="31">
        <v>778103.145211</v>
      </c>
      <c r="AB25" s="31">
        <v>2418365.7923499998</v>
      </c>
    </row>
    <row r="26" spans="1:28">
      <c r="A26" s="30">
        <v>25</v>
      </c>
      <c r="B26" s="17">
        <v>611122</v>
      </c>
      <c r="C26" s="17" t="s">
        <v>331</v>
      </c>
      <c r="D26" s="17" t="s">
        <v>689</v>
      </c>
      <c r="E26" s="17" t="s">
        <v>733</v>
      </c>
      <c r="F26" s="17" t="s">
        <v>1118</v>
      </c>
      <c r="G26" s="17" t="s">
        <v>240</v>
      </c>
      <c r="H26" s="17" t="s">
        <v>69</v>
      </c>
      <c r="I26" s="17">
        <v>20287</v>
      </c>
      <c r="J26" s="17" t="s">
        <v>54</v>
      </c>
      <c r="K26" s="17" t="s">
        <v>73</v>
      </c>
      <c r="L26" s="17" t="s">
        <v>20</v>
      </c>
      <c r="M26" s="17" t="s">
        <v>563</v>
      </c>
      <c r="N26" s="17" t="s">
        <v>20</v>
      </c>
      <c r="O26" s="17" t="s">
        <v>151</v>
      </c>
      <c r="P26" s="17" t="s">
        <v>20</v>
      </c>
      <c r="Q26" s="17" t="s">
        <v>159</v>
      </c>
      <c r="R26" s="17" t="s">
        <v>20</v>
      </c>
      <c r="S26" s="17" t="s">
        <v>174</v>
      </c>
      <c r="T26" s="17">
        <v>0</v>
      </c>
      <c r="U26" s="18">
        <v>4491383204</v>
      </c>
      <c r="V26" s="17" t="s">
        <v>734</v>
      </c>
      <c r="X26" s="17" t="s">
        <v>66</v>
      </c>
      <c r="Y26" s="17" t="s">
        <v>145</v>
      </c>
      <c r="Z26" s="17" t="s">
        <v>121</v>
      </c>
      <c r="AA26" s="31">
        <v>777974.27062700002</v>
      </c>
      <c r="AB26" s="31">
        <v>2418420.1234900001</v>
      </c>
    </row>
    <row r="27" spans="1:28">
      <c r="A27" s="30">
        <v>26</v>
      </c>
      <c r="B27" s="17">
        <v>611122</v>
      </c>
      <c r="C27" s="17" t="s">
        <v>331</v>
      </c>
      <c r="D27" s="17" t="s">
        <v>689</v>
      </c>
      <c r="E27" s="17" t="s">
        <v>735</v>
      </c>
      <c r="F27" s="17" t="s">
        <v>1118</v>
      </c>
      <c r="G27" s="17" t="s">
        <v>240</v>
      </c>
      <c r="H27" s="17" t="s">
        <v>69</v>
      </c>
      <c r="I27" s="17">
        <v>20287</v>
      </c>
      <c r="J27" s="17" t="s">
        <v>54</v>
      </c>
      <c r="K27" s="17" t="s">
        <v>73</v>
      </c>
      <c r="L27" s="17" t="s">
        <v>56</v>
      </c>
      <c r="M27" s="17" t="s">
        <v>158</v>
      </c>
      <c r="N27" s="17" t="s">
        <v>20</v>
      </c>
      <c r="O27" s="17" t="s">
        <v>151</v>
      </c>
      <c r="P27" s="17" t="s">
        <v>20</v>
      </c>
      <c r="Q27" s="17" t="s">
        <v>161</v>
      </c>
      <c r="R27" s="17" t="s">
        <v>20</v>
      </c>
      <c r="S27" s="17" t="s">
        <v>142</v>
      </c>
      <c r="T27" s="17">
        <v>0</v>
      </c>
      <c r="U27" s="18">
        <v>0</v>
      </c>
      <c r="X27" s="17" t="s">
        <v>60</v>
      </c>
      <c r="Y27" s="17" t="s">
        <v>145</v>
      </c>
      <c r="Z27" s="17" t="s">
        <v>121</v>
      </c>
      <c r="AA27" s="31">
        <v>777147.14919200004</v>
      </c>
      <c r="AB27" s="31">
        <v>2418712.3755700001</v>
      </c>
    </row>
    <row r="28" spans="1:28">
      <c r="A28" s="30">
        <v>27</v>
      </c>
      <c r="B28" s="17">
        <v>611122</v>
      </c>
      <c r="C28" s="17" t="s">
        <v>331</v>
      </c>
      <c r="D28" s="17" t="s">
        <v>689</v>
      </c>
      <c r="E28" s="17" t="s">
        <v>736</v>
      </c>
      <c r="F28" s="17" t="s">
        <v>1118</v>
      </c>
      <c r="G28" s="17" t="s">
        <v>240</v>
      </c>
      <c r="H28" s="17" t="s">
        <v>69</v>
      </c>
      <c r="I28" s="17">
        <v>20287</v>
      </c>
      <c r="J28" s="17" t="s">
        <v>54</v>
      </c>
      <c r="K28" s="17" t="s">
        <v>73</v>
      </c>
      <c r="L28" s="17" t="s">
        <v>20</v>
      </c>
      <c r="M28" s="17" t="s">
        <v>161</v>
      </c>
      <c r="N28" s="17" t="s">
        <v>20</v>
      </c>
      <c r="O28" s="17" t="s">
        <v>142</v>
      </c>
      <c r="P28" s="17" t="s">
        <v>56</v>
      </c>
      <c r="Q28" s="17" t="s">
        <v>158</v>
      </c>
      <c r="R28" s="17" t="s">
        <v>20</v>
      </c>
      <c r="S28" s="17" t="s">
        <v>562</v>
      </c>
      <c r="T28" s="17">
        <v>0</v>
      </c>
      <c r="U28" s="18">
        <v>0</v>
      </c>
      <c r="V28" s="17" t="s">
        <v>737</v>
      </c>
      <c r="X28" s="17" t="s">
        <v>66</v>
      </c>
      <c r="Y28" s="17" t="s">
        <v>145</v>
      </c>
      <c r="Z28" s="17" t="s">
        <v>121</v>
      </c>
      <c r="AA28" s="31">
        <v>777267.11370800005</v>
      </c>
      <c r="AB28" s="31">
        <v>2418665.8577000001</v>
      </c>
    </row>
    <row r="29" spans="1:28">
      <c r="A29" s="30">
        <v>28</v>
      </c>
      <c r="B29" s="17">
        <v>611122</v>
      </c>
      <c r="C29" s="17" t="s">
        <v>331</v>
      </c>
      <c r="D29" s="17" t="s">
        <v>689</v>
      </c>
      <c r="E29" s="17" t="s">
        <v>738</v>
      </c>
      <c r="F29" s="17" t="s">
        <v>1118</v>
      </c>
      <c r="G29" s="17" t="s">
        <v>240</v>
      </c>
      <c r="H29" s="17" t="s">
        <v>69</v>
      </c>
      <c r="I29" s="17">
        <v>20289</v>
      </c>
      <c r="J29" s="17" t="s">
        <v>54</v>
      </c>
      <c r="K29" s="17" t="s">
        <v>73</v>
      </c>
      <c r="L29" s="17" t="s">
        <v>20</v>
      </c>
      <c r="M29" s="17" t="s">
        <v>131</v>
      </c>
      <c r="N29" s="17" t="s">
        <v>20</v>
      </c>
      <c r="O29" s="17" t="s">
        <v>147</v>
      </c>
      <c r="P29" s="17" t="s">
        <v>129</v>
      </c>
      <c r="Q29" s="17" t="s">
        <v>157</v>
      </c>
      <c r="R29" s="17" t="s">
        <v>129</v>
      </c>
      <c r="S29" s="17" t="s">
        <v>157</v>
      </c>
      <c r="T29" s="17">
        <v>4499</v>
      </c>
      <c r="U29" s="18">
        <v>4499172547</v>
      </c>
      <c r="X29" s="17" t="s">
        <v>66</v>
      </c>
      <c r="Y29" s="17" t="s">
        <v>145</v>
      </c>
      <c r="Z29" s="17" t="s">
        <v>121</v>
      </c>
      <c r="AA29" s="31">
        <v>779061.67784599995</v>
      </c>
      <c r="AB29" s="31">
        <v>2418422.9100199998</v>
      </c>
    </row>
    <row r="30" spans="1:28">
      <c r="A30" s="30">
        <v>29</v>
      </c>
      <c r="B30" s="17">
        <v>611122</v>
      </c>
      <c r="C30" s="17" t="s">
        <v>331</v>
      </c>
      <c r="D30" s="17" t="s">
        <v>689</v>
      </c>
      <c r="E30" s="17" t="s">
        <v>738</v>
      </c>
      <c r="F30" s="17" t="s">
        <v>1118</v>
      </c>
      <c r="G30" s="17" t="s">
        <v>240</v>
      </c>
      <c r="H30" s="17" t="s">
        <v>69</v>
      </c>
      <c r="I30" s="17">
        <v>20289</v>
      </c>
      <c r="J30" s="17" t="s">
        <v>54</v>
      </c>
      <c r="K30" s="17" t="s">
        <v>73</v>
      </c>
      <c r="L30" s="17" t="s">
        <v>20</v>
      </c>
      <c r="M30" s="17" t="s">
        <v>131</v>
      </c>
      <c r="N30" s="17" t="s">
        <v>20</v>
      </c>
      <c r="O30" s="17" t="s">
        <v>147</v>
      </c>
      <c r="P30" s="17" t="s">
        <v>129</v>
      </c>
      <c r="Q30" s="17" t="s">
        <v>157</v>
      </c>
      <c r="R30" s="17" t="s">
        <v>129</v>
      </c>
      <c r="S30" s="17" t="s">
        <v>157</v>
      </c>
      <c r="T30" s="17">
        <v>4499</v>
      </c>
      <c r="U30" s="18">
        <v>4499172547</v>
      </c>
      <c r="X30" s="17" t="s">
        <v>66</v>
      </c>
      <c r="Y30" s="17" t="s">
        <v>145</v>
      </c>
      <c r="Z30" s="17" t="s">
        <v>121</v>
      </c>
      <c r="AA30" s="31">
        <v>779061.67784599995</v>
      </c>
      <c r="AB30" s="31">
        <v>2418422.9100199998</v>
      </c>
    </row>
    <row r="31" spans="1:28">
      <c r="A31" s="30">
        <v>30</v>
      </c>
      <c r="B31" s="17">
        <v>611122</v>
      </c>
      <c r="C31" s="17" t="s">
        <v>331</v>
      </c>
      <c r="D31" s="17" t="s">
        <v>689</v>
      </c>
      <c r="E31" s="17" t="s">
        <v>739</v>
      </c>
      <c r="F31" s="17" t="s">
        <v>1118</v>
      </c>
      <c r="G31" s="17" t="s">
        <v>240</v>
      </c>
      <c r="H31" s="17" t="s">
        <v>69</v>
      </c>
      <c r="I31" s="17">
        <v>20287</v>
      </c>
      <c r="J31" s="17" t="s">
        <v>54</v>
      </c>
      <c r="K31" s="17" t="s">
        <v>73</v>
      </c>
      <c r="L31" s="17" t="s">
        <v>20</v>
      </c>
      <c r="M31" s="17" t="s">
        <v>136</v>
      </c>
      <c r="N31" s="17" t="s">
        <v>20</v>
      </c>
      <c r="O31" s="17" t="s">
        <v>146</v>
      </c>
      <c r="P31" s="17" t="s">
        <v>20</v>
      </c>
      <c r="Q31" s="17" t="s">
        <v>159</v>
      </c>
      <c r="R31" s="17" t="s">
        <v>20</v>
      </c>
      <c r="S31" s="17" t="s">
        <v>139</v>
      </c>
      <c r="T31" s="17">
        <v>411</v>
      </c>
      <c r="U31" s="18">
        <v>4991405753</v>
      </c>
      <c r="X31" s="17" t="s">
        <v>66</v>
      </c>
      <c r="Y31" s="17" t="s">
        <v>145</v>
      </c>
      <c r="Z31" s="17" t="s">
        <v>121</v>
      </c>
      <c r="AA31" s="31">
        <v>778478.26789699995</v>
      </c>
      <c r="AB31" s="31">
        <v>2418448.8684100001</v>
      </c>
    </row>
    <row r="32" spans="1:28">
      <c r="A32" s="30">
        <v>31</v>
      </c>
      <c r="B32" s="17">
        <v>611122</v>
      </c>
      <c r="C32" s="17" t="s">
        <v>331</v>
      </c>
      <c r="D32" s="17" t="s">
        <v>689</v>
      </c>
      <c r="E32" s="17" t="s">
        <v>740</v>
      </c>
      <c r="F32" s="17" t="s">
        <v>1118</v>
      </c>
      <c r="G32" s="17" t="s">
        <v>240</v>
      </c>
      <c r="H32" s="17" t="s">
        <v>69</v>
      </c>
      <c r="I32" s="17">
        <v>20287</v>
      </c>
      <c r="J32" s="17" t="s">
        <v>54</v>
      </c>
      <c r="K32" s="17" t="s">
        <v>73</v>
      </c>
      <c r="L32" s="17" t="s">
        <v>20</v>
      </c>
      <c r="M32" s="17" t="s">
        <v>136</v>
      </c>
      <c r="N32" s="17" t="s">
        <v>20</v>
      </c>
      <c r="O32" s="17" t="s">
        <v>146</v>
      </c>
      <c r="P32" s="17" t="s">
        <v>20</v>
      </c>
      <c r="Q32" s="17" t="s">
        <v>159</v>
      </c>
      <c r="R32" s="17" t="s">
        <v>20</v>
      </c>
      <c r="S32" s="17" t="s">
        <v>139</v>
      </c>
      <c r="T32" s="17">
        <v>411</v>
      </c>
      <c r="U32" s="18">
        <v>0</v>
      </c>
      <c r="X32" s="17" t="s">
        <v>66</v>
      </c>
      <c r="Y32" s="17" t="s">
        <v>145</v>
      </c>
      <c r="Z32" s="17" t="s">
        <v>121</v>
      </c>
      <c r="AA32" s="31">
        <v>778478.26789699995</v>
      </c>
      <c r="AB32" s="31">
        <v>2418448.8684100001</v>
      </c>
    </row>
    <row r="33" spans="1:28">
      <c r="A33" s="30">
        <v>32</v>
      </c>
      <c r="B33" s="17">
        <v>611122</v>
      </c>
      <c r="C33" s="17" t="s">
        <v>331</v>
      </c>
      <c r="D33" s="17" t="s">
        <v>689</v>
      </c>
      <c r="E33" s="17" t="s">
        <v>735</v>
      </c>
      <c r="F33" s="17" t="s">
        <v>1118</v>
      </c>
      <c r="G33" s="17" t="s">
        <v>240</v>
      </c>
      <c r="H33" s="17" t="s">
        <v>69</v>
      </c>
      <c r="I33" s="17">
        <v>20287</v>
      </c>
      <c r="J33" s="17" t="s">
        <v>54</v>
      </c>
      <c r="K33" s="17" t="s">
        <v>73</v>
      </c>
      <c r="L33" s="17" t="s">
        <v>56</v>
      </c>
      <c r="M33" s="17" t="s">
        <v>158</v>
      </c>
      <c r="N33" s="17" t="s">
        <v>20</v>
      </c>
      <c r="O33" s="17" t="s">
        <v>161</v>
      </c>
      <c r="P33" s="17" t="s">
        <v>56</v>
      </c>
      <c r="Q33" s="17" t="s">
        <v>126</v>
      </c>
      <c r="R33" s="17" t="s">
        <v>20</v>
      </c>
      <c r="S33" s="17" t="s">
        <v>142</v>
      </c>
      <c r="T33" s="17">
        <v>0</v>
      </c>
      <c r="U33" s="18">
        <v>0</v>
      </c>
      <c r="X33" s="17" t="s">
        <v>66</v>
      </c>
      <c r="Y33" s="17" t="s">
        <v>145</v>
      </c>
      <c r="Z33" s="17" t="s">
        <v>121</v>
      </c>
      <c r="AA33" s="31">
        <v>777276.64917500003</v>
      </c>
      <c r="AB33" s="31">
        <v>2419054.5675900001</v>
      </c>
    </row>
    <row r="34" spans="1:28">
      <c r="A34" s="30">
        <v>33</v>
      </c>
      <c r="B34" s="17">
        <v>611122</v>
      </c>
      <c r="C34" s="17" t="s">
        <v>331</v>
      </c>
      <c r="D34" s="17" t="s">
        <v>689</v>
      </c>
      <c r="E34" s="17" t="s">
        <v>741</v>
      </c>
      <c r="F34" s="17" t="s">
        <v>1118</v>
      </c>
      <c r="G34" s="17" t="s">
        <v>240</v>
      </c>
      <c r="H34" s="17" t="s">
        <v>69</v>
      </c>
      <c r="I34" s="17">
        <v>20284</v>
      </c>
      <c r="J34" s="17" t="s">
        <v>54</v>
      </c>
      <c r="K34" s="17" t="s">
        <v>73</v>
      </c>
      <c r="L34" s="17" t="s">
        <v>129</v>
      </c>
      <c r="M34" s="17" t="s">
        <v>163</v>
      </c>
      <c r="N34" s="17" t="s">
        <v>129</v>
      </c>
      <c r="O34" s="17" t="s">
        <v>59</v>
      </c>
      <c r="P34" s="17" t="s">
        <v>20</v>
      </c>
      <c r="Q34" s="17" t="s">
        <v>131</v>
      </c>
      <c r="R34" s="17" t="s">
        <v>129</v>
      </c>
      <c r="S34" s="17" t="s">
        <v>558</v>
      </c>
      <c r="T34" s="17">
        <v>103</v>
      </c>
      <c r="U34" s="18">
        <v>4492930425</v>
      </c>
      <c r="X34" s="17" t="s">
        <v>66</v>
      </c>
      <c r="Y34" s="17" t="s">
        <v>145</v>
      </c>
      <c r="Z34" s="17" t="s">
        <v>121</v>
      </c>
      <c r="AA34" s="31">
        <v>779159.63943900005</v>
      </c>
      <c r="AB34" s="31">
        <v>2418022.8189400001</v>
      </c>
    </row>
    <row r="35" spans="1:28">
      <c r="A35" s="30">
        <v>34</v>
      </c>
      <c r="B35" s="17">
        <v>611122</v>
      </c>
      <c r="C35" s="17" t="s">
        <v>331</v>
      </c>
      <c r="D35" s="17" t="s">
        <v>689</v>
      </c>
      <c r="E35" s="17" t="s">
        <v>742</v>
      </c>
      <c r="F35" s="17" t="s">
        <v>1118</v>
      </c>
      <c r="G35" s="17" t="s">
        <v>240</v>
      </c>
      <c r="H35" s="17" t="s">
        <v>69</v>
      </c>
      <c r="I35" s="17">
        <v>20284</v>
      </c>
      <c r="J35" s="17" t="s">
        <v>54</v>
      </c>
      <c r="K35" s="17" t="s">
        <v>63</v>
      </c>
      <c r="L35" s="17" t="s">
        <v>20</v>
      </c>
      <c r="M35" s="17" t="s">
        <v>131</v>
      </c>
      <c r="N35" s="17" t="s">
        <v>129</v>
      </c>
      <c r="O35" s="17" t="s">
        <v>360</v>
      </c>
      <c r="P35" s="17" t="s">
        <v>129</v>
      </c>
      <c r="Q35" s="17" t="s">
        <v>234</v>
      </c>
      <c r="R35" s="17" t="s">
        <v>129</v>
      </c>
      <c r="S35" s="17" t="s">
        <v>557</v>
      </c>
      <c r="T35" s="17">
        <v>0</v>
      </c>
      <c r="U35" s="18">
        <v>4499139751</v>
      </c>
      <c r="X35" s="17" t="s">
        <v>66</v>
      </c>
      <c r="Y35" s="17" t="s">
        <v>145</v>
      </c>
      <c r="Z35" s="17" t="s">
        <v>121</v>
      </c>
      <c r="AA35" s="31">
        <v>779198.90674799995</v>
      </c>
      <c r="AB35" s="31">
        <v>2417921.8001299999</v>
      </c>
    </row>
    <row r="36" spans="1:28">
      <c r="A36" s="30">
        <v>35</v>
      </c>
      <c r="B36" s="17">
        <v>611122</v>
      </c>
      <c r="C36" s="17" t="s">
        <v>331</v>
      </c>
      <c r="D36" s="17" t="s">
        <v>689</v>
      </c>
      <c r="E36" s="17" t="s">
        <v>743</v>
      </c>
      <c r="F36" s="17" t="s">
        <v>1118</v>
      </c>
      <c r="G36" s="17" t="s">
        <v>744</v>
      </c>
      <c r="H36" s="17" t="s">
        <v>69</v>
      </c>
      <c r="I36" s="17">
        <v>20280</v>
      </c>
      <c r="J36" s="17" t="s">
        <v>54</v>
      </c>
      <c r="K36" s="17" t="s">
        <v>73</v>
      </c>
      <c r="L36" s="17" t="s">
        <v>20</v>
      </c>
      <c r="M36" s="17" t="s">
        <v>148</v>
      </c>
      <c r="N36" s="17" t="s">
        <v>20</v>
      </c>
      <c r="O36" s="17" t="s">
        <v>168</v>
      </c>
      <c r="P36" s="17" t="s">
        <v>20</v>
      </c>
      <c r="Q36" s="17" t="s">
        <v>149</v>
      </c>
      <c r="R36" s="17" t="s">
        <v>20</v>
      </c>
      <c r="S36" s="17" t="s">
        <v>150</v>
      </c>
      <c r="T36" s="17">
        <v>501</v>
      </c>
      <c r="U36" s="18">
        <v>4499786277</v>
      </c>
      <c r="V36" s="17" t="s">
        <v>745</v>
      </c>
      <c r="X36" s="17" t="s">
        <v>66</v>
      </c>
      <c r="Y36" s="17" t="s">
        <v>145</v>
      </c>
      <c r="Z36" s="17" t="s">
        <v>121</v>
      </c>
      <c r="AA36" s="31">
        <v>779585.15952900006</v>
      </c>
      <c r="AB36" s="31">
        <v>2417819.58561</v>
      </c>
    </row>
    <row r="37" spans="1:28">
      <c r="A37" s="30">
        <v>36</v>
      </c>
      <c r="B37" s="17">
        <v>611122</v>
      </c>
      <c r="C37" s="17" t="s">
        <v>331</v>
      </c>
      <c r="D37" s="17" t="s">
        <v>689</v>
      </c>
      <c r="E37" s="17" t="s">
        <v>746</v>
      </c>
      <c r="F37" s="17" t="s">
        <v>1118</v>
      </c>
      <c r="G37" s="17" t="s">
        <v>713</v>
      </c>
      <c r="H37" s="17" t="s">
        <v>69</v>
      </c>
      <c r="I37" s="17">
        <v>20286</v>
      </c>
      <c r="J37" s="17" t="s">
        <v>54</v>
      </c>
      <c r="K37" s="17" t="s">
        <v>73</v>
      </c>
      <c r="L37" s="17" t="s">
        <v>56</v>
      </c>
      <c r="M37" s="17" t="s">
        <v>70</v>
      </c>
      <c r="N37" s="17" t="s">
        <v>20</v>
      </c>
      <c r="O37" s="17" t="s">
        <v>172</v>
      </c>
      <c r="P37" s="17" t="s">
        <v>20</v>
      </c>
      <c r="Q37" s="17" t="s">
        <v>188</v>
      </c>
      <c r="R37" s="17" t="s">
        <v>20</v>
      </c>
      <c r="S37" s="17" t="s">
        <v>171</v>
      </c>
      <c r="T37" s="17">
        <v>202</v>
      </c>
      <c r="U37" s="18">
        <v>0</v>
      </c>
      <c r="X37" s="17" t="s">
        <v>66</v>
      </c>
      <c r="Y37" s="17" t="s">
        <v>145</v>
      </c>
      <c r="Z37" s="17" t="s">
        <v>121</v>
      </c>
      <c r="AA37" s="31">
        <v>777180.89786200004</v>
      </c>
      <c r="AB37" s="31">
        <v>2418437.5436</v>
      </c>
    </row>
    <row r="38" spans="1:28">
      <c r="A38" s="30">
        <v>37</v>
      </c>
      <c r="B38" s="17">
        <v>611122</v>
      </c>
      <c r="C38" s="17" t="s">
        <v>331</v>
      </c>
      <c r="D38" s="17" t="s">
        <v>689</v>
      </c>
      <c r="E38" s="17" t="s">
        <v>747</v>
      </c>
      <c r="F38" s="17" t="s">
        <v>1118</v>
      </c>
      <c r="G38" s="17" t="s">
        <v>240</v>
      </c>
      <c r="H38" s="17" t="s">
        <v>94</v>
      </c>
      <c r="I38" s="17">
        <v>20206</v>
      </c>
      <c r="J38" s="17" t="s">
        <v>54</v>
      </c>
      <c r="K38" s="17" t="s">
        <v>73</v>
      </c>
      <c r="L38" s="17" t="s">
        <v>20</v>
      </c>
      <c r="M38" s="17" t="s">
        <v>170</v>
      </c>
      <c r="N38" s="17" t="s">
        <v>20</v>
      </c>
      <c r="O38" s="17" t="s">
        <v>176</v>
      </c>
      <c r="P38" s="17" t="s">
        <v>20</v>
      </c>
      <c r="Q38" s="17" t="s">
        <v>153</v>
      </c>
      <c r="R38" s="17" t="s">
        <v>20</v>
      </c>
      <c r="S38" s="17" t="s">
        <v>154</v>
      </c>
      <c r="T38" s="17">
        <v>0</v>
      </c>
      <c r="U38" s="18">
        <v>0</v>
      </c>
      <c r="V38" s="17" t="s">
        <v>748</v>
      </c>
      <c r="X38" s="17" t="s">
        <v>64</v>
      </c>
      <c r="Y38" s="17" t="s">
        <v>145</v>
      </c>
      <c r="Z38" s="17" t="s">
        <v>121</v>
      </c>
      <c r="AA38" s="31">
        <v>776844.27984500001</v>
      </c>
      <c r="AB38" s="31">
        <v>2418562.3524600002</v>
      </c>
    </row>
    <row r="39" spans="1:28">
      <c r="A39" s="30">
        <v>38</v>
      </c>
      <c r="B39" s="17">
        <v>611122</v>
      </c>
      <c r="C39" s="17" t="s">
        <v>331</v>
      </c>
      <c r="D39" s="17" t="s">
        <v>689</v>
      </c>
      <c r="E39" s="17" t="s">
        <v>749</v>
      </c>
      <c r="F39" s="17" t="s">
        <v>1118</v>
      </c>
      <c r="G39" s="17" t="s">
        <v>240</v>
      </c>
      <c r="H39" s="17" t="s">
        <v>94</v>
      </c>
      <c r="I39" s="17">
        <v>20206</v>
      </c>
      <c r="J39" s="17" t="s">
        <v>54</v>
      </c>
      <c r="K39" s="17" t="s">
        <v>73</v>
      </c>
      <c r="L39" s="17" t="s">
        <v>129</v>
      </c>
      <c r="M39" s="17" t="s">
        <v>152</v>
      </c>
      <c r="N39" s="17" t="s">
        <v>58</v>
      </c>
      <c r="O39" s="17" t="s">
        <v>59</v>
      </c>
      <c r="P39" s="17" t="s">
        <v>20</v>
      </c>
      <c r="Q39" s="17" t="s">
        <v>179</v>
      </c>
      <c r="R39" s="17" t="s">
        <v>20</v>
      </c>
      <c r="S39" s="17" t="s">
        <v>167</v>
      </c>
      <c r="T39" s="17">
        <v>0</v>
      </c>
      <c r="U39" s="18">
        <v>0</v>
      </c>
      <c r="V39" s="17" t="s">
        <v>750</v>
      </c>
      <c r="X39" s="17" t="s">
        <v>66</v>
      </c>
      <c r="Y39" s="17" t="s">
        <v>180</v>
      </c>
      <c r="Z39" s="17" t="s">
        <v>121</v>
      </c>
      <c r="AA39" s="31">
        <v>776778.75408400001</v>
      </c>
      <c r="AB39" s="31">
        <v>2419159.2317499998</v>
      </c>
    </row>
    <row r="40" spans="1:28">
      <c r="A40" s="30">
        <v>39</v>
      </c>
      <c r="B40" s="17">
        <v>611122</v>
      </c>
      <c r="C40" s="17" t="s">
        <v>331</v>
      </c>
      <c r="D40" s="17" t="s">
        <v>689</v>
      </c>
      <c r="E40" s="17" t="s">
        <v>751</v>
      </c>
      <c r="F40" s="17" t="s">
        <v>1118</v>
      </c>
      <c r="G40" s="17" t="s">
        <v>240</v>
      </c>
      <c r="H40" s="17" t="s">
        <v>94</v>
      </c>
      <c r="I40" s="17">
        <v>20206</v>
      </c>
      <c r="J40" s="17" t="s">
        <v>54</v>
      </c>
      <c r="K40" s="17" t="s">
        <v>73</v>
      </c>
      <c r="L40" s="17" t="s">
        <v>20</v>
      </c>
      <c r="M40" s="17" t="s">
        <v>179</v>
      </c>
      <c r="N40" s="17" t="s">
        <v>20</v>
      </c>
      <c r="O40" s="17" t="s">
        <v>167</v>
      </c>
      <c r="P40" s="17" t="s">
        <v>129</v>
      </c>
      <c r="Q40" s="17" t="s">
        <v>152</v>
      </c>
      <c r="R40" s="17" t="s">
        <v>20</v>
      </c>
      <c r="S40" s="17" t="s">
        <v>559</v>
      </c>
      <c r="T40" s="17">
        <v>0</v>
      </c>
      <c r="U40" s="18">
        <v>0</v>
      </c>
      <c r="V40" s="17" t="s">
        <v>752</v>
      </c>
      <c r="X40" s="17" t="s">
        <v>66</v>
      </c>
      <c r="Y40" s="17" t="s">
        <v>180</v>
      </c>
      <c r="Z40" s="17" t="s">
        <v>121</v>
      </c>
      <c r="AA40" s="31">
        <v>776738.91716399998</v>
      </c>
      <c r="AB40" s="31">
        <v>2419207.4422200001</v>
      </c>
    </row>
    <row r="41" spans="1:28">
      <c r="A41" s="30">
        <v>40</v>
      </c>
      <c r="B41" s="17">
        <v>611122</v>
      </c>
      <c r="C41" s="17" t="s">
        <v>331</v>
      </c>
      <c r="D41" s="17" t="s">
        <v>689</v>
      </c>
      <c r="E41" s="17" t="s">
        <v>753</v>
      </c>
      <c r="F41" s="17" t="s">
        <v>1118</v>
      </c>
      <c r="H41" s="17" t="s">
        <v>69</v>
      </c>
      <c r="I41" s="17">
        <v>20030</v>
      </c>
      <c r="J41" s="17" t="s">
        <v>54</v>
      </c>
      <c r="K41" s="17" t="s">
        <v>73</v>
      </c>
      <c r="L41" s="17" t="s">
        <v>20</v>
      </c>
      <c r="M41" s="17" t="s">
        <v>193</v>
      </c>
      <c r="N41" s="17" t="s">
        <v>56</v>
      </c>
      <c r="O41" s="17" t="s">
        <v>182</v>
      </c>
      <c r="P41" s="17" t="s">
        <v>20</v>
      </c>
      <c r="Q41" s="17" t="s">
        <v>100</v>
      </c>
      <c r="R41" s="17" t="s">
        <v>20</v>
      </c>
      <c r="S41" s="17" t="s">
        <v>194</v>
      </c>
      <c r="T41" s="17">
        <v>602</v>
      </c>
      <c r="U41" s="18">
        <v>0</v>
      </c>
      <c r="V41" s="17" t="s">
        <v>754</v>
      </c>
      <c r="X41" s="17" t="s">
        <v>66</v>
      </c>
      <c r="Y41" s="17" t="s">
        <v>183</v>
      </c>
      <c r="Z41" s="17" t="s">
        <v>184</v>
      </c>
      <c r="AA41" s="31">
        <v>780418.68903899996</v>
      </c>
      <c r="AB41" s="31">
        <v>2423547.3338899999</v>
      </c>
    </row>
    <row r="42" spans="1:28">
      <c r="A42" s="30">
        <v>41</v>
      </c>
      <c r="B42" s="17">
        <v>611122</v>
      </c>
      <c r="C42" s="17" t="s">
        <v>331</v>
      </c>
      <c r="D42" s="17" t="s">
        <v>689</v>
      </c>
      <c r="E42" s="17" t="s">
        <v>755</v>
      </c>
      <c r="F42" s="17" t="s">
        <v>1118</v>
      </c>
      <c r="H42" s="17" t="s">
        <v>69</v>
      </c>
      <c r="I42" s="17">
        <v>20030</v>
      </c>
      <c r="J42" s="17" t="s">
        <v>54</v>
      </c>
      <c r="K42" s="17" t="s">
        <v>73</v>
      </c>
      <c r="L42" s="17" t="s">
        <v>20</v>
      </c>
      <c r="M42" s="17" t="s">
        <v>100</v>
      </c>
      <c r="N42" s="17" t="s">
        <v>20</v>
      </c>
      <c r="O42" s="17" t="s">
        <v>193</v>
      </c>
      <c r="P42" s="17" t="s">
        <v>20</v>
      </c>
      <c r="Q42" s="17" t="s">
        <v>194</v>
      </c>
      <c r="R42" s="17" t="s">
        <v>56</v>
      </c>
      <c r="S42" s="17" t="s">
        <v>185</v>
      </c>
      <c r="T42" s="17">
        <v>0</v>
      </c>
      <c r="U42" s="18">
        <v>0</v>
      </c>
      <c r="V42" s="17" t="s">
        <v>756</v>
      </c>
      <c r="X42" s="17" t="s">
        <v>66</v>
      </c>
      <c r="Y42" s="17" t="s">
        <v>183</v>
      </c>
      <c r="Z42" s="17" t="s">
        <v>184</v>
      </c>
      <c r="AA42" s="31">
        <v>780326.50034599996</v>
      </c>
      <c r="AB42" s="31">
        <v>2423565.6647199998</v>
      </c>
    </row>
    <row r="43" spans="1:28">
      <c r="A43" s="30">
        <v>42</v>
      </c>
      <c r="B43" s="17">
        <v>611122</v>
      </c>
      <c r="C43" s="17" t="s">
        <v>331</v>
      </c>
      <c r="D43" s="17" t="s">
        <v>689</v>
      </c>
      <c r="E43" s="17" t="s">
        <v>757</v>
      </c>
      <c r="F43" s="17" t="s">
        <v>1118</v>
      </c>
      <c r="G43" s="17" t="s">
        <v>758</v>
      </c>
      <c r="H43" s="17" t="s">
        <v>69</v>
      </c>
      <c r="I43" s="17">
        <v>20050</v>
      </c>
      <c r="J43" s="17" t="s">
        <v>54</v>
      </c>
      <c r="K43" s="17" t="s">
        <v>73</v>
      </c>
      <c r="L43" s="17" t="s">
        <v>20</v>
      </c>
      <c r="M43" s="17" t="s">
        <v>196</v>
      </c>
      <c r="N43" s="17" t="s">
        <v>20</v>
      </c>
      <c r="O43" s="17" t="s">
        <v>110</v>
      </c>
      <c r="P43" s="17" t="s">
        <v>20</v>
      </c>
      <c r="Q43" s="17" t="s">
        <v>186</v>
      </c>
      <c r="R43" s="17" t="s">
        <v>20</v>
      </c>
      <c r="S43" s="17" t="s">
        <v>198</v>
      </c>
      <c r="T43" s="17">
        <v>1029</v>
      </c>
      <c r="U43" s="18">
        <v>0</v>
      </c>
      <c r="V43" s="17" t="s">
        <v>759</v>
      </c>
      <c r="X43" s="17" t="s">
        <v>66</v>
      </c>
      <c r="Y43" s="17" t="s">
        <v>183</v>
      </c>
      <c r="Z43" s="17" t="s">
        <v>184</v>
      </c>
      <c r="AA43" s="31">
        <v>779033.59184200002</v>
      </c>
      <c r="AB43" s="31">
        <v>2423684.7402499998</v>
      </c>
    </row>
    <row r="44" spans="1:28">
      <c r="A44" s="30">
        <v>43</v>
      </c>
      <c r="B44" s="17">
        <v>611122</v>
      </c>
      <c r="C44" s="17" t="s">
        <v>331</v>
      </c>
      <c r="D44" s="17" t="s">
        <v>689</v>
      </c>
      <c r="E44" s="17" t="s">
        <v>761</v>
      </c>
      <c r="F44" s="17" t="s">
        <v>1118</v>
      </c>
      <c r="G44" s="17" t="s">
        <v>240</v>
      </c>
      <c r="H44" s="17" t="s">
        <v>69</v>
      </c>
      <c r="I44" s="17">
        <v>20070</v>
      </c>
      <c r="J44" s="17" t="s">
        <v>54</v>
      </c>
      <c r="K44" s="17" t="s">
        <v>73</v>
      </c>
      <c r="L44" s="17" t="s">
        <v>58</v>
      </c>
      <c r="M44" s="17" t="s">
        <v>213</v>
      </c>
      <c r="N44" s="17" t="s">
        <v>58</v>
      </c>
      <c r="O44" s="17" t="s">
        <v>566</v>
      </c>
      <c r="P44" s="17" t="s">
        <v>20</v>
      </c>
      <c r="Q44" s="17" t="s">
        <v>201</v>
      </c>
      <c r="R44" s="17" t="s">
        <v>20</v>
      </c>
      <c r="S44" s="17" t="s">
        <v>204</v>
      </c>
      <c r="T44" s="17">
        <v>133</v>
      </c>
      <c r="U44" s="18">
        <v>0</v>
      </c>
      <c r="X44" s="17" t="s">
        <v>66</v>
      </c>
      <c r="Y44" s="17" t="s">
        <v>120</v>
      </c>
      <c r="Z44" s="17" t="s">
        <v>184</v>
      </c>
      <c r="AA44" s="31">
        <v>778005.55458800006</v>
      </c>
      <c r="AB44" s="31">
        <v>2421709.5560900001</v>
      </c>
    </row>
    <row r="45" spans="1:28">
      <c r="A45" s="30">
        <v>44</v>
      </c>
      <c r="B45" s="17">
        <v>611122</v>
      </c>
      <c r="C45" s="17" t="s">
        <v>331</v>
      </c>
      <c r="D45" s="17" t="s">
        <v>689</v>
      </c>
      <c r="E45" s="17" t="s">
        <v>762</v>
      </c>
      <c r="F45" s="17" t="s">
        <v>1118</v>
      </c>
      <c r="G45" s="17" t="s">
        <v>694</v>
      </c>
      <c r="H45" s="17" t="s">
        <v>94</v>
      </c>
      <c r="I45" s="17">
        <v>20210</v>
      </c>
      <c r="J45" s="17" t="s">
        <v>54</v>
      </c>
      <c r="K45" s="17" t="s">
        <v>73</v>
      </c>
      <c r="L45" s="17" t="s">
        <v>132</v>
      </c>
      <c r="M45" s="17" t="s">
        <v>180</v>
      </c>
      <c r="N45" s="17" t="s">
        <v>56</v>
      </c>
      <c r="O45" s="17" t="s">
        <v>181</v>
      </c>
      <c r="P45" s="17" t="s">
        <v>20</v>
      </c>
      <c r="Q45" s="17" t="s">
        <v>216</v>
      </c>
      <c r="R45" s="17" t="s">
        <v>56</v>
      </c>
      <c r="S45" s="17" t="s">
        <v>301</v>
      </c>
      <c r="T45" s="17">
        <v>0</v>
      </c>
      <c r="U45" s="18">
        <v>0</v>
      </c>
      <c r="V45" s="17" t="s">
        <v>763</v>
      </c>
      <c r="X45" s="17" t="s">
        <v>66</v>
      </c>
      <c r="Y45" s="17" t="s">
        <v>120</v>
      </c>
      <c r="Z45" s="17" t="s">
        <v>184</v>
      </c>
      <c r="AA45" s="31">
        <v>777306.11642600002</v>
      </c>
      <c r="AB45" s="31">
        <v>2420855.5285800002</v>
      </c>
    </row>
    <row r="46" spans="1:28">
      <c r="A46" s="30">
        <v>45</v>
      </c>
      <c r="B46" s="17">
        <v>611122</v>
      </c>
      <c r="C46" s="17" t="s">
        <v>331</v>
      </c>
      <c r="D46" s="17" t="s">
        <v>689</v>
      </c>
      <c r="E46" s="17" t="s">
        <v>764</v>
      </c>
      <c r="F46" s="17" t="s">
        <v>1118</v>
      </c>
      <c r="G46" s="17" t="s">
        <v>240</v>
      </c>
      <c r="H46" s="17" t="s">
        <v>85</v>
      </c>
      <c r="I46" s="17">
        <v>20220</v>
      </c>
      <c r="J46" s="17" t="s">
        <v>54</v>
      </c>
      <c r="K46" s="17" t="s">
        <v>63</v>
      </c>
      <c r="L46" s="17" t="s">
        <v>20</v>
      </c>
      <c r="M46" s="17" t="s">
        <v>208</v>
      </c>
      <c r="N46" s="17" t="s">
        <v>20</v>
      </c>
      <c r="O46" s="17" t="s">
        <v>209</v>
      </c>
      <c r="P46" s="17" t="s">
        <v>20</v>
      </c>
      <c r="Q46" s="17" t="s">
        <v>208</v>
      </c>
      <c r="R46" s="17" t="s">
        <v>129</v>
      </c>
      <c r="S46" s="17" t="s">
        <v>426</v>
      </c>
      <c r="T46" s="17">
        <v>0</v>
      </c>
      <c r="U46" s="18">
        <v>0</v>
      </c>
      <c r="X46" s="17" t="s">
        <v>60</v>
      </c>
      <c r="Y46" s="17" t="s">
        <v>120</v>
      </c>
      <c r="Z46" s="17" t="s">
        <v>184</v>
      </c>
      <c r="AA46" s="31">
        <v>778003.26850100001</v>
      </c>
      <c r="AB46" s="31">
        <v>2421252.1622299999</v>
      </c>
    </row>
    <row r="47" spans="1:28">
      <c r="A47" s="30">
        <v>46</v>
      </c>
      <c r="B47" s="17">
        <v>611122</v>
      </c>
      <c r="C47" s="17" t="s">
        <v>331</v>
      </c>
      <c r="D47" s="17" t="s">
        <v>689</v>
      </c>
      <c r="E47" s="17" t="s">
        <v>765</v>
      </c>
      <c r="F47" s="17" t="s">
        <v>1118</v>
      </c>
      <c r="G47" s="17" t="s">
        <v>240</v>
      </c>
      <c r="H47" s="17" t="s">
        <v>69</v>
      </c>
      <c r="I47" s="17">
        <v>20040</v>
      </c>
      <c r="J47" s="17" t="s">
        <v>54</v>
      </c>
      <c r="K47" s="17" t="s">
        <v>73</v>
      </c>
      <c r="L47" s="17" t="s">
        <v>20</v>
      </c>
      <c r="M47" s="17" t="s">
        <v>569</v>
      </c>
      <c r="N47" s="17" t="s">
        <v>20</v>
      </c>
      <c r="O47" s="17" t="s">
        <v>92</v>
      </c>
      <c r="P47" s="17" t="s">
        <v>20</v>
      </c>
      <c r="Q47" s="17" t="s">
        <v>245</v>
      </c>
      <c r="R47" s="17" t="s">
        <v>20</v>
      </c>
      <c r="S47" s="17" t="s">
        <v>568</v>
      </c>
      <c r="T47" s="17">
        <v>112</v>
      </c>
      <c r="U47" s="18">
        <v>4499147463</v>
      </c>
      <c r="V47" s="17" t="s">
        <v>766</v>
      </c>
      <c r="X47" s="17" t="s">
        <v>66</v>
      </c>
      <c r="Y47" s="17" t="s">
        <v>164</v>
      </c>
      <c r="Z47" s="17" t="s">
        <v>184</v>
      </c>
      <c r="AA47" s="31">
        <v>778103.369312</v>
      </c>
      <c r="AB47" s="31">
        <v>2423636.3794900002</v>
      </c>
    </row>
    <row r="48" spans="1:28">
      <c r="A48" s="30">
        <v>47</v>
      </c>
      <c r="B48" s="17">
        <v>611122</v>
      </c>
      <c r="C48" s="17" t="s">
        <v>331</v>
      </c>
      <c r="D48" s="17" t="s">
        <v>689</v>
      </c>
      <c r="E48" s="17" t="s">
        <v>767</v>
      </c>
      <c r="F48" s="17" t="s">
        <v>1118</v>
      </c>
      <c r="G48" s="17" t="s">
        <v>240</v>
      </c>
      <c r="H48" s="17" t="s">
        <v>69</v>
      </c>
      <c r="I48" s="17">
        <v>20050</v>
      </c>
      <c r="J48" s="17" t="s">
        <v>54</v>
      </c>
      <c r="K48" s="17" t="s">
        <v>73</v>
      </c>
      <c r="L48" s="17" t="s">
        <v>20</v>
      </c>
      <c r="M48" s="17" t="s">
        <v>195</v>
      </c>
      <c r="N48" s="17" t="s">
        <v>20</v>
      </c>
      <c r="O48" s="17" t="s">
        <v>92</v>
      </c>
      <c r="P48" s="17" t="s">
        <v>20</v>
      </c>
      <c r="Q48" s="17" t="s">
        <v>187</v>
      </c>
      <c r="R48" s="17" t="s">
        <v>20</v>
      </c>
      <c r="S48" s="17" t="s">
        <v>289</v>
      </c>
      <c r="T48" s="17">
        <v>1031</v>
      </c>
      <c r="U48" s="18">
        <v>0</v>
      </c>
      <c r="V48" s="17" t="s">
        <v>768</v>
      </c>
      <c r="X48" s="17" t="s">
        <v>66</v>
      </c>
      <c r="Y48" s="17" t="s">
        <v>164</v>
      </c>
      <c r="Z48" s="17" t="s">
        <v>184</v>
      </c>
      <c r="AA48" s="31">
        <v>778591.71301299997</v>
      </c>
      <c r="AB48" s="31">
        <v>2423722.9912100001</v>
      </c>
    </row>
    <row r="49" spans="1:28">
      <c r="A49" s="30">
        <v>48</v>
      </c>
      <c r="B49" s="17">
        <v>611122</v>
      </c>
      <c r="C49" s="17" t="s">
        <v>331</v>
      </c>
      <c r="D49" s="17" t="s">
        <v>689</v>
      </c>
      <c r="E49" s="17" t="s">
        <v>769</v>
      </c>
      <c r="F49" s="17" t="s">
        <v>1118</v>
      </c>
      <c r="G49" s="17" t="s">
        <v>770</v>
      </c>
      <c r="H49" s="17" t="s">
        <v>69</v>
      </c>
      <c r="I49" s="17">
        <v>20030</v>
      </c>
      <c r="J49" s="17" t="s">
        <v>54</v>
      </c>
      <c r="K49" s="17" t="s">
        <v>73</v>
      </c>
      <c r="L49" s="17" t="s">
        <v>20</v>
      </c>
      <c r="M49" s="17" t="s">
        <v>189</v>
      </c>
      <c r="N49" s="17" t="s">
        <v>20</v>
      </c>
      <c r="O49" s="17" t="s">
        <v>187</v>
      </c>
      <c r="P49" s="17" t="s">
        <v>56</v>
      </c>
      <c r="Q49" s="17" t="s">
        <v>199</v>
      </c>
      <c r="R49" s="17" t="s">
        <v>56</v>
      </c>
      <c r="S49" s="17" t="s">
        <v>95</v>
      </c>
      <c r="T49" s="17">
        <v>0</v>
      </c>
      <c r="U49" s="18">
        <v>4491737349</v>
      </c>
      <c r="V49" s="17" t="s">
        <v>771</v>
      </c>
      <c r="X49" s="17" t="s">
        <v>60</v>
      </c>
      <c r="Y49" s="17" t="s">
        <v>164</v>
      </c>
      <c r="Z49" s="17" t="s">
        <v>184</v>
      </c>
      <c r="AA49" s="31">
        <v>779504.51766000001</v>
      </c>
      <c r="AB49" s="31">
        <v>2424159.59301</v>
      </c>
    </row>
    <row r="50" spans="1:28">
      <c r="A50" s="30">
        <v>49</v>
      </c>
      <c r="B50" s="17">
        <v>611122</v>
      </c>
      <c r="C50" s="17" t="s">
        <v>331</v>
      </c>
      <c r="D50" s="17" t="s">
        <v>689</v>
      </c>
      <c r="E50" s="17" t="s">
        <v>772</v>
      </c>
      <c r="F50" s="17" t="s">
        <v>1118</v>
      </c>
      <c r="G50" s="17" t="s">
        <v>240</v>
      </c>
      <c r="H50" s="17" t="s">
        <v>69</v>
      </c>
      <c r="I50" s="17">
        <v>20030</v>
      </c>
      <c r="J50" s="17" t="s">
        <v>54</v>
      </c>
      <c r="K50" s="17" t="s">
        <v>63</v>
      </c>
      <c r="L50" s="17" t="s">
        <v>20</v>
      </c>
      <c r="M50" s="17" t="s">
        <v>189</v>
      </c>
      <c r="N50" s="17" t="s">
        <v>20</v>
      </c>
      <c r="O50" s="17" t="s">
        <v>187</v>
      </c>
      <c r="P50" s="17" t="s">
        <v>20</v>
      </c>
      <c r="Q50" s="17" t="s">
        <v>242</v>
      </c>
      <c r="R50" s="17" t="s">
        <v>20</v>
      </c>
      <c r="S50" s="17" t="s">
        <v>200</v>
      </c>
      <c r="T50" s="17">
        <v>809</v>
      </c>
      <c r="U50" s="18">
        <v>4499145358</v>
      </c>
      <c r="V50" s="17" t="s">
        <v>773</v>
      </c>
      <c r="X50" s="17" t="s">
        <v>66</v>
      </c>
      <c r="Y50" s="17" t="s">
        <v>164</v>
      </c>
      <c r="Z50" s="17" t="s">
        <v>184</v>
      </c>
      <c r="AA50" s="31">
        <v>779540.90874600003</v>
      </c>
      <c r="AB50" s="31">
        <v>2424081.19007</v>
      </c>
    </row>
    <row r="51" spans="1:28">
      <c r="A51" s="30">
        <v>50</v>
      </c>
      <c r="B51" s="17">
        <v>611122</v>
      </c>
      <c r="C51" s="17" t="s">
        <v>331</v>
      </c>
      <c r="D51" s="17" t="s">
        <v>689</v>
      </c>
      <c r="E51" s="17" t="s">
        <v>774</v>
      </c>
      <c r="F51" s="17" t="s">
        <v>1118</v>
      </c>
      <c r="G51" s="17" t="s">
        <v>240</v>
      </c>
      <c r="H51" s="17" t="s">
        <v>69</v>
      </c>
      <c r="I51" s="17">
        <v>20040</v>
      </c>
      <c r="J51" s="17" t="s">
        <v>54</v>
      </c>
      <c r="K51" s="17" t="s">
        <v>73</v>
      </c>
      <c r="L51" s="17" t="s">
        <v>20</v>
      </c>
      <c r="M51" s="17" t="s">
        <v>239</v>
      </c>
      <c r="N51" s="17" t="s">
        <v>20</v>
      </c>
      <c r="O51" s="17" t="s">
        <v>233</v>
      </c>
      <c r="P51" s="17" t="s">
        <v>20</v>
      </c>
      <c r="Q51" s="17" t="s">
        <v>225</v>
      </c>
      <c r="R51" s="17" t="s">
        <v>20</v>
      </c>
      <c r="S51" s="17" t="s">
        <v>238</v>
      </c>
      <c r="T51" s="17">
        <v>601</v>
      </c>
      <c r="U51" s="18">
        <v>0</v>
      </c>
      <c r="X51" s="17" t="s">
        <v>66</v>
      </c>
      <c r="Y51" s="17" t="s">
        <v>164</v>
      </c>
      <c r="Z51" s="17" t="s">
        <v>184</v>
      </c>
      <c r="AA51" s="31">
        <v>777815.49166000006</v>
      </c>
      <c r="AB51" s="31">
        <v>2423244.6372600002</v>
      </c>
    </row>
    <row r="52" spans="1:28">
      <c r="A52" s="30">
        <v>51</v>
      </c>
      <c r="B52" s="17">
        <v>611122</v>
      </c>
      <c r="C52" s="17" t="s">
        <v>331</v>
      </c>
      <c r="D52" s="17" t="s">
        <v>689</v>
      </c>
      <c r="E52" s="17" t="s">
        <v>775</v>
      </c>
      <c r="F52" s="17" t="s">
        <v>1118</v>
      </c>
      <c r="G52" s="17" t="s">
        <v>240</v>
      </c>
      <c r="H52" s="17" t="s">
        <v>69</v>
      </c>
      <c r="I52" s="17">
        <v>20010</v>
      </c>
      <c r="J52" s="17" t="s">
        <v>54</v>
      </c>
      <c r="K52" s="17" t="s">
        <v>73</v>
      </c>
      <c r="L52" s="17" t="s">
        <v>20</v>
      </c>
      <c r="M52" s="17" t="s">
        <v>232</v>
      </c>
      <c r="N52" s="17" t="s">
        <v>20</v>
      </c>
      <c r="O52" s="17" t="s">
        <v>226</v>
      </c>
      <c r="P52" s="17" t="s">
        <v>20</v>
      </c>
      <c r="Q52" s="17" t="s">
        <v>225</v>
      </c>
      <c r="R52" s="17" t="s">
        <v>20</v>
      </c>
      <c r="S52" s="17" t="s">
        <v>227</v>
      </c>
      <c r="T52" s="17">
        <v>197</v>
      </c>
      <c r="U52" s="18">
        <v>4499141566</v>
      </c>
      <c r="X52" s="17" t="s">
        <v>66</v>
      </c>
      <c r="Y52" s="17" t="s">
        <v>164</v>
      </c>
      <c r="Z52" s="17" t="s">
        <v>184</v>
      </c>
      <c r="AA52" s="31">
        <v>777369.20842399995</v>
      </c>
      <c r="AB52" s="31">
        <v>2423570.94484</v>
      </c>
    </row>
    <row r="53" spans="1:28">
      <c r="A53" s="30">
        <v>52</v>
      </c>
      <c r="B53" s="17">
        <v>611122</v>
      </c>
      <c r="C53" s="17" t="s">
        <v>331</v>
      </c>
      <c r="D53" s="17" t="s">
        <v>689</v>
      </c>
      <c r="E53" s="17" t="s">
        <v>776</v>
      </c>
      <c r="F53" s="17" t="s">
        <v>1118</v>
      </c>
      <c r="G53" s="17" t="s">
        <v>777</v>
      </c>
      <c r="H53" s="17" t="s">
        <v>94</v>
      </c>
      <c r="I53" s="17">
        <v>20010</v>
      </c>
      <c r="J53" s="17" t="s">
        <v>54</v>
      </c>
      <c r="K53" s="17" t="s">
        <v>73</v>
      </c>
      <c r="L53" s="17" t="s">
        <v>20</v>
      </c>
      <c r="M53" s="17" t="s">
        <v>220</v>
      </c>
      <c r="N53" s="17" t="s">
        <v>20</v>
      </c>
      <c r="O53" s="17" t="s">
        <v>229</v>
      </c>
      <c r="P53" s="17" t="s">
        <v>20</v>
      </c>
      <c r="Q53" s="17" t="s">
        <v>221</v>
      </c>
      <c r="R53" s="17" t="s">
        <v>20</v>
      </c>
      <c r="S53" s="17" t="s">
        <v>570</v>
      </c>
      <c r="T53" s="17">
        <v>203</v>
      </c>
      <c r="U53" s="18">
        <v>0</v>
      </c>
      <c r="V53" s="17" t="s">
        <v>778</v>
      </c>
      <c r="X53" s="17" t="s">
        <v>66</v>
      </c>
      <c r="Y53" s="17" t="s">
        <v>164</v>
      </c>
      <c r="Z53" s="17" t="s">
        <v>184</v>
      </c>
      <c r="AA53" s="31">
        <v>776831.47569600004</v>
      </c>
      <c r="AB53" s="31">
        <v>2423824.4135099999</v>
      </c>
    </row>
    <row r="54" spans="1:28">
      <c r="A54" s="30">
        <v>53</v>
      </c>
      <c r="B54" s="17">
        <v>611122</v>
      </c>
      <c r="C54" s="17" t="s">
        <v>331</v>
      </c>
      <c r="D54" s="17" t="s">
        <v>689</v>
      </c>
      <c r="E54" s="17" t="s">
        <v>779</v>
      </c>
      <c r="F54" s="17" t="s">
        <v>1118</v>
      </c>
      <c r="G54" s="17" t="s">
        <v>240</v>
      </c>
      <c r="H54" s="17" t="s">
        <v>94</v>
      </c>
      <c r="I54" s="17">
        <v>20137</v>
      </c>
      <c r="J54" s="17" t="s">
        <v>54</v>
      </c>
      <c r="K54" s="17" t="s">
        <v>73</v>
      </c>
      <c r="L54" s="17" t="s">
        <v>20</v>
      </c>
      <c r="M54" s="17" t="s">
        <v>230</v>
      </c>
      <c r="N54" s="17" t="s">
        <v>20</v>
      </c>
      <c r="O54" s="17" t="s">
        <v>237</v>
      </c>
      <c r="P54" s="17" t="s">
        <v>20</v>
      </c>
      <c r="Q54" s="17" t="s">
        <v>235</v>
      </c>
      <c r="R54" s="17" t="s">
        <v>20</v>
      </c>
      <c r="S54" s="17" t="s">
        <v>235</v>
      </c>
      <c r="T54" s="17">
        <v>202</v>
      </c>
      <c r="U54" s="18">
        <v>4499141501</v>
      </c>
      <c r="X54" s="17" t="s">
        <v>66</v>
      </c>
      <c r="Y54" s="17" t="s">
        <v>164</v>
      </c>
      <c r="Z54" s="17" t="s">
        <v>184</v>
      </c>
      <c r="AA54" s="31">
        <v>779559.16547699994</v>
      </c>
      <c r="AB54" s="31">
        <v>2424778.2954099998</v>
      </c>
    </row>
    <row r="55" spans="1:28">
      <c r="A55" s="30">
        <v>54</v>
      </c>
      <c r="B55" s="17">
        <v>611122</v>
      </c>
      <c r="C55" s="17" t="s">
        <v>331</v>
      </c>
      <c r="D55" s="17" t="s">
        <v>689</v>
      </c>
      <c r="E55" s="17" t="s">
        <v>780</v>
      </c>
      <c r="F55" s="17" t="s">
        <v>1118</v>
      </c>
      <c r="G55" s="17" t="s">
        <v>240</v>
      </c>
      <c r="H55" s="17" t="s">
        <v>94</v>
      </c>
      <c r="I55" s="17">
        <v>20010</v>
      </c>
      <c r="J55" s="17" t="s">
        <v>54</v>
      </c>
      <c r="K55" s="17" t="s">
        <v>73</v>
      </c>
      <c r="L55" s="17" t="s">
        <v>20</v>
      </c>
      <c r="M55" s="17" t="s">
        <v>222</v>
      </c>
      <c r="N55" s="17" t="s">
        <v>56</v>
      </c>
      <c r="O55" s="17" t="s">
        <v>199</v>
      </c>
      <c r="P55" s="17" t="s">
        <v>20</v>
      </c>
      <c r="Q55" s="17" t="s">
        <v>68</v>
      </c>
      <c r="R55" s="17" t="s">
        <v>20</v>
      </c>
      <c r="S55" s="17" t="s">
        <v>236</v>
      </c>
      <c r="T55" s="17">
        <v>0</v>
      </c>
      <c r="U55" s="18">
        <v>0</v>
      </c>
      <c r="V55" s="17" t="s">
        <v>781</v>
      </c>
      <c r="X55" s="17" t="s">
        <v>66</v>
      </c>
      <c r="Y55" s="17" t="s">
        <v>164</v>
      </c>
      <c r="Z55" s="17" t="s">
        <v>184</v>
      </c>
      <c r="AA55" s="31">
        <v>778043.53182499995</v>
      </c>
      <c r="AB55" s="31">
        <v>2423817.7727299999</v>
      </c>
    </row>
    <row r="56" spans="1:28">
      <c r="A56" s="30">
        <v>55</v>
      </c>
      <c r="B56" s="17">
        <v>611122</v>
      </c>
      <c r="C56" s="17" t="s">
        <v>331</v>
      </c>
      <c r="D56" s="17" t="s">
        <v>689</v>
      </c>
      <c r="E56" s="17" t="s">
        <v>782</v>
      </c>
      <c r="F56" s="17" t="s">
        <v>1118</v>
      </c>
      <c r="G56" s="17" t="s">
        <v>783</v>
      </c>
      <c r="H56" s="17" t="s">
        <v>69</v>
      </c>
      <c r="I56" s="17">
        <v>20040</v>
      </c>
      <c r="J56" s="17" t="s">
        <v>54</v>
      </c>
      <c r="K56" s="17" t="s">
        <v>63</v>
      </c>
      <c r="L56" s="17" t="s">
        <v>20</v>
      </c>
      <c r="M56" s="17" t="s">
        <v>222</v>
      </c>
      <c r="N56" s="17" t="s">
        <v>20</v>
      </c>
      <c r="O56" s="17" t="s">
        <v>246</v>
      </c>
      <c r="P56" s="17" t="s">
        <v>20</v>
      </c>
      <c r="Q56" s="17" t="s">
        <v>247</v>
      </c>
      <c r="R56" s="17" t="s">
        <v>20</v>
      </c>
      <c r="S56" s="17" t="s">
        <v>246</v>
      </c>
      <c r="T56" s="17">
        <v>0</v>
      </c>
      <c r="U56" s="18">
        <v>4499148410</v>
      </c>
      <c r="X56" s="17" t="s">
        <v>66</v>
      </c>
      <c r="Y56" s="17" t="s">
        <v>180</v>
      </c>
      <c r="Z56" s="17" t="s">
        <v>184</v>
      </c>
      <c r="AA56" s="31">
        <v>778368.16758799995</v>
      </c>
      <c r="AB56" s="31">
        <v>2423435.4834400001</v>
      </c>
    </row>
    <row r="57" spans="1:28">
      <c r="A57" s="30">
        <v>56</v>
      </c>
      <c r="B57" s="17">
        <v>611122</v>
      </c>
      <c r="C57" s="17" t="s">
        <v>331</v>
      </c>
      <c r="D57" s="17" t="s">
        <v>689</v>
      </c>
      <c r="E57" s="17" t="s">
        <v>784</v>
      </c>
      <c r="F57" s="17" t="s">
        <v>1118</v>
      </c>
      <c r="G57" s="17" t="s">
        <v>240</v>
      </c>
      <c r="H57" s="17" t="s">
        <v>69</v>
      </c>
      <c r="I57" s="17">
        <v>20070</v>
      </c>
      <c r="J57" s="17" t="s">
        <v>54</v>
      </c>
      <c r="K57" s="17" t="s">
        <v>73</v>
      </c>
      <c r="L57" s="17" t="s">
        <v>20</v>
      </c>
      <c r="M57" s="17" t="s">
        <v>202</v>
      </c>
      <c r="N57" s="17" t="s">
        <v>20</v>
      </c>
      <c r="O57" s="17" t="s">
        <v>211</v>
      </c>
      <c r="P57" s="17" t="s">
        <v>20</v>
      </c>
      <c r="Q57" s="17" t="s">
        <v>203</v>
      </c>
      <c r="R57" s="17" t="s">
        <v>20</v>
      </c>
      <c r="S57" s="17" t="s">
        <v>97</v>
      </c>
      <c r="T57" s="17">
        <v>276</v>
      </c>
      <c r="U57" s="18">
        <v>0</v>
      </c>
      <c r="V57" s="17" t="s">
        <v>785</v>
      </c>
      <c r="X57" s="17" t="s">
        <v>66</v>
      </c>
      <c r="Y57" s="17" t="s">
        <v>180</v>
      </c>
      <c r="Z57" s="17" t="s">
        <v>184</v>
      </c>
      <c r="AA57" s="31">
        <v>777387.81091799994</v>
      </c>
      <c r="AB57" s="31">
        <v>2421963.4664099999</v>
      </c>
    </row>
    <row r="58" spans="1:28">
      <c r="A58" s="30">
        <v>57</v>
      </c>
      <c r="B58" s="17">
        <v>611122</v>
      </c>
      <c r="C58" s="17" t="s">
        <v>331</v>
      </c>
      <c r="D58" s="17" t="s">
        <v>689</v>
      </c>
      <c r="E58" s="17" t="s">
        <v>786</v>
      </c>
      <c r="F58" s="17" t="s">
        <v>1118</v>
      </c>
      <c r="G58" s="17" t="s">
        <v>786</v>
      </c>
      <c r="H58" s="17" t="s">
        <v>94</v>
      </c>
      <c r="I58" s="17">
        <v>20040</v>
      </c>
      <c r="J58" s="17" t="s">
        <v>54</v>
      </c>
      <c r="K58" s="17" t="s">
        <v>73</v>
      </c>
      <c r="L58" s="17" t="s">
        <v>119</v>
      </c>
      <c r="M58" s="17" t="s">
        <v>249</v>
      </c>
      <c r="N58" s="17" t="s">
        <v>20</v>
      </c>
      <c r="O58" s="17" t="s">
        <v>118</v>
      </c>
      <c r="P58" s="17" t="s">
        <v>58</v>
      </c>
      <c r="Q58" s="17" t="s">
        <v>573</v>
      </c>
      <c r="R58" s="17" t="s">
        <v>20</v>
      </c>
      <c r="S58" s="17" t="s">
        <v>243</v>
      </c>
      <c r="T58" s="17">
        <v>0</v>
      </c>
      <c r="U58" s="18">
        <v>4499168248</v>
      </c>
      <c r="X58" s="17" t="s">
        <v>66</v>
      </c>
      <c r="Y58" s="17" t="s">
        <v>180</v>
      </c>
      <c r="Z58" s="17" t="s">
        <v>184</v>
      </c>
      <c r="AA58" s="31">
        <v>777016.72822599998</v>
      </c>
      <c r="AB58" s="31">
        <v>2422661.2783599999</v>
      </c>
    </row>
    <row r="59" spans="1:28">
      <c r="A59" s="30">
        <v>58</v>
      </c>
      <c r="B59" s="17">
        <v>611122</v>
      </c>
      <c r="C59" s="17" t="s">
        <v>331</v>
      </c>
      <c r="D59" s="17" t="s">
        <v>689</v>
      </c>
      <c r="E59" s="17" t="s">
        <v>787</v>
      </c>
      <c r="F59" s="17" t="s">
        <v>1118</v>
      </c>
      <c r="G59" s="17" t="s">
        <v>240</v>
      </c>
      <c r="H59" s="17" t="s">
        <v>94</v>
      </c>
      <c r="I59" s="17">
        <v>20078</v>
      </c>
      <c r="J59" s="17" t="s">
        <v>54</v>
      </c>
      <c r="K59" s="17" t="s">
        <v>73</v>
      </c>
      <c r="L59" s="17" t="s">
        <v>20</v>
      </c>
      <c r="M59" s="17" t="s">
        <v>211</v>
      </c>
      <c r="N59" s="17" t="s">
        <v>20</v>
      </c>
      <c r="O59" s="17" t="s">
        <v>250</v>
      </c>
      <c r="P59" s="17" t="s">
        <v>56</v>
      </c>
      <c r="Q59" s="17" t="s">
        <v>181</v>
      </c>
      <c r="R59" s="17" t="s">
        <v>20</v>
      </c>
      <c r="S59" s="17" t="s">
        <v>572</v>
      </c>
      <c r="T59" s="17">
        <v>0</v>
      </c>
      <c r="U59" s="18">
        <v>4499161382</v>
      </c>
      <c r="X59" s="17" t="s">
        <v>66</v>
      </c>
      <c r="Y59" s="17" t="s">
        <v>180</v>
      </c>
      <c r="Z59" s="17" t="s">
        <v>184</v>
      </c>
      <c r="AA59" s="31">
        <v>776968.13928300003</v>
      </c>
      <c r="AB59" s="31">
        <v>2422037.5197200002</v>
      </c>
    </row>
    <row r="60" spans="1:28">
      <c r="A60" s="30">
        <v>59</v>
      </c>
      <c r="B60" s="17">
        <v>611122</v>
      </c>
      <c r="C60" s="17" t="s">
        <v>331</v>
      </c>
      <c r="D60" s="17" t="s">
        <v>689</v>
      </c>
      <c r="E60" s="17" t="s">
        <v>788</v>
      </c>
      <c r="F60" s="17" t="s">
        <v>1118</v>
      </c>
      <c r="G60" s="17" t="s">
        <v>240</v>
      </c>
      <c r="H60" s="17" t="s">
        <v>94</v>
      </c>
      <c r="I60" s="17">
        <v>20080</v>
      </c>
      <c r="J60" s="17" t="s">
        <v>54</v>
      </c>
      <c r="K60" s="17" t="s">
        <v>73</v>
      </c>
      <c r="L60" s="17" t="s">
        <v>20</v>
      </c>
      <c r="M60" s="17" t="s">
        <v>248</v>
      </c>
      <c r="N60" s="17" t="s">
        <v>20</v>
      </c>
      <c r="O60" s="17" t="s">
        <v>217</v>
      </c>
      <c r="P60" s="17" t="s">
        <v>20</v>
      </c>
      <c r="Q60" s="17" t="s">
        <v>219</v>
      </c>
      <c r="R60" s="17" t="s">
        <v>20</v>
      </c>
      <c r="S60" s="17" t="s">
        <v>97</v>
      </c>
      <c r="T60" s="17">
        <v>0</v>
      </c>
      <c r="U60" s="18">
        <v>0</v>
      </c>
      <c r="V60" s="17" t="s">
        <v>789</v>
      </c>
      <c r="X60" s="17" t="s">
        <v>66</v>
      </c>
      <c r="Y60" s="17" t="s">
        <v>180</v>
      </c>
      <c r="Z60" s="17" t="s">
        <v>184</v>
      </c>
      <c r="AA60" s="31">
        <v>777334.67885400006</v>
      </c>
      <c r="AB60" s="31">
        <v>2421539.4313400001</v>
      </c>
    </row>
    <row r="61" spans="1:28">
      <c r="A61" s="30">
        <v>60</v>
      </c>
      <c r="B61" s="17">
        <v>611121</v>
      </c>
      <c r="C61" s="17" t="s">
        <v>331</v>
      </c>
      <c r="D61" s="17" t="s">
        <v>52</v>
      </c>
      <c r="E61" s="17" t="s">
        <v>790</v>
      </c>
      <c r="F61" s="17" t="s">
        <v>1117</v>
      </c>
      <c r="G61" s="17" t="s">
        <v>791</v>
      </c>
      <c r="H61" s="17" t="s">
        <v>53</v>
      </c>
      <c r="I61" s="17">
        <v>20070</v>
      </c>
      <c r="J61" s="17" t="s">
        <v>54</v>
      </c>
      <c r="K61" s="17" t="s">
        <v>114</v>
      </c>
      <c r="L61" s="17" t="s">
        <v>20</v>
      </c>
      <c r="M61" s="17" t="s">
        <v>210</v>
      </c>
      <c r="N61" s="17" t="s">
        <v>20</v>
      </c>
      <c r="O61" s="17" t="s">
        <v>211</v>
      </c>
      <c r="P61" s="17" t="s">
        <v>20</v>
      </c>
      <c r="Q61" s="17" t="s">
        <v>243</v>
      </c>
      <c r="R61" s="17" t="s">
        <v>20</v>
      </c>
      <c r="S61" s="17" t="s">
        <v>211</v>
      </c>
      <c r="T61" s="17">
        <v>602</v>
      </c>
      <c r="U61" s="18">
        <v>0</v>
      </c>
      <c r="V61" s="17" t="s">
        <v>792</v>
      </c>
      <c r="W61" s="17" t="s">
        <v>793</v>
      </c>
      <c r="X61" s="17" t="s">
        <v>66</v>
      </c>
      <c r="Y61" s="17" t="s">
        <v>180</v>
      </c>
      <c r="Z61" s="17" t="s">
        <v>184</v>
      </c>
      <c r="AA61" s="31">
        <v>777620.38830400002</v>
      </c>
      <c r="AB61" s="31">
        <v>2422384.0523600001</v>
      </c>
    </row>
    <row r="62" spans="1:28">
      <c r="A62" s="30">
        <v>61</v>
      </c>
      <c r="B62" s="17">
        <v>611121</v>
      </c>
      <c r="C62" s="17" t="s">
        <v>331</v>
      </c>
      <c r="D62" s="17" t="s">
        <v>52</v>
      </c>
      <c r="E62" s="17" t="s">
        <v>794</v>
      </c>
      <c r="F62" s="17" t="s">
        <v>1117</v>
      </c>
      <c r="G62" s="17" t="s">
        <v>795</v>
      </c>
      <c r="H62" s="17" t="s">
        <v>69</v>
      </c>
      <c r="I62" s="17">
        <v>20070</v>
      </c>
      <c r="J62" s="17" t="s">
        <v>54</v>
      </c>
      <c r="K62" s="17" t="s">
        <v>55</v>
      </c>
      <c r="L62" s="17" t="s">
        <v>20</v>
      </c>
      <c r="M62" s="17" t="s">
        <v>211</v>
      </c>
      <c r="N62" s="17" t="s">
        <v>20</v>
      </c>
      <c r="O62" s="17" t="s">
        <v>205</v>
      </c>
      <c r="P62" s="17" t="s">
        <v>20</v>
      </c>
      <c r="Q62" s="17" t="s">
        <v>212</v>
      </c>
      <c r="R62" s="17" t="s">
        <v>20</v>
      </c>
      <c r="S62" s="17" t="s">
        <v>207</v>
      </c>
      <c r="T62" s="17">
        <v>712</v>
      </c>
      <c r="U62" s="18">
        <v>0</v>
      </c>
      <c r="V62" s="17" t="s">
        <v>796</v>
      </c>
      <c r="X62" s="17" t="s">
        <v>60</v>
      </c>
      <c r="Y62" s="17" t="s">
        <v>180</v>
      </c>
      <c r="Z62" s="17" t="s">
        <v>184</v>
      </c>
      <c r="AA62" s="31">
        <v>777521.14324700006</v>
      </c>
      <c r="AB62" s="31">
        <v>2422035.9295000001</v>
      </c>
    </row>
    <row r="63" spans="1:28">
      <c r="A63" s="30">
        <v>62</v>
      </c>
      <c r="B63" s="17">
        <v>611122</v>
      </c>
      <c r="C63" s="17" t="s">
        <v>331</v>
      </c>
      <c r="D63" s="17" t="s">
        <v>689</v>
      </c>
      <c r="E63" s="17" t="s">
        <v>798</v>
      </c>
      <c r="F63" s="17" t="s">
        <v>1118</v>
      </c>
      <c r="G63" s="17" t="s">
        <v>799</v>
      </c>
      <c r="H63" s="17" t="s">
        <v>94</v>
      </c>
      <c r="I63" s="17">
        <v>20270</v>
      </c>
      <c r="J63" s="17" t="s">
        <v>54</v>
      </c>
      <c r="K63" s="17" t="s">
        <v>73</v>
      </c>
      <c r="L63" s="17" t="s">
        <v>20</v>
      </c>
      <c r="M63" s="17" t="s">
        <v>256</v>
      </c>
      <c r="N63" s="17" t="s">
        <v>20</v>
      </c>
      <c r="O63" s="17" t="s">
        <v>254</v>
      </c>
      <c r="P63" s="17" t="s">
        <v>20</v>
      </c>
      <c r="Q63" s="17" t="s">
        <v>575</v>
      </c>
      <c r="R63" s="17" t="s">
        <v>20</v>
      </c>
      <c r="S63" s="17" t="s">
        <v>258</v>
      </c>
      <c r="T63" s="17">
        <v>0</v>
      </c>
      <c r="U63" s="18">
        <v>4499139161</v>
      </c>
      <c r="V63" s="17" t="s">
        <v>800</v>
      </c>
      <c r="X63" s="17" t="s">
        <v>66</v>
      </c>
      <c r="Y63" s="17" t="s">
        <v>183</v>
      </c>
      <c r="Z63" s="17" t="s">
        <v>252</v>
      </c>
      <c r="AA63" s="31">
        <v>780312.29931899998</v>
      </c>
      <c r="AB63" s="31">
        <v>2420254.3070999999</v>
      </c>
    </row>
    <row r="64" spans="1:28">
      <c r="A64" s="30">
        <v>63</v>
      </c>
      <c r="B64" s="17">
        <v>611122</v>
      </c>
      <c r="C64" s="17" t="s">
        <v>331</v>
      </c>
      <c r="D64" s="17" t="s">
        <v>689</v>
      </c>
      <c r="E64" s="17" t="s">
        <v>801</v>
      </c>
      <c r="F64" s="17" t="s">
        <v>1118</v>
      </c>
      <c r="G64" s="17" t="s">
        <v>802</v>
      </c>
      <c r="H64" s="17" t="s">
        <v>94</v>
      </c>
      <c r="I64" s="17">
        <v>20270</v>
      </c>
      <c r="J64" s="17" t="s">
        <v>54</v>
      </c>
      <c r="K64" s="17" t="s">
        <v>73</v>
      </c>
      <c r="L64" s="17" t="s">
        <v>20</v>
      </c>
      <c r="M64" s="17" t="s">
        <v>256</v>
      </c>
      <c r="N64" s="17" t="s">
        <v>20</v>
      </c>
      <c r="O64" s="17" t="s">
        <v>254</v>
      </c>
      <c r="P64" s="17" t="s">
        <v>20</v>
      </c>
      <c r="Q64" s="17" t="s">
        <v>575</v>
      </c>
      <c r="R64" s="17" t="s">
        <v>20</v>
      </c>
      <c r="S64" s="17" t="s">
        <v>258</v>
      </c>
      <c r="T64" s="17">
        <v>0</v>
      </c>
      <c r="U64" s="18">
        <v>4491407432</v>
      </c>
      <c r="X64" s="17" t="s">
        <v>66</v>
      </c>
      <c r="Y64" s="17" t="s">
        <v>183</v>
      </c>
      <c r="Z64" s="17" t="s">
        <v>252</v>
      </c>
      <c r="AA64" s="31">
        <v>780314.05641099997</v>
      </c>
      <c r="AB64" s="31">
        <v>2420244.7664299998</v>
      </c>
    </row>
    <row r="65" spans="1:28">
      <c r="A65" s="30">
        <v>64</v>
      </c>
      <c r="B65" s="17">
        <v>611122</v>
      </c>
      <c r="C65" s="17" t="s">
        <v>331</v>
      </c>
      <c r="D65" s="17" t="s">
        <v>689</v>
      </c>
      <c r="E65" s="17" t="s">
        <v>804</v>
      </c>
      <c r="F65" s="17" t="s">
        <v>1118</v>
      </c>
      <c r="H65" s="17" t="s">
        <v>94</v>
      </c>
      <c r="I65" s="17">
        <v>20288</v>
      </c>
      <c r="J65" s="17" t="s">
        <v>54</v>
      </c>
      <c r="K65" s="17" t="s">
        <v>73</v>
      </c>
      <c r="L65" s="17" t="s">
        <v>20</v>
      </c>
      <c r="M65" s="17" t="s">
        <v>577</v>
      </c>
      <c r="N65" s="17" t="s">
        <v>20</v>
      </c>
      <c r="O65" s="17" t="s">
        <v>576</v>
      </c>
      <c r="P65" s="17" t="s">
        <v>20</v>
      </c>
      <c r="Q65" s="17" t="s">
        <v>259</v>
      </c>
      <c r="R65" s="17" t="s">
        <v>20</v>
      </c>
      <c r="S65" s="17" t="s">
        <v>805</v>
      </c>
      <c r="T65" s="17">
        <v>200</v>
      </c>
      <c r="U65" s="18">
        <v>4499784244</v>
      </c>
      <c r="X65" s="17" t="s">
        <v>66</v>
      </c>
      <c r="Y65" s="17" t="s">
        <v>120</v>
      </c>
      <c r="Z65" s="17" t="s">
        <v>252</v>
      </c>
      <c r="AA65" s="31">
        <v>778825.91898399999</v>
      </c>
      <c r="AB65" s="31">
        <v>2419493.5065299999</v>
      </c>
    </row>
    <row r="66" spans="1:28">
      <c r="A66" s="30">
        <v>65</v>
      </c>
      <c r="B66" s="17">
        <v>611122</v>
      </c>
      <c r="C66" s="17" t="s">
        <v>331</v>
      </c>
      <c r="D66" s="17" t="s">
        <v>689</v>
      </c>
      <c r="E66" s="17" t="s">
        <v>806</v>
      </c>
      <c r="F66" s="17" t="s">
        <v>1118</v>
      </c>
      <c r="H66" s="17" t="s">
        <v>94</v>
      </c>
      <c r="I66" s="17">
        <v>20288</v>
      </c>
      <c r="J66" s="17" t="s">
        <v>54</v>
      </c>
      <c r="K66" s="17" t="s">
        <v>73</v>
      </c>
      <c r="L66" s="17" t="s">
        <v>20</v>
      </c>
      <c r="M66" s="17" t="s">
        <v>577</v>
      </c>
      <c r="N66" s="17" t="s">
        <v>20</v>
      </c>
      <c r="O66" s="17" t="s">
        <v>576</v>
      </c>
      <c r="P66" s="17" t="s">
        <v>20</v>
      </c>
      <c r="Q66" s="17" t="s">
        <v>259</v>
      </c>
      <c r="R66" s="17" t="s">
        <v>20</v>
      </c>
      <c r="S66" s="17" t="s">
        <v>805</v>
      </c>
      <c r="T66" s="17">
        <v>200</v>
      </c>
      <c r="U66" s="18">
        <v>4499717034</v>
      </c>
      <c r="X66" s="17" t="s">
        <v>66</v>
      </c>
      <c r="Y66" s="17" t="s">
        <v>120</v>
      </c>
      <c r="Z66" s="17" t="s">
        <v>252</v>
      </c>
      <c r="AA66" s="31">
        <v>778825.91898399999</v>
      </c>
      <c r="AB66" s="31">
        <v>2419493.5065299999</v>
      </c>
    </row>
    <row r="67" spans="1:28">
      <c r="A67" s="30">
        <v>66</v>
      </c>
      <c r="B67" s="17">
        <v>611122</v>
      </c>
      <c r="C67" s="17" t="s">
        <v>331</v>
      </c>
      <c r="D67" s="17" t="s">
        <v>689</v>
      </c>
      <c r="E67" s="17" t="s">
        <v>807</v>
      </c>
      <c r="F67" s="17" t="s">
        <v>1118</v>
      </c>
      <c r="G67" s="17" t="s">
        <v>240</v>
      </c>
      <c r="H67" s="17" t="s">
        <v>94</v>
      </c>
      <c r="I67" s="17">
        <v>20210</v>
      </c>
      <c r="J67" s="17" t="s">
        <v>54</v>
      </c>
      <c r="K67" s="17" t="s">
        <v>73</v>
      </c>
      <c r="L67" s="17" t="s">
        <v>20</v>
      </c>
      <c r="M67" s="17" t="s">
        <v>261</v>
      </c>
      <c r="N67" s="17" t="s">
        <v>20</v>
      </c>
      <c r="O67" s="17" t="s">
        <v>267</v>
      </c>
      <c r="P67" s="17" t="s">
        <v>20</v>
      </c>
      <c r="Q67" s="17" t="s">
        <v>260</v>
      </c>
      <c r="R67" s="17" t="s">
        <v>20</v>
      </c>
      <c r="S67" s="17" t="s">
        <v>272</v>
      </c>
      <c r="T67" s="17">
        <v>601</v>
      </c>
      <c r="U67" s="18">
        <v>4499780950</v>
      </c>
      <c r="X67" s="17" t="s">
        <v>66</v>
      </c>
      <c r="Y67" s="17" t="s">
        <v>120</v>
      </c>
      <c r="Z67" s="17" t="s">
        <v>252</v>
      </c>
      <c r="AA67" s="31">
        <v>777740.80478000001</v>
      </c>
      <c r="AB67" s="31">
        <v>2420630.0571900001</v>
      </c>
    </row>
    <row r="68" spans="1:28">
      <c r="A68" s="30">
        <v>67</v>
      </c>
      <c r="B68" s="17">
        <v>611122</v>
      </c>
      <c r="C68" s="17" t="s">
        <v>331</v>
      </c>
      <c r="D68" s="17" t="s">
        <v>689</v>
      </c>
      <c r="E68" s="17" t="s">
        <v>808</v>
      </c>
      <c r="F68" s="17" t="s">
        <v>1118</v>
      </c>
      <c r="G68" s="17" t="s">
        <v>240</v>
      </c>
      <c r="H68" s="17" t="s">
        <v>94</v>
      </c>
      <c r="I68" s="17">
        <v>20210</v>
      </c>
      <c r="J68" s="17" t="s">
        <v>54</v>
      </c>
      <c r="K68" s="17" t="s">
        <v>73</v>
      </c>
      <c r="L68" s="17" t="s">
        <v>20</v>
      </c>
      <c r="M68" s="17" t="s">
        <v>269</v>
      </c>
      <c r="N68" s="17" t="s">
        <v>20</v>
      </c>
      <c r="O68" s="17" t="s">
        <v>59</v>
      </c>
      <c r="P68" s="17" t="s">
        <v>20</v>
      </c>
      <c r="Q68" s="17" t="s">
        <v>261</v>
      </c>
      <c r="R68" s="17" t="s">
        <v>20</v>
      </c>
      <c r="S68" s="17" t="s">
        <v>270</v>
      </c>
      <c r="T68" s="17">
        <v>201</v>
      </c>
      <c r="U68" s="18">
        <v>4499134211</v>
      </c>
      <c r="X68" s="17" t="s">
        <v>66</v>
      </c>
      <c r="Y68" s="17" t="s">
        <v>120</v>
      </c>
      <c r="Z68" s="17" t="s">
        <v>252</v>
      </c>
      <c r="AA68" s="31">
        <v>777462.16355299996</v>
      </c>
      <c r="AB68" s="31">
        <v>2420223.2464200002</v>
      </c>
    </row>
    <row r="69" spans="1:28">
      <c r="A69" s="30">
        <v>68</v>
      </c>
      <c r="B69" s="17">
        <v>611122</v>
      </c>
      <c r="C69" s="17" t="s">
        <v>331</v>
      </c>
      <c r="D69" s="17" t="s">
        <v>689</v>
      </c>
      <c r="E69" s="17" t="s">
        <v>809</v>
      </c>
      <c r="F69" s="17" t="s">
        <v>1118</v>
      </c>
      <c r="G69" s="17" t="s">
        <v>240</v>
      </c>
      <c r="H69" s="17" t="s">
        <v>94</v>
      </c>
      <c r="I69" s="17">
        <v>20210</v>
      </c>
      <c r="J69" s="17" t="s">
        <v>54</v>
      </c>
      <c r="K69" s="17" t="s">
        <v>63</v>
      </c>
      <c r="L69" s="17" t="s">
        <v>20</v>
      </c>
      <c r="M69" s="17" t="s">
        <v>269</v>
      </c>
      <c r="N69" s="17" t="s">
        <v>20</v>
      </c>
      <c r="O69" s="17" t="s">
        <v>59</v>
      </c>
      <c r="P69" s="17" t="s">
        <v>20</v>
      </c>
      <c r="Q69" s="17" t="s">
        <v>261</v>
      </c>
      <c r="R69" s="17" t="s">
        <v>20</v>
      </c>
      <c r="S69" s="17" t="s">
        <v>270</v>
      </c>
      <c r="T69" s="17">
        <v>201</v>
      </c>
      <c r="U69" s="18">
        <v>4499134599</v>
      </c>
      <c r="X69" s="17" t="s">
        <v>66</v>
      </c>
      <c r="Y69" s="17" t="s">
        <v>120</v>
      </c>
      <c r="Z69" s="17" t="s">
        <v>252</v>
      </c>
      <c r="AA69" s="31">
        <v>777462.16355299996</v>
      </c>
      <c r="AB69" s="31">
        <v>2420223.2464200002</v>
      </c>
    </row>
    <row r="70" spans="1:28">
      <c r="A70" s="30">
        <v>69</v>
      </c>
      <c r="B70" s="17">
        <v>611122</v>
      </c>
      <c r="C70" s="17" t="s">
        <v>331</v>
      </c>
      <c r="D70" s="17" t="s">
        <v>689</v>
      </c>
      <c r="E70" s="17" t="s">
        <v>810</v>
      </c>
      <c r="F70" s="17" t="s">
        <v>1118</v>
      </c>
      <c r="G70" s="17" t="s">
        <v>240</v>
      </c>
      <c r="H70" s="17" t="s">
        <v>94</v>
      </c>
      <c r="I70" s="17">
        <v>20239</v>
      </c>
      <c r="J70" s="17" t="s">
        <v>54</v>
      </c>
      <c r="K70" s="17" t="s">
        <v>73</v>
      </c>
      <c r="L70" s="17" t="s">
        <v>56</v>
      </c>
      <c r="M70" s="17" t="s">
        <v>262</v>
      </c>
      <c r="N70" s="17" t="s">
        <v>20</v>
      </c>
      <c r="O70" s="17" t="s">
        <v>264</v>
      </c>
      <c r="P70" s="17" t="s">
        <v>20</v>
      </c>
      <c r="Q70" s="17" t="s">
        <v>263</v>
      </c>
      <c r="R70" s="17" t="s">
        <v>20</v>
      </c>
      <c r="S70" s="17" t="s">
        <v>580</v>
      </c>
      <c r="T70" s="17">
        <v>0</v>
      </c>
      <c r="U70" s="18">
        <v>4499165874</v>
      </c>
      <c r="X70" s="17" t="s">
        <v>66</v>
      </c>
      <c r="Y70" s="17" t="s">
        <v>120</v>
      </c>
      <c r="Z70" s="17" t="s">
        <v>252</v>
      </c>
      <c r="AA70" s="31">
        <v>778738.15099999995</v>
      </c>
      <c r="AB70" s="31">
        <v>2421201.0701299999</v>
      </c>
    </row>
    <row r="71" spans="1:28">
      <c r="A71" s="30">
        <v>70</v>
      </c>
      <c r="B71" s="17">
        <v>611122</v>
      </c>
      <c r="C71" s="17" t="s">
        <v>331</v>
      </c>
      <c r="D71" s="17" t="s">
        <v>689</v>
      </c>
      <c r="E71" s="17" t="s">
        <v>811</v>
      </c>
      <c r="F71" s="17" t="s">
        <v>1118</v>
      </c>
      <c r="G71" s="17" t="s">
        <v>240</v>
      </c>
      <c r="H71" s="17" t="s">
        <v>94</v>
      </c>
      <c r="I71" s="17">
        <v>20230</v>
      </c>
      <c r="J71" s="17" t="s">
        <v>54</v>
      </c>
      <c r="K71" s="17" t="s">
        <v>73</v>
      </c>
      <c r="L71" s="17" t="s">
        <v>20</v>
      </c>
      <c r="M71" s="17" t="s">
        <v>273</v>
      </c>
      <c r="N71" s="17" t="s">
        <v>56</v>
      </c>
      <c r="O71" s="17" t="s">
        <v>265</v>
      </c>
      <c r="P71" s="17" t="s">
        <v>20</v>
      </c>
      <c r="Q71" s="17" t="s">
        <v>271</v>
      </c>
      <c r="R71" s="17" t="s">
        <v>20</v>
      </c>
      <c r="S71" s="17" t="s">
        <v>578</v>
      </c>
      <c r="T71" s="17">
        <v>600</v>
      </c>
      <c r="U71" s="18">
        <v>0</v>
      </c>
      <c r="V71" s="17" t="s">
        <v>812</v>
      </c>
      <c r="X71" s="17" t="s">
        <v>66</v>
      </c>
      <c r="Y71" s="17" t="s">
        <v>120</v>
      </c>
      <c r="Z71" s="17" t="s">
        <v>252</v>
      </c>
      <c r="AA71" s="31">
        <v>778857.56611899997</v>
      </c>
      <c r="AB71" s="31">
        <v>2420752.8549899999</v>
      </c>
    </row>
    <row r="72" spans="1:28">
      <c r="A72" s="30">
        <v>71</v>
      </c>
      <c r="B72" s="17">
        <v>611122</v>
      </c>
      <c r="C72" s="17" t="s">
        <v>331</v>
      </c>
      <c r="D72" s="17" t="s">
        <v>689</v>
      </c>
      <c r="E72" s="17" t="s">
        <v>813</v>
      </c>
      <c r="F72" s="17" t="s">
        <v>1118</v>
      </c>
      <c r="G72" s="17" t="s">
        <v>240</v>
      </c>
      <c r="H72" s="17" t="s">
        <v>94</v>
      </c>
      <c r="I72" s="17">
        <v>20285</v>
      </c>
      <c r="J72" s="17" t="s">
        <v>54</v>
      </c>
      <c r="K72" s="17" t="s">
        <v>63</v>
      </c>
      <c r="L72" s="17" t="s">
        <v>20</v>
      </c>
      <c r="M72" s="17" t="s">
        <v>259</v>
      </c>
      <c r="N72" s="17" t="s">
        <v>20</v>
      </c>
      <c r="O72" s="17" t="s">
        <v>141</v>
      </c>
      <c r="P72" s="17" t="s">
        <v>20</v>
      </c>
      <c r="Q72" s="17" t="s">
        <v>140</v>
      </c>
      <c r="R72" s="17" t="s">
        <v>20</v>
      </c>
      <c r="S72" s="17" t="s">
        <v>579</v>
      </c>
      <c r="T72" s="17">
        <v>202</v>
      </c>
      <c r="U72" s="18">
        <v>4499174137</v>
      </c>
      <c r="V72" s="17" t="s">
        <v>814</v>
      </c>
      <c r="X72" s="17" t="s">
        <v>66</v>
      </c>
      <c r="Y72" s="17" t="s">
        <v>120</v>
      </c>
      <c r="Z72" s="17" t="s">
        <v>252</v>
      </c>
      <c r="AA72" s="31">
        <v>777978.35353399999</v>
      </c>
      <c r="AB72" s="31">
        <v>2419412.6358699999</v>
      </c>
    </row>
    <row r="73" spans="1:28">
      <c r="A73" s="30">
        <v>72</v>
      </c>
      <c r="B73" s="17">
        <v>611121</v>
      </c>
      <c r="C73" s="17" t="s">
        <v>331</v>
      </c>
      <c r="D73" s="17" t="s">
        <v>52</v>
      </c>
      <c r="E73" s="17" t="s">
        <v>815</v>
      </c>
      <c r="F73" s="17" t="s">
        <v>1117</v>
      </c>
      <c r="H73" s="17" t="s">
        <v>94</v>
      </c>
      <c r="I73" s="17">
        <v>20280</v>
      </c>
      <c r="J73" s="17" t="s">
        <v>54</v>
      </c>
      <c r="K73" s="17" t="s">
        <v>73</v>
      </c>
      <c r="L73" s="17" t="s">
        <v>20</v>
      </c>
      <c r="M73" s="17" t="s">
        <v>582</v>
      </c>
      <c r="N73" s="17" t="s">
        <v>20</v>
      </c>
      <c r="O73" s="17" t="s">
        <v>567</v>
      </c>
      <c r="P73" s="17" t="s">
        <v>56</v>
      </c>
      <c r="Q73" s="17" t="s">
        <v>138</v>
      </c>
      <c r="R73" s="17" t="s">
        <v>20</v>
      </c>
      <c r="S73" s="17" t="s">
        <v>583</v>
      </c>
      <c r="T73" s="17">
        <v>119</v>
      </c>
      <c r="U73" s="18">
        <v>4499170739</v>
      </c>
      <c r="V73" s="17" t="s">
        <v>816</v>
      </c>
      <c r="X73" s="17" t="s">
        <v>66</v>
      </c>
      <c r="Y73" s="17" t="s">
        <v>178</v>
      </c>
      <c r="Z73" s="17" t="s">
        <v>252</v>
      </c>
      <c r="AA73" s="31">
        <v>780584.00089599995</v>
      </c>
      <c r="AB73" s="31">
        <v>2419645.5252499999</v>
      </c>
    </row>
    <row r="74" spans="1:28">
      <c r="A74" s="30">
        <v>73</v>
      </c>
      <c r="B74" s="17">
        <v>611122</v>
      </c>
      <c r="C74" s="17" t="s">
        <v>331</v>
      </c>
      <c r="D74" s="17" t="s">
        <v>689</v>
      </c>
      <c r="E74" s="17" t="s">
        <v>817</v>
      </c>
      <c r="F74" s="17" t="s">
        <v>1118</v>
      </c>
      <c r="G74" s="17" t="s">
        <v>240</v>
      </c>
      <c r="H74" s="17" t="s">
        <v>53</v>
      </c>
      <c r="I74" s="17">
        <v>20240</v>
      </c>
      <c r="J74" s="17" t="s">
        <v>54</v>
      </c>
      <c r="K74" s="17" t="s">
        <v>73</v>
      </c>
      <c r="L74" s="17" t="s">
        <v>20</v>
      </c>
      <c r="M74" s="17" t="s">
        <v>283</v>
      </c>
      <c r="N74" s="17" t="s">
        <v>20</v>
      </c>
      <c r="O74" s="17" t="s">
        <v>285</v>
      </c>
      <c r="P74" s="17" t="s">
        <v>20</v>
      </c>
      <c r="Q74" s="17" t="s">
        <v>67</v>
      </c>
      <c r="R74" s="17" t="s">
        <v>20</v>
      </c>
      <c r="S74" s="17" t="s">
        <v>284</v>
      </c>
      <c r="T74" s="17">
        <v>118</v>
      </c>
      <c r="U74" s="18">
        <v>0</v>
      </c>
      <c r="V74" s="17" t="s">
        <v>818</v>
      </c>
      <c r="X74" s="17" t="s">
        <v>66</v>
      </c>
      <c r="Y74" s="17" t="s">
        <v>183</v>
      </c>
      <c r="Z74" s="17" t="s">
        <v>274</v>
      </c>
      <c r="AA74" s="31">
        <v>780449.20242400002</v>
      </c>
      <c r="AB74" s="31">
        <v>2421083.53394</v>
      </c>
    </row>
    <row r="75" spans="1:28">
      <c r="A75" s="30">
        <v>74</v>
      </c>
      <c r="B75" s="17">
        <v>611122</v>
      </c>
      <c r="C75" s="17" t="s">
        <v>331</v>
      </c>
      <c r="D75" s="17" t="s">
        <v>689</v>
      </c>
      <c r="E75" s="17" t="s">
        <v>819</v>
      </c>
      <c r="F75" s="17" t="s">
        <v>1118</v>
      </c>
      <c r="G75" s="17" t="s">
        <v>240</v>
      </c>
      <c r="H75" s="17" t="s">
        <v>69</v>
      </c>
      <c r="I75" s="17">
        <v>20240</v>
      </c>
      <c r="J75" s="17" t="s">
        <v>54</v>
      </c>
      <c r="K75" s="17" t="s">
        <v>73</v>
      </c>
      <c r="L75" s="17" t="s">
        <v>228</v>
      </c>
      <c r="M75" s="17" t="s">
        <v>291</v>
      </c>
      <c r="N75" s="17" t="s">
        <v>20</v>
      </c>
      <c r="O75" s="17" t="s">
        <v>169</v>
      </c>
      <c r="P75" s="17" t="s">
        <v>20</v>
      </c>
      <c r="Q75" s="17" t="s">
        <v>295</v>
      </c>
      <c r="R75" s="17" t="s">
        <v>20</v>
      </c>
      <c r="S75" s="17" t="s">
        <v>166</v>
      </c>
      <c r="T75" s="17">
        <v>123</v>
      </c>
      <c r="U75" s="18">
        <v>4499156078</v>
      </c>
      <c r="X75" s="17" t="s">
        <v>66</v>
      </c>
      <c r="Y75" s="17" t="s">
        <v>183</v>
      </c>
      <c r="Z75" s="17" t="s">
        <v>274</v>
      </c>
      <c r="AA75" s="31">
        <v>780242.34590299998</v>
      </c>
      <c r="AB75" s="31">
        <v>2421716.7606799998</v>
      </c>
    </row>
    <row r="76" spans="1:28">
      <c r="A76" s="30">
        <v>75</v>
      </c>
      <c r="B76" s="17">
        <v>611122</v>
      </c>
      <c r="C76" s="17" t="s">
        <v>331</v>
      </c>
      <c r="D76" s="17" t="s">
        <v>689</v>
      </c>
      <c r="E76" s="17" t="s">
        <v>820</v>
      </c>
      <c r="F76" s="17" t="s">
        <v>1118</v>
      </c>
      <c r="G76" s="17" t="s">
        <v>240</v>
      </c>
      <c r="H76" s="17" t="s">
        <v>69</v>
      </c>
      <c r="I76" s="17">
        <v>20180</v>
      </c>
      <c r="J76" s="17" t="s">
        <v>54</v>
      </c>
      <c r="K76" s="17" t="s">
        <v>73</v>
      </c>
      <c r="L76" s="17" t="s">
        <v>56</v>
      </c>
      <c r="M76" s="17" t="s">
        <v>286</v>
      </c>
      <c r="N76" s="17" t="s">
        <v>20</v>
      </c>
      <c r="O76" s="17" t="s">
        <v>431</v>
      </c>
      <c r="P76" s="17" t="s">
        <v>20</v>
      </c>
      <c r="Q76" s="17" t="s">
        <v>585</v>
      </c>
      <c r="R76" s="17" t="s">
        <v>20</v>
      </c>
      <c r="S76" s="17" t="s">
        <v>584</v>
      </c>
      <c r="T76" s="17">
        <v>0</v>
      </c>
      <c r="U76" s="18">
        <v>0</v>
      </c>
      <c r="V76" s="17" t="s">
        <v>821</v>
      </c>
      <c r="X76" s="17" t="s">
        <v>66</v>
      </c>
      <c r="Y76" s="17" t="s">
        <v>183</v>
      </c>
      <c r="Z76" s="17" t="s">
        <v>274</v>
      </c>
      <c r="AA76" s="31">
        <v>781520.47769500001</v>
      </c>
      <c r="AB76" s="31">
        <v>2422787.0214900002</v>
      </c>
    </row>
    <row r="77" spans="1:28">
      <c r="A77" s="30">
        <v>76</v>
      </c>
      <c r="B77" s="17">
        <v>611122</v>
      </c>
      <c r="C77" s="17" t="s">
        <v>331</v>
      </c>
      <c r="D77" s="17" t="s">
        <v>689</v>
      </c>
      <c r="E77" s="17" t="s">
        <v>822</v>
      </c>
      <c r="F77" s="17" t="s">
        <v>1118</v>
      </c>
      <c r="G77" s="17" t="s">
        <v>240</v>
      </c>
      <c r="H77" s="17" t="s">
        <v>69</v>
      </c>
      <c r="I77" s="17">
        <v>20180</v>
      </c>
      <c r="J77" s="17" t="s">
        <v>54</v>
      </c>
      <c r="K77" s="17" t="s">
        <v>73</v>
      </c>
      <c r="L77" s="17" t="s">
        <v>20</v>
      </c>
      <c r="M77" s="17" t="s">
        <v>431</v>
      </c>
      <c r="N77" s="17" t="s">
        <v>20</v>
      </c>
      <c r="O77" s="17" t="s">
        <v>590</v>
      </c>
      <c r="P77" s="17" t="s">
        <v>56</v>
      </c>
      <c r="Q77" s="17" t="s">
        <v>280</v>
      </c>
      <c r="R77" s="17" t="s">
        <v>20</v>
      </c>
      <c r="S77" s="17" t="s">
        <v>584</v>
      </c>
      <c r="T77" s="17">
        <v>0</v>
      </c>
      <c r="U77" s="18">
        <v>0</v>
      </c>
      <c r="V77" s="17" t="s">
        <v>823</v>
      </c>
      <c r="X77" s="17" t="s">
        <v>60</v>
      </c>
      <c r="Y77" s="17" t="s">
        <v>183</v>
      </c>
      <c r="Z77" s="17" t="s">
        <v>274</v>
      </c>
      <c r="AA77" s="31">
        <v>781230.21082100004</v>
      </c>
      <c r="AB77" s="31">
        <v>2422623.2648499999</v>
      </c>
    </row>
    <row r="78" spans="1:28">
      <c r="A78" s="30">
        <v>77</v>
      </c>
      <c r="B78" s="17">
        <v>611122</v>
      </c>
      <c r="C78" s="17" t="s">
        <v>331</v>
      </c>
      <c r="D78" s="17" t="s">
        <v>689</v>
      </c>
      <c r="E78" s="17" t="s">
        <v>824</v>
      </c>
      <c r="F78" s="17" t="s">
        <v>1118</v>
      </c>
      <c r="G78" s="17" t="s">
        <v>240</v>
      </c>
      <c r="H78" s="17" t="s">
        <v>69</v>
      </c>
      <c r="I78" s="17">
        <v>20180</v>
      </c>
      <c r="J78" s="17" t="s">
        <v>54</v>
      </c>
      <c r="K78" s="17" t="s">
        <v>81</v>
      </c>
      <c r="L78" s="17" t="s">
        <v>20</v>
      </c>
      <c r="M78" s="17" t="s">
        <v>584</v>
      </c>
      <c r="N78" s="17" t="s">
        <v>20</v>
      </c>
      <c r="O78" s="17" t="s">
        <v>431</v>
      </c>
      <c r="P78" s="17" t="s">
        <v>20</v>
      </c>
      <c r="Q78" s="17" t="s">
        <v>585</v>
      </c>
      <c r="R78" s="17" t="s">
        <v>56</v>
      </c>
      <c r="S78" s="17" t="s">
        <v>286</v>
      </c>
      <c r="T78" s="17">
        <v>44</v>
      </c>
      <c r="U78" s="18">
        <v>0</v>
      </c>
      <c r="V78" s="17" t="s">
        <v>825</v>
      </c>
      <c r="X78" s="17" t="s">
        <v>66</v>
      </c>
      <c r="Y78" s="17" t="s">
        <v>183</v>
      </c>
      <c r="Z78" s="17" t="s">
        <v>274</v>
      </c>
      <c r="AA78" s="31">
        <v>781411.436246</v>
      </c>
      <c r="AB78" s="31">
        <v>2422674.25184</v>
      </c>
    </row>
    <row r="79" spans="1:28">
      <c r="A79" s="30">
        <v>78</v>
      </c>
      <c r="B79" s="17">
        <v>611122</v>
      </c>
      <c r="C79" s="17" t="s">
        <v>331</v>
      </c>
      <c r="D79" s="17" t="s">
        <v>689</v>
      </c>
      <c r="E79" s="17" t="s">
        <v>70</v>
      </c>
      <c r="F79" s="17" t="s">
        <v>1118</v>
      </c>
      <c r="G79" s="17" t="s">
        <v>240</v>
      </c>
      <c r="H79" s="17" t="s">
        <v>69</v>
      </c>
      <c r="I79" s="17">
        <v>20190</v>
      </c>
      <c r="J79" s="17" t="s">
        <v>54</v>
      </c>
      <c r="K79" s="17" t="s">
        <v>63</v>
      </c>
      <c r="L79" s="17" t="s">
        <v>20</v>
      </c>
      <c r="M79" s="17" t="s">
        <v>275</v>
      </c>
      <c r="N79" s="17" t="s">
        <v>20</v>
      </c>
      <c r="O79" s="17" t="s">
        <v>586</v>
      </c>
      <c r="P79" s="17" t="s">
        <v>56</v>
      </c>
      <c r="Q79" s="17" t="s">
        <v>278</v>
      </c>
      <c r="R79" s="17" t="s">
        <v>20</v>
      </c>
      <c r="S79" s="17" t="s">
        <v>299</v>
      </c>
      <c r="T79" s="17">
        <v>503</v>
      </c>
      <c r="U79" s="18">
        <v>0</v>
      </c>
      <c r="V79" s="17" t="s">
        <v>826</v>
      </c>
      <c r="X79" s="17" t="s">
        <v>66</v>
      </c>
      <c r="Y79" s="17" t="s">
        <v>183</v>
      </c>
      <c r="Z79" s="17" t="s">
        <v>274</v>
      </c>
      <c r="AA79" s="31">
        <v>781382.10708099999</v>
      </c>
      <c r="AB79" s="31">
        <v>2422030.8611900001</v>
      </c>
    </row>
    <row r="80" spans="1:28">
      <c r="A80" s="30">
        <v>79</v>
      </c>
      <c r="B80" s="17">
        <v>611122</v>
      </c>
      <c r="C80" s="17" t="s">
        <v>331</v>
      </c>
      <c r="D80" s="17" t="s">
        <v>689</v>
      </c>
      <c r="E80" s="17" t="s">
        <v>827</v>
      </c>
      <c r="F80" s="17" t="s">
        <v>1118</v>
      </c>
      <c r="G80" s="17" t="s">
        <v>240</v>
      </c>
      <c r="H80" s="17" t="s">
        <v>69</v>
      </c>
      <c r="I80" s="17">
        <v>20190</v>
      </c>
      <c r="J80" s="17" t="s">
        <v>54</v>
      </c>
      <c r="K80" s="17" t="s">
        <v>73</v>
      </c>
      <c r="L80" s="17" t="s">
        <v>129</v>
      </c>
      <c r="M80" s="17" t="s">
        <v>588</v>
      </c>
      <c r="N80" s="17" t="s">
        <v>20</v>
      </c>
      <c r="O80" s="17" t="s">
        <v>298</v>
      </c>
      <c r="P80" s="17" t="s">
        <v>56</v>
      </c>
      <c r="Q80" s="17" t="s">
        <v>277</v>
      </c>
      <c r="R80" s="17" t="s">
        <v>20</v>
      </c>
      <c r="S80" s="17" t="s">
        <v>275</v>
      </c>
      <c r="T80" s="17">
        <v>0</v>
      </c>
      <c r="U80" s="18">
        <v>4499702243</v>
      </c>
      <c r="V80" s="17" t="s">
        <v>828</v>
      </c>
      <c r="X80" s="17" t="s">
        <v>66</v>
      </c>
      <c r="Y80" s="17" t="s">
        <v>183</v>
      </c>
      <c r="Z80" s="17" t="s">
        <v>274</v>
      </c>
      <c r="AA80" s="31">
        <v>781496.10296599998</v>
      </c>
      <c r="AB80" s="31">
        <v>2421916.0150199998</v>
      </c>
    </row>
    <row r="81" spans="1:28">
      <c r="A81" s="30">
        <v>80</v>
      </c>
      <c r="B81" s="17">
        <v>611122</v>
      </c>
      <c r="C81" s="17" t="s">
        <v>331</v>
      </c>
      <c r="D81" s="17" t="s">
        <v>689</v>
      </c>
      <c r="E81" s="17" t="s">
        <v>829</v>
      </c>
      <c r="F81" s="17" t="s">
        <v>1118</v>
      </c>
      <c r="G81" s="17" t="s">
        <v>240</v>
      </c>
      <c r="H81" s="17" t="s">
        <v>69</v>
      </c>
      <c r="I81" s="17">
        <v>20030</v>
      </c>
      <c r="J81" s="17" t="s">
        <v>54</v>
      </c>
      <c r="K81" s="17" t="s">
        <v>63</v>
      </c>
      <c r="L81" s="17" t="s">
        <v>129</v>
      </c>
      <c r="M81" s="17" t="s">
        <v>587</v>
      </c>
      <c r="N81" s="17" t="s">
        <v>56</v>
      </c>
      <c r="O81" s="17" t="s">
        <v>95</v>
      </c>
      <c r="P81" s="17" t="s">
        <v>20</v>
      </c>
      <c r="Q81" s="17" t="s">
        <v>192</v>
      </c>
      <c r="R81" s="17" t="s">
        <v>20</v>
      </c>
      <c r="S81" s="17" t="s">
        <v>564</v>
      </c>
      <c r="T81" s="17">
        <v>0</v>
      </c>
      <c r="U81" s="18">
        <v>4499154109</v>
      </c>
      <c r="V81" s="17" t="s">
        <v>830</v>
      </c>
      <c r="X81" s="17" t="s">
        <v>66</v>
      </c>
      <c r="Y81" s="17" t="s">
        <v>183</v>
      </c>
      <c r="Z81" s="17" t="s">
        <v>274</v>
      </c>
      <c r="AA81" s="31">
        <v>779537.28567000001</v>
      </c>
      <c r="AB81" s="31">
        <v>2423371.85635</v>
      </c>
    </row>
    <row r="82" spans="1:28">
      <c r="A82" s="30">
        <v>81</v>
      </c>
      <c r="B82" s="17">
        <v>611122</v>
      </c>
      <c r="C82" s="17" t="s">
        <v>331</v>
      </c>
      <c r="D82" s="17" t="s">
        <v>689</v>
      </c>
      <c r="E82" s="17" t="s">
        <v>831</v>
      </c>
      <c r="F82" s="17" t="s">
        <v>1118</v>
      </c>
      <c r="G82" s="17" t="s">
        <v>777</v>
      </c>
      <c r="H82" s="17" t="s">
        <v>69</v>
      </c>
      <c r="I82" s="17">
        <v>20000</v>
      </c>
      <c r="J82" s="17" t="s">
        <v>54</v>
      </c>
      <c r="K82" s="17" t="s">
        <v>73</v>
      </c>
      <c r="L82" s="17" t="s">
        <v>20</v>
      </c>
      <c r="M82" s="17" t="s">
        <v>297</v>
      </c>
      <c r="N82" s="17" t="s">
        <v>177</v>
      </c>
      <c r="O82" s="17" t="s">
        <v>589</v>
      </c>
      <c r="P82" s="17" t="s">
        <v>20</v>
      </c>
      <c r="Q82" s="17" t="s">
        <v>190</v>
      </c>
      <c r="R82" s="17" t="s">
        <v>20</v>
      </c>
      <c r="S82" s="17" t="s">
        <v>296</v>
      </c>
      <c r="T82" s="17">
        <v>135</v>
      </c>
      <c r="U82" s="18">
        <v>0</v>
      </c>
      <c r="V82" s="17" t="s">
        <v>832</v>
      </c>
      <c r="X82" s="17" t="s">
        <v>66</v>
      </c>
      <c r="Y82" s="17" t="s">
        <v>183</v>
      </c>
      <c r="Z82" s="17" t="s">
        <v>274</v>
      </c>
      <c r="AA82" s="31">
        <v>779606.19640400005</v>
      </c>
      <c r="AB82" s="31">
        <v>2422806.8892899998</v>
      </c>
    </row>
    <row r="83" spans="1:28">
      <c r="A83" s="30">
        <v>82</v>
      </c>
      <c r="B83" s="17">
        <v>611122</v>
      </c>
      <c r="C83" s="17" t="s">
        <v>331</v>
      </c>
      <c r="D83" s="17" t="s">
        <v>689</v>
      </c>
      <c r="E83" s="17" t="s">
        <v>833</v>
      </c>
      <c r="F83" s="17" t="s">
        <v>1118</v>
      </c>
      <c r="G83" s="17" t="s">
        <v>240</v>
      </c>
      <c r="H83" s="17" t="s">
        <v>69</v>
      </c>
      <c r="I83" s="17">
        <v>20000</v>
      </c>
      <c r="J83" s="17" t="s">
        <v>54</v>
      </c>
      <c r="K83" s="17" t="s">
        <v>73</v>
      </c>
      <c r="L83" s="17" t="s">
        <v>20</v>
      </c>
      <c r="M83" s="17" t="s">
        <v>190</v>
      </c>
      <c r="N83" s="17" t="s">
        <v>20</v>
      </c>
      <c r="O83" s="17" t="s">
        <v>276</v>
      </c>
      <c r="P83" s="17" t="s">
        <v>20</v>
      </c>
      <c r="Q83" s="17" t="s">
        <v>302</v>
      </c>
      <c r="R83" s="17" t="s">
        <v>58</v>
      </c>
      <c r="S83" s="17" t="s">
        <v>303</v>
      </c>
      <c r="T83" s="17">
        <v>505</v>
      </c>
      <c r="U83" s="18">
        <v>0</v>
      </c>
      <c r="V83" s="17" t="s">
        <v>834</v>
      </c>
      <c r="X83" s="17" t="s">
        <v>66</v>
      </c>
      <c r="Y83" s="17" t="s">
        <v>183</v>
      </c>
      <c r="Z83" s="17" t="s">
        <v>274</v>
      </c>
      <c r="AA83" s="31">
        <v>779841.33284000005</v>
      </c>
      <c r="AB83" s="31">
        <v>2422679.2943600002</v>
      </c>
    </row>
    <row r="84" spans="1:28">
      <c r="A84" s="30">
        <v>83</v>
      </c>
      <c r="B84" s="17">
        <v>611122</v>
      </c>
      <c r="C84" s="17" t="s">
        <v>331</v>
      </c>
      <c r="D84" s="17" t="s">
        <v>689</v>
      </c>
      <c r="E84" s="17" t="s">
        <v>835</v>
      </c>
      <c r="F84" s="17" t="s">
        <v>1118</v>
      </c>
      <c r="G84" s="17" t="s">
        <v>240</v>
      </c>
      <c r="H84" s="17" t="s">
        <v>69</v>
      </c>
      <c r="I84" s="17">
        <v>20000</v>
      </c>
      <c r="J84" s="17" t="s">
        <v>54</v>
      </c>
      <c r="K84" s="17" t="s">
        <v>73</v>
      </c>
      <c r="L84" s="17" t="s">
        <v>20</v>
      </c>
      <c r="M84" s="17" t="s">
        <v>77</v>
      </c>
      <c r="N84" s="17" t="s">
        <v>20</v>
      </c>
      <c r="O84" s="17" t="s">
        <v>292</v>
      </c>
      <c r="P84" s="17" t="s">
        <v>20</v>
      </c>
      <c r="Q84" s="17" t="s">
        <v>294</v>
      </c>
      <c r="R84" s="17" t="s">
        <v>20</v>
      </c>
      <c r="S84" s="17" t="s">
        <v>190</v>
      </c>
      <c r="T84" s="17">
        <v>3</v>
      </c>
      <c r="U84" s="18">
        <v>0</v>
      </c>
      <c r="V84" s="17" t="s">
        <v>836</v>
      </c>
      <c r="X84" s="17" t="s">
        <v>144</v>
      </c>
      <c r="Y84" s="17" t="s">
        <v>183</v>
      </c>
      <c r="Z84" s="17" t="s">
        <v>274</v>
      </c>
      <c r="AA84" s="31">
        <v>779674.95811200002</v>
      </c>
      <c r="AB84" s="31">
        <v>2422367.8326300001</v>
      </c>
    </row>
    <row r="85" spans="1:28">
      <c r="A85" s="30">
        <v>84</v>
      </c>
      <c r="B85" s="17">
        <v>611122</v>
      </c>
      <c r="C85" s="17" t="s">
        <v>331</v>
      </c>
      <c r="D85" s="17" t="s">
        <v>689</v>
      </c>
      <c r="E85" s="17" t="s">
        <v>837</v>
      </c>
      <c r="F85" s="17" t="s">
        <v>1118</v>
      </c>
      <c r="G85" s="17" t="s">
        <v>240</v>
      </c>
      <c r="H85" s="17" t="s">
        <v>69</v>
      </c>
      <c r="I85" s="17">
        <v>20000</v>
      </c>
      <c r="J85" s="17" t="s">
        <v>54</v>
      </c>
      <c r="K85" s="17" t="s">
        <v>73</v>
      </c>
      <c r="L85" s="17" t="s">
        <v>20</v>
      </c>
      <c r="M85" s="17" t="s">
        <v>292</v>
      </c>
      <c r="N85" s="17" t="s">
        <v>20</v>
      </c>
      <c r="O85" s="17" t="s">
        <v>190</v>
      </c>
      <c r="P85" s="17" t="s">
        <v>20</v>
      </c>
      <c r="Q85" s="17" t="s">
        <v>77</v>
      </c>
      <c r="R85" s="17" t="s">
        <v>20</v>
      </c>
      <c r="S85" s="17" t="s">
        <v>294</v>
      </c>
      <c r="T85" s="17">
        <v>110</v>
      </c>
      <c r="U85" s="18">
        <v>0</v>
      </c>
      <c r="V85" s="17" t="s">
        <v>838</v>
      </c>
      <c r="X85" s="17" t="s">
        <v>144</v>
      </c>
      <c r="Y85" s="17" t="s">
        <v>183</v>
      </c>
      <c r="Z85" s="17" t="s">
        <v>274</v>
      </c>
      <c r="AA85" s="31">
        <v>779779.32136399997</v>
      </c>
      <c r="AB85" s="31">
        <v>2422323.5931299999</v>
      </c>
    </row>
    <row r="86" spans="1:28">
      <c r="A86" s="30">
        <v>85</v>
      </c>
      <c r="B86" s="17">
        <v>611122</v>
      </c>
      <c r="C86" s="17" t="s">
        <v>331</v>
      </c>
      <c r="D86" s="17" t="s">
        <v>689</v>
      </c>
      <c r="E86" s="17" t="s">
        <v>839</v>
      </c>
      <c r="F86" s="17" t="s">
        <v>1118</v>
      </c>
      <c r="G86" s="17" t="s">
        <v>240</v>
      </c>
      <c r="H86" s="17" t="s">
        <v>94</v>
      </c>
      <c r="I86" s="17">
        <v>20240</v>
      </c>
      <c r="J86" s="17" t="s">
        <v>54</v>
      </c>
      <c r="K86" s="17" t="s">
        <v>73</v>
      </c>
      <c r="L86" s="17" t="s">
        <v>20</v>
      </c>
      <c r="M86" s="17" t="s">
        <v>255</v>
      </c>
      <c r="N86" s="17" t="s">
        <v>56</v>
      </c>
      <c r="O86" s="17" t="s">
        <v>290</v>
      </c>
      <c r="P86" s="17" t="s">
        <v>56</v>
      </c>
      <c r="Q86" s="17" t="s">
        <v>257</v>
      </c>
      <c r="R86" s="17" t="s">
        <v>20</v>
      </c>
      <c r="S86" s="17" t="s">
        <v>300</v>
      </c>
      <c r="T86" s="17">
        <v>677</v>
      </c>
      <c r="U86" s="18">
        <v>0</v>
      </c>
      <c r="X86" s="17" t="s">
        <v>66</v>
      </c>
      <c r="Y86" s="17" t="s">
        <v>183</v>
      </c>
      <c r="Z86" s="17" t="s">
        <v>274</v>
      </c>
      <c r="AA86" s="31">
        <v>779745.39134099998</v>
      </c>
      <c r="AB86" s="31">
        <v>2421099.58054</v>
      </c>
    </row>
    <row r="87" spans="1:28">
      <c r="A87" s="30">
        <v>86</v>
      </c>
      <c r="B87" s="17">
        <v>611121</v>
      </c>
      <c r="C87" s="17" t="s">
        <v>331</v>
      </c>
      <c r="D87" s="17" t="s">
        <v>52</v>
      </c>
      <c r="E87" s="17" t="s">
        <v>841</v>
      </c>
      <c r="F87" s="17" t="s">
        <v>1117</v>
      </c>
      <c r="G87" s="17" t="s">
        <v>842</v>
      </c>
      <c r="H87" s="17" t="s">
        <v>53</v>
      </c>
      <c r="I87" s="17">
        <v>20259</v>
      </c>
      <c r="J87" s="17" t="s">
        <v>54</v>
      </c>
      <c r="K87" s="17" t="s">
        <v>73</v>
      </c>
      <c r="L87" s="17" t="s">
        <v>58</v>
      </c>
      <c r="M87" s="17" t="s">
        <v>281</v>
      </c>
      <c r="N87" s="17" t="s">
        <v>20</v>
      </c>
      <c r="O87" s="17" t="s">
        <v>295</v>
      </c>
      <c r="P87" s="17" t="s">
        <v>20</v>
      </c>
      <c r="Q87" s="17" t="s">
        <v>279</v>
      </c>
      <c r="R87" s="17" t="s">
        <v>20</v>
      </c>
      <c r="S87" s="17" t="s">
        <v>281</v>
      </c>
      <c r="T87" s="17">
        <v>118</v>
      </c>
      <c r="U87" s="18">
        <v>4991644784</v>
      </c>
      <c r="V87" s="17" t="s">
        <v>843</v>
      </c>
      <c r="X87" s="17" t="s">
        <v>66</v>
      </c>
      <c r="Y87" s="17" t="s">
        <v>183</v>
      </c>
      <c r="Z87" s="17" t="s">
        <v>274</v>
      </c>
      <c r="AA87" s="31">
        <v>780504.17088400002</v>
      </c>
      <c r="AB87" s="31">
        <v>2422117.20603</v>
      </c>
    </row>
    <row r="88" spans="1:28">
      <c r="A88" s="30">
        <v>87</v>
      </c>
      <c r="B88" s="17">
        <v>611121</v>
      </c>
      <c r="C88" s="17" t="s">
        <v>331</v>
      </c>
      <c r="D88" s="17" t="s">
        <v>52</v>
      </c>
      <c r="E88" s="17" t="s">
        <v>844</v>
      </c>
      <c r="F88" s="17" t="s">
        <v>1117</v>
      </c>
      <c r="H88" s="17" t="s">
        <v>69</v>
      </c>
      <c r="I88" s="17">
        <v>20000</v>
      </c>
      <c r="J88" s="17" t="s">
        <v>54</v>
      </c>
      <c r="K88" s="17" t="s">
        <v>73</v>
      </c>
      <c r="L88" s="17" t="s">
        <v>20</v>
      </c>
      <c r="M88" s="17" t="s">
        <v>197</v>
      </c>
      <c r="N88" s="17" t="s">
        <v>20</v>
      </c>
      <c r="O88" s="17" t="s">
        <v>190</v>
      </c>
      <c r="P88" s="17" t="s">
        <v>228</v>
      </c>
      <c r="Q88" s="17" t="s">
        <v>256</v>
      </c>
      <c r="R88" s="17" t="s">
        <v>20</v>
      </c>
      <c r="S88" s="17" t="s">
        <v>74</v>
      </c>
      <c r="T88" s="17">
        <v>312</v>
      </c>
      <c r="U88" s="18">
        <v>4493644638</v>
      </c>
      <c r="V88" s="17" t="s">
        <v>845</v>
      </c>
      <c r="X88" s="17" t="s">
        <v>60</v>
      </c>
      <c r="Y88" s="17" t="s">
        <v>183</v>
      </c>
      <c r="Z88" s="17" t="s">
        <v>274</v>
      </c>
      <c r="AA88" s="31">
        <v>779458.44755499996</v>
      </c>
      <c r="AB88" s="31">
        <v>2422861.3642699998</v>
      </c>
    </row>
    <row r="89" spans="1:28">
      <c r="A89" s="30">
        <v>88</v>
      </c>
      <c r="B89" s="17">
        <v>611122</v>
      </c>
      <c r="C89" s="17" t="s">
        <v>331</v>
      </c>
      <c r="D89" s="17" t="s">
        <v>689</v>
      </c>
      <c r="E89" s="17" t="s">
        <v>846</v>
      </c>
      <c r="F89" s="17" t="s">
        <v>1118</v>
      </c>
      <c r="G89" s="17" t="s">
        <v>240</v>
      </c>
      <c r="H89" s="17" t="s">
        <v>53</v>
      </c>
      <c r="I89" s="17">
        <v>20070</v>
      </c>
      <c r="J89" s="17" t="s">
        <v>54</v>
      </c>
      <c r="K89" s="17" t="s">
        <v>73</v>
      </c>
      <c r="L89" s="17" t="s">
        <v>20</v>
      </c>
      <c r="M89" s="17" t="s">
        <v>305</v>
      </c>
      <c r="N89" s="17" t="s">
        <v>20</v>
      </c>
      <c r="O89" s="17" t="s">
        <v>207</v>
      </c>
      <c r="P89" s="17" t="s">
        <v>20</v>
      </c>
      <c r="Q89" s="17" t="s">
        <v>206</v>
      </c>
      <c r="R89" s="17" t="s">
        <v>20</v>
      </c>
      <c r="S89" s="17" t="s">
        <v>201</v>
      </c>
      <c r="T89" s="17">
        <v>0</v>
      </c>
      <c r="U89" s="18">
        <v>0</v>
      </c>
      <c r="X89" s="17" t="s">
        <v>66</v>
      </c>
      <c r="Y89" s="17" t="s">
        <v>120</v>
      </c>
      <c r="Z89" s="17" t="s">
        <v>274</v>
      </c>
      <c r="AA89" s="31">
        <v>778228.62380399997</v>
      </c>
      <c r="AB89" s="31">
        <v>2422079.9641300002</v>
      </c>
    </row>
    <row r="90" spans="1:28">
      <c r="A90" s="30">
        <v>89</v>
      </c>
      <c r="B90" s="17">
        <v>611122</v>
      </c>
      <c r="C90" s="17" t="s">
        <v>331</v>
      </c>
      <c r="D90" s="17" t="s">
        <v>689</v>
      </c>
      <c r="E90" s="17" t="s">
        <v>847</v>
      </c>
      <c r="F90" s="17" t="s">
        <v>1118</v>
      </c>
      <c r="G90" s="17" t="s">
        <v>240</v>
      </c>
      <c r="H90" s="17" t="s">
        <v>53</v>
      </c>
      <c r="I90" s="17">
        <v>20070</v>
      </c>
      <c r="J90" s="17" t="s">
        <v>54</v>
      </c>
      <c r="K90" s="17" t="s">
        <v>73</v>
      </c>
      <c r="L90" s="17" t="s">
        <v>20</v>
      </c>
      <c r="M90" s="17" t="s">
        <v>207</v>
      </c>
      <c r="N90" s="17" t="s">
        <v>20</v>
      </c>
      <c r="O90" s="17" t="s">
        <v>305</v>
      </c>
      <c r="P90" s="17" t="s">
        <v>20</v>
      </c>
      <c r="Q90" s="17" t="s">
        <v>201</v>
      </c>
      <c r="R90" s="17" t="s">
        <v>20</v>
      </c>
      <c r="S90" s="17" t="s">
        <v>206</v>
      </c>
      <c r="T90" s="17">
        <v>0</v>
      </c>
      <c r="U90" s="18">
        <v>0</v>
      </c>
      <c r="X90" s="17" t="s">
        <v>66</v>
      </c>
      <c r="Y90" s="17" t="s">
        <v>120</v>
      </c>
      <c r="Z90" s="17" t="s">
        <v>274</v>
      </c>
      <c r="AA90" s="31">
        <v>778163.30466200004</v>
      </c>
      <c r="AB90" s="31">
        <v>2421973.7885799999</v>
      </c>
    </row>
    <row r="91" spans="1:28">
      <c r="A91" s="30">
        <v>90</v>
      </c>
      <c r="B91" s="17">
        <v>611122</v>
      </c>
      <c r="C91" s="17" t="s">
        <v>331</v>
      </c>
      <c r="D91" s="17" t="s">
        <v>689</v>
      </c>
      <c r="E91" s="17" t="s">
        <v>848</v>
      </c>
      <c r="F91" s="17" t="s">
        <v>1118</v>
      </c>
      <c r="G91" s="17" t="s">
        <v>840</v>
      </c>
      <c r="H91" s="17" t="s">
        <v>53</v>
      </c>
      <c r="I91" s="17">
        <v>20059</v>
      </c>
      <c r="J91" s="17" t="s">
        <v>54</v>
      </c>
      <c r="K91" s="17" t="s">
        <v>63</v>
      </c>
      <c r="L91" s="17" t="s">
        <v>228</v>
      </c>
      <c r="M91" s="17" t="s">
        <v>591</v>
      </c>
      <c r="N91" s="17" t="s">
        <v>20</v>
      </c>
      <c r="O91" s="17" t="s">
        <v>304</v>
      </c>
      <c r="P91" s="17" t="s">
        <v>56</v>
      </c>
      <c r="Q91" s="17" t="s">
        <v>118</v>
      </c>
      <c r="R91" s="17" t="s">
        <v>20</v>
      </c>
      <c r="S91" s="17" t="s">
        <v>308</v>
      </c>
      <c r="T91" s="17">
        <v>108</v>
      </c>
      <c r="U91" s="18">
        <v>4499154264</v>
      </c>
      <c r="X91" s="17" t="s">
        <v>66</v>
      </c>
      <c r="Y91" s="17" t="s">
        <v>120</v>
      </c>
      <c r="Z91" s="17" t="s">
        <v>274</v>
      </c>
      <c r="AA91" s="31">
        <v>778821.59013000003</v>
      </c>
      <c r="AB91" s="31">
        <v>2422517.3492800002</v>
      </c>
    </row>
    <row r="92" spans="1:28">
      <c r="A92" s="30">
        <v>91</v>
      </c>
      <c r="B92" s="17">
        <v>611122</v>
      </c>
      <c r="C92" s="17" t="s">
        <v>331</v>
      </c>
      <c r="D92" s="17" t="s">
        <v>689</v>
      </c>
      <c r="E92" s="17" t="s">
        <v>849</v>
      </c>
      <c r="F92" s="17" t="s">
        <v>1118</v>
      </c>
      <c r="H92" s="17" t="s">
        <v>53</v>
      </c>
      <c r="I92" s="17">
        <v>20059</v>
      </c>
      <c r="J92" s="17" t="s">
        <v>54</v>
      </c>
      <c r="K92" s="17" t="s">
        <v>73</v>
      </c>
      <c r="L92" s="17" t="s">
        <v>20</v>
      </c>
      <c r="M92" s="17" t="s">
        <v>304</v>
      </c>
      <c r="N92" s="17" t="s">
        <v>20</v>
      </c>
      <c r="O92" s="17" t="s">
        <v>308</v>
      </c>
      <c r="P92" s="17" t="s">
        <v>228</v>
      </c>
      <c r="Q92" s="17" t="s">
        <v>591</v>
      </c>
      <c r="R92" s="17" t="s">
        <v>56</v>
      </c>
      <c r="S92" s="17" t="s">
        <v>118</v>
      </c>
      <c r="T92" s="17">
        <v>314</v>
      </c>
      <c r="U92" s="18">
        <v>4499157094</v>
      </c>
      <c r="X92" s="17" t="s">
        <v>66</v>
      </c>
      <c r="Y92" s="17" t="s">
        <v>120</v>
      </c>
      <c r="Z92" s="17" t="s">
        <v>274</v>
      </c>
      <c r="AA92" s="31">
        <v>778908.37239799998</v>
      </c>
      <c r="AB92" s="31">
        <v>2422553.3663499998</v>
      </c>
    </row>
    <row r="93" spans="1:28">
      <c r="A93" s="30">
        <v>92</v>
      </c>
      <c r="B93" s="17">
        <v>611122</v>
      </c>
      <c r="C93" s="17" t="s">
        <v>331</v>
      </c>
      <c r="D93" s="17" t="s">
        <v>689</v>
      </c>
      <c r="E93" s="17" t="s">
        <v>850</v>
      </c>
      <c r="F93" s="17" t="s">
        <v>1118</v>
      </c>
      <c r="G93" s="17" t="s">
        <v>240</v>
      </c>
      <c r="H93" s="17" t="s">
        <v>69</v>
      </c>
      <c r="I93" s="17">
        <v>20230</v>
      </c>
      <c r="J93" s="17" t="s">
        <v>54</v>
      </c>
      <c r="K93" s="17" t="s">
        <v>73</v>
      </c>
      <c r="L93" s="17" t="s">
        <v>20</v>
      </c>
      <c r="M93" s="17" t="s">
        <v>306</v>
      </c>
      <c r="N93" s="17" t="s">
        <v>56</v>
      </c>
      <c r="O93" s="17" t="s">
        <v>215</v>
      </c>
      <c r="P93" s="17" t="s">
        <v>20</v>
      </c>
      <c r="Q93" s="17" t="s">
        <v>262</v>
      </c>
      <c r="R93" s="17" t="s">
        <v>20</v>
      </c>
      <c r="S93" s="17" t="s">
        <v>307</v>
      </c>
      <c r="T93" s="17">
        <v>327</v>
      </c>
      <c r="U93" s="18">
        <v>0</v>
      </c>
      <c r="V93" s="17" t="s">
        <v>851</v>
      </c>
      <c r="X93" s="17" t="s">
        <v>66</v>
      </c>
      <c r="Y93" s="17" t="s">
        <v>120</v>
      </c>
      <c r="Z93" s="17" t="s">
        <v>274</v>
      </c>
      <c r="AA93" s="31">
        <v>779175.222679</v>
      </c>
      <c r="AB93" s="31">
        <v>2421618.55106</v>
      </c>
    </row>
    <row r="94" spans="1:28">
      <c r="A94" s="30">
        <v>93</v>
      </c>
      <c r="B94" s="17">
        <v>611122</v>
      </c>
      <c r="C94" s="17" t="s">
        <v>331</v>
      </c>
      <c r="D94" s="17" t="s">
        <v>689</v>
      </c>
      <c r="E94" s="17" t="s">
        <v>852</v>
      </c>
      <c r="F94" s="17" t="s">
        <v>1118</v>
      </c>
      <c r="G94" s="17" t="s">
        <v>777</v>
      </c>
      <c r="H94" s="17" t="s">
        <v>85</v>
      </c>
      <c r="I94" s="17">
        <v>20250</v>
      </c>
      <c r="J94" s="17" t="s">
        <v>54</v>
      </c>
      <c r="K94" s="17" t="s">
        <v>73</v>
      </c>
      <c r="L94" s="17" t="s">
        <v>20</v>
      </c>
      <c r="M94" s="17" t="s">
        <v>410</v>
      </c>
      <c r="N94" s="17" t="s">
        <v>20</v>
      </c>
      <c r="O94" s="17" t="s">
        <v>411</v>
      </c>
      <c r="P94" s="17" t="s">
        <v>56</v>
      </c>
      <c r="Q94" s="17" t="s">
        <v>388</v>
      </c>
      <c r="R94" s="17" t="s">
        <v>58</v>
      </c>
      <c r="S94" s="17" t="s">
        <v>404</v>
      </c>
      <c r="T94" s="17">
        <v>101</v>
      </c>
      <c r="U94" s="18">
        <v>4492393710</v>
      </c>
      <c r="X94" s="17" t="s">
        <v>66</v>
      </c>
      <c r="Y94" s="17" t="s">
        <v>165</v>
      </c>
      <c r="Z94" s="17" t="s">
        <v>274</v>
      </c>
      <c r="AA94" s="31">
        <v>782163.64287500002</v>
      </c>
      <c r="AB94" s="31">
        <v>2420862.80112</v>
      </c>
    </row>
    <row r="95" spans="1:28">
      <c r="A95" s="30">
        <v>94</v>
      </c>
      <c r="B95" s="17">
        <v>611122</v>
      </c>
      <c r="C95" s="17" t="s">
        <v>331</v>
      </c>
      <c r="D95" s="17" t="s">
        <v>689</v>
      </c>
      <c r="E95" s="17" t="s">
        <v>853</v>
      </c>
      <c r="F95" s="17" t="s">
        <v>1118</v>
      </c>
      <c r="G95" s="17" t="s">
        <v>240</v>
      </c>
      <c r="H95" s="17" t="s">
        <v>85</v>
      </c>
      <c r="I95" s="17">
        <v>20250</v>
      </c>
      <c r="J95" s="17" t="s">
        <v>54</v>
      </c>
      <c r="K95" s="17" t="s">
        <v>73</v>
      </c>
      <c r="L95" s="17" t="s">
        <v>20</v>
      </c>
      <c r="M95" s="17" t="s">
        <v>410</v>
      </c>
      <c r="N95" s="17" t="s">
        <v>20</v>
      </c>
      <c r="O95" s="17" t="s">
        <v>411</v>
      </c>
      <c r="P95" s="17" t="s">
        <v>56</v>
      </c>
      <c r="Q95" s="17" t="s">
        <v>388</v>
      </c>
      <c r="R95" s="17" t="s">
        <v>58</v>
      </c>
      <c r="S95" s="17" t="s">
        <v>404</v>
      </c>
      <c r="T95" s="17">
        <v>103</v>
      </c>
      <c r="U95" s="18">
        <v>4499407814</v>
      </c>
      <c r="X95" s="17" t="s">
        <v>60</v>
      </c>
      <c r="Y95" s="17" t="s">
        <v>165</v>
      </c>
      <c r="Z95" s="17" t="s">
        <v>274</v>
      </c>
      <c r="AA95" s="31">
        <v>782221.24036399997</v>
      </c>
      <c r="AB95" s="31">
        <v>2420868.0008399999</v>
      </c>
    </row>
    <row r="96" spans="1:28">
      <c r="A96" s="30">
        <v>95</v>
      </c>
      <c r="B96" s="17">
        <v>611122</v>
      </c>
      <c r="C96" s="17" t="s">
        <v>331</v>
      </c>
      <c r="D96" s="17" t="s">
        <v>689</v>
      </c>
      <c r="E96" s="17" t="s">
        <v>856</v>
      </c>
      <c r="F96" s="17" t="s">
        <v>1118</v>
      </c>
      <c r="G96" s="17" t="s">
        <v>240</v>
      </c>
      <c r="H96" s="17" t="s">
        <v>94</v>
      </c>
      <c r="I96" s="17">
        <v>20196</v>
      </c>
      <c r="J96" s="17" t="s">
        <v>54</v>
      </c>
      <c r="K96" s="17" t="s">
        <v>73</v>
      </c>
      <c r="L96" s="17" t="s">
        <v>20</v>
      </c>
      <c r="M96" s="17" t="s">
        <v>315</v>
      </c>
      <c r="N96" s="17" t="s">
        <v>20</v>
      </c>
      <c r="O96" s="17" t="s">
        <v>325</v>
      </c>
      <c r="P96" s="17" t="s">
        <v>20</v>
      </c>
      <c r="Q96" s="17" t="s">
        <v>598</v>
      </c>
      <c r="R96" s="17" t="s">
        <v>20</v>
      </c>
      <c r="S96" s="17" t="s">
        <v>84</v>
      </c>
      <c r="T96" s="17">
        <v>0</v>
      </c>
      <c r="U96" s="18">
        <v>4496886912</v>
      </c>
      <c r="X96" s="17" t="s">
        <v>66</v>
      </c>
      <c r="Y96" s="17" t="s">
        <v>310</v>
      </c>
      <c r="Z96" s="17" t="s">
        <v>311</v>
      </c>
      <c r="AA96" s="31">
        <v>786174.33330000006</v>
      </c>
      <c r="AB96" s="31">
        <v>2421496.8604199998</v>
      </c>
    </row>
    <row r="97" spans="1:28">
      <c r="A97" s="30">
        <v>96</v>
      </c>
      <c r="B97" s="17">
        <v>611122</v>
      </c>
      <c r="C97" s="17" t="s">
        <v>331</v>
      </c>
      <c r="D97" s="17" t="s">
        <v>689</v>
      </c>
      <c r="E97" s="17" t="s">
        <v>856</v>
      </c>
      <c r="F97" s="17" t="s">
        <v>1118</v>
      </c>
      <c r="G97" s="17" t="s">
        <v>240</v>
      </c>
      <c r="H97" s="17" t="s">
        <v>94</v>
      </c>
      <c r="I97" s="17">
        <v>20196</v>
      </c>
      <c r="J97" s="17" t="s">
        <v>54</v>
      </c>
      <c r="K97" s="17" t="s">
        <v>73</v>
      </c>
      <c r="L97" s="17" t="s">
        <v>20</v>
      </c>
      <c r="M97" s="17" t="s">
        <v>315</v>
      </c>
      <c r="N97" s="17" t="s">
        <v>20</v>
      </c>
      <c r="O97" s="17" t="s">
        <v>325</v>
      </c>
      <c r="P97" s="17" t="s">
        <v>20</v>
      </c>
      <c r="Q97" s="17" t="s">
        <v>598</v>
      </c>
      <c r="R97" s="17" t="s">
        <v>20</v>
      </c>
      <c r="S97" s="17" t="s">
        <v>84</v>
      </c>
      <c r="T97" s="17">
        <v>0</v>
      </c>
      <c r="U97" s="18">
        <v>4496886912</v>
      </c>
      <c r="X97" s="17" t="s">
        <v>66</v>
      </c>
      <c r="Y97" s="17" t="s">
        <v>310</v>
      </c>
      <c r="Z97" s="17" t="s">
        <v>311</v>
      </c>
      <c r="AA97" s="31">
        <v>786161.66486200003</v>
      </c>
      <c r="AB97" s="31">
        <v>2421488.6512799999</v>
      </c>
    </row>
    <row r="98" spans="1:28">
      <c r="A98" s="30">
        <v>97</v>
      </c>
      <c r="B98" s="17">
        <v>611122</v>
      </c>
      <c r="C98" s="17" t="s">
        <v>331</v>
      </c>
      <c r="D98" s="17" t="s">
        <v>689</v>
      </c>
      <c r="E98" s="17" t="s">
        <v>857</v>
      </c>
      <c r="F98" s="17" t="s">
        <v>1118</v>
      </c>
      <c r="G98" s="17" t="s">
        <v>699</v>
      </c>
      <c r="H98" s="17" t="s">
        <v>94</v>
      </c>
      <c r="I98" s="17">
        <v>20196</v>
      </c>
      <c r="J98" s="17" t="s">
        <v>54</v>
      </c>
      <c r="K98" s="17" t="s">
        <v>73</v>
      </c>
      <c r="L98" s="17" t="s">
        <v>56</v>
      </c>
      <c r="M98" s="17" t="s">
        <v>313</v>
      </c>
      <c r="N98" s="17" t="s">
        <v>20</v>
      </c>
      <c r="O98" s="17" t="s">
        <v>312</v>
      </c>
      <c r="P98" s="17" t="s">
        <v>56</v>
      </c>
      <c r="Q98" s="17" t="s">
        <v>324</v>
      </c>
      <c r="R98" s="17" t="s">
        <v>56</v>
      </c>
      <c r="S98" s="17" t="s">
        <v>320</v>
      </c>
      <c r="T98" s="17">
        <v>0</v>
      </c>
      <c r="U98" s="18">
        <v>0</v>
      </c>
      <c r="X98" s="17" t="s">
        <v>66</v>
      </c>
      <c r="Y98" s="17" t="s">
        <v>310</v>
      </c>
      <c r="Z98" s="17" t="s">
        <v>311</v>
      </c>
      <c r="AA98" s="31">
        <v>785445.76683500002</v>
      </c>
      <c r="AB98" s="31">
        <v>2420775.2791900001</v>
      </c>
    </row>
    <row r="99" spans="1:28">
      <c r="A99" s="30">
        <v>98</v>
      </c>
      <c r="B99" s="17">
        <v>611122</v>
      </c>
      <c r="C99" s="17" t="s">
        <v>331</v>
      </c>
      <c r="D99" s="17" t="s">
        <v>689</v>
      </c>
      <c r="E99" s="17" t="s">
        <v>858</v>
      </c>
      <c r="F99" s="17" t="s">
        <v>1118</v>
      </c>
      <c r="G99" s="17" t="s">
        <v>699</v>
      </c>
      <c r="H99" s="17" t="s">
        <v>94</v>
      </c>
      <c r="I99" s="17">
        <v>20196</v>
      </c>
      <c r="J99" s="17" t="s">
        <v>54</v>
      </c>
      <c r="K99" s="17" t="s">
        <v>73</v>
      </c>
      <c r="L99" s="17" t="s">
        <v>56</v>
      </c>
      <c r="M99" s="17" t="s">
        <v>313</v>
      </c>
      <c r="N99" s="17" t="s">
        <v>20</v>
      </c>
      <c r="O99" s="17" t="s">
        <v>312</v>
      </c>
      <c r="P99" s="17" t="s">
        <v>56</v>
      </c>
      <c r="Q99" s="17" t="s">
        <v>324</v>
      </c>
      <c r="R99" s="17" t="s">
        <v>20</v>
      </c>
      <c r="S99" s="17" t="s">
        <v>855</v>
      </c>
      <c r="T99" s="17">
        <v>0</v>
      </c>
      <c r="U99" s="18">
        <v>4499746659</v>
      </c>
      <c r="V99" s="17" t="s">
        <v>859</v>
      </c>
      <c r="X99" s="17" t="s">
        <v>66</v>
      </c>
      <c r="Y99" s="17" t="s">
        <v>310</v>
      </c>
      <c r="Z99" s="17" t="s">
        <v>311</v>
      </c>
      <c r="AA99" s="31">
        <v>785452.80536400003</v>
      </c>
      <c r="AB99" s="31">
        <v>2420772.8237200002</v>
      </c>
    </row>
    <row r="100" spans="1:28">
      <c r="A100" s="30">
        <v>99</v>
      </c>
      <c r="B100" s="17">
        <v>611122</v>
      </c>
      <c r="C100" s="17" t="s">
        <v>331</v>
      </c>
      <c r="D100" s="17" t="s">
        <v>689</v>
      </c>
      <c r="E100" s="17" t="s">
        <v>860</v>
      </c>
      <c r="F100" s="17" t="s">
        <v>1118</v>
      </c>
      <c r="G100" s="17" t="s">
        <v>240</v>
      </c>
      <c r="H100" s="17" t="s">
        <v>94</v>
      </c>
      <c r="I100" s="17">
        <v>20196</v>
      </c>
      <c r="J100" s="17" t="s">
        <v>54</v>
      </c>
      <c r="K100" s="17" t="s">
        <v>73</v>
      </c>
      <c r="L100" s="17" t="s">
        <v>20</v>
      </c>
      <c r="M100" s="17" t="s">
        <v>318</v>
      </c>
      <c r="N100" s="17" t="s">
        <v>20</v>
      </c>
      <c r="O100" s="17" t="s">
        <v>861</v>
      </c>
      <c r="P100" s="17" t="s">
        <v>20</v>
      </c>
      <c r="Q100" s="17" t="s">
        <v>319</v>
      </c>
      <c r="R100" s="17" t="s">
        <v>20</v>
      </c>
      <c r="S100" s="17" t="s">
        <v>319</v>
      </c>
      <c r="T100" s="17">
        <v>0</v>
      </c>
      <c r="U100" s="18">
        <v>0</v>
      </c>
      <c r="V100" s="17" t="s">
        <v>862</v>
      </c>
      <c r="X100" s="17" t="s">
        <v>66</v>
      </c>
      <c r="Y100" s="17" t="s">
        <v>310</v>
      </c>
      <c r="Z100" s="17" t="s">
        <v>311</v>
      </c>
      <c r="AA100" s="31">
        <v>785275.71883300005</v>
      </c>
      <c r="AB100" s="31">
        <v>2421341.76351</v>
      </c>
    </row>
    <row r="101" spans="1:28">
      <c r="A101" s="30">
        <v>100</v>
      </c>
      <c r="B101" s="17">
        <v>611122</v>
      </c>
      <c r="C101" s="17" t="s">
        <v>331</v>
      </c>
      <c r="D101" s="17" t="s">
        <v>689</v>
      </c>
      <c r="E101" s="17" t="s">
        <v>863</v>
      </c>
      <c r="F101" s="17" t="s">
        <v>1118</v>
      </c>
      <c r="G101" s="17" t="s">
        <v>240</v>
      </c>
      <c r="H101" s="17" t="s">
        <v>94</v>
      </c>
      <c r="I101" s="17">
        <v>20196</v>
      </c>
      <c r="J101" s="17" t="s">
        <v>54</v>
      </c>
      <c r="K101" s="17" t="s">
        <v>73</v>
      </c>
      <c r="L101" s="17" t="s">
        <v>20</v>
      </c>
      <c r="M101" s="17" t="s">
        <v>318</v>
      </c>
      <c r="N101" s="17" t="s">
        <v>20</v>
      </c>
      <c r="O101" s="17" t="s">
        <v>861</v>
      </c>
      <c r="P101" s="17" t="s">
        <v>20</v>
      </c>
      <c r="Q101" s="17" t="s">
        <v>319</v>
      </c>
      <c r="R101" s="17" t="s">
        <v>20</v>
      </c>
      <c r="S101" s="17" t="s">
        <v>864</v>
      </c>
      <c r="T101" s="17">
        <v>0</v>
      </c>
      <c r="U101" s="18">
        <v>4491400905</v>
      </c>
      <c r="V101" s="17" t="s">
        <v>865</v>
      </c>
      <c r="X101" s="17" t="s">
        <v>66</v>
      </c>
      <c r="Y101" s="17" t="s">
        <v>310</v>
      </c>
      <c r="Z101" s="17" t="s">
        <v>311</v>
      </c>
      <c r="AA101" s="31">
        <v>785282.85368499998</v>
      </c>
      <c r="AB101" s="31">
        <v>2421343.6613699999</v>
      </c>
    </row>
    <row r="102" spans="1:28">
      <c r="A102" s="30">
        <v>101</v>
      </c>
      <c r="B102" s="17">
        <v>611122</v>
      </c>
      <c r="C102" s="17" t="s">
        <v>331</v>
      </c>
      <c r="D102" s="17" t="s">
        <v>689</v>
      </c>
      <c r="E102" s="17" t="s">
        <v>866</v>
      </c>
      <c r="F102" s="17" t="s">
        <v>1118</v>
      </c>
      <c r="G102" s="17" t="s">
        <v>240</v>
      </c>
      <c r="H102" s="17" t="s">
        <v>94</v>
      </c>
      <c r="I102" s="17">
        <v>20196</v>
      </c>
      <c r="J102" s="17" t="s">
        <v>54</v>
      </c>
      <c r="K102" s="17" t="s">
        <v>73</v>
      </c>
      <c r="L102" s="17" t="s">
        <v>20</v>
      </c>
      <c r="M102" s="17" t="s">
        <v>595</v>
      </c>
      <c r="N102" s="17" t="s">
        <v>20</v>
      </c>
      <c r="O102" s="17" t="s">
        <v>321</v>
      </c>
      <c r="P102" s="17" t="s">
        <v>20</v>
      </c>
      <c r="Q102" s="17" t="s">
        <v>600</v>
      </c>
      <c r="R102" s="17" t="s">
        <v>20</v>
      </c>
      <c r="S102" s="17" t="s">
        <v>594</v>
      </c>
      <c r="T102" s="17">
        <v>245</v>
      </c>
      <c r="U102" s="18">
        <v>4498981535</v>
      </c>
      <c r="X102" s="17" t="s">
        <v>64</v>
      </c>
      <c r="Y102" s="17" t="s">
        <v>310</v>
      </c>
      <c r="Z102" s="17" t="s">
        <v>311</v>
      </c>
      <c r="AA102" s="31">
        <v>784989.90377500001</v>
      </c>
      <c r="AB102" s="31">
        <v>2423928.7661799998</v>
      </c>
    </row>
    <row r="103" spans="1:28">
      <c r="A103" s="30">
        <v>102</v>
      </c>
      <c r="B103" s="17">
        <v>611122</v>
      </c>
      <c r="C103" s="17" t="s">
        <v>331</v>
      </c>
      <c r="D103" s="17" t="s">
        <v>689</v>
      </c>
      <c r="E103" s="17" t="s">
        <v>867</v>
      </c>
      <c r="F103" s="17" t="s">
        <v>1118</v>
      </c>
      <c r="G103" s="17" t="s">
        <v>240</v>
      </c>
      <c r="H103" s="17" t="s">
        <v>94</v>
      </c>
      <c r="I103" s="17">
        <v>20174</v>
      </c>
      <c r="J103" s="17" t="s">
        <v>54</v>
      </c>
      <c r="K103" s="17" t="s">
        <v>55</v>
      </c>
      <c r="L103" s="17" t="s">
        <v>20</v>
      </c>
      <c r="M103" s="17" t="s">
        <v>593</v>
      </c>
      <c r="N103" s="17" t="s">
        <v>20</v>
      </c>
      <c r="O103" s="17" t="s">
        <v>321</v>
      </c>
      <c r="P103" s="17" t="s">
        <v>20</v>
      </c>
      <c r="Q103" s="17" t="s">
        <v>593</v>
      </c>
      <c r="R103" s="17" t="s">
        <v>58</v>
      </c>
      <c r="S103" s="17" t="s">
        <v>868</v>
      </c>
      <c r="T103" s="17">
        <v>0</v>
      </c>
      <c r="U103" s="18">
        <v>0</v>
      </c>
      <c r="V103" s="17" t="s">
        <v>869</v>
      </c>
      <c r="X103" s="17" t="s">
        <v>60</v>
      </c>
      <c r="Y103" s="17" t="s">
        <v>310</v>
      </c>
      <c r="Z103" s="17" t="s">
        <v>311</v>
      </c>
      <c r="AA103" s="31">
        <v>785445.78353300004</v>
      </c>
      <c r="AB103" s="31">
        <v>2424209.9128399999</v>
      </c>
    </row>
    <row r="104" spans="1:28">
      <c r="A104" s="30">
        <v>103</v>
      </c>
      <c r="B104" s="17">
        <v>611122</v>
      </c>
      <c r="C104" s="17" t="s">
        <v>331</v>
      </c>
      <c r="D104" s="17" t="s">
        <v>689</v>
      </c>
      <c r="E104" s="17" t="s">
        <v>870</v>
      </c>
      <c r="F104" s="17" t="s">
        <v>1118</v>
      </c>
      <c r="G104" s="17" t="s">
        <v>240</v>
      </c>
      <c r="H104" s="17" t="s">
        <v>94</v>
      </c>
      <c r="I104" s="17">
        <v>20174</v>
      </c>
      <c r="J104" s="17" t="s">
        <v>54</v>
      </c>
      <c r="K104" s="17" t="s">
        <v>55</v>
      </c>
      <c r="L104" s="17" t="s">
        <v>20</v>
      </c>
      <c r="M104" s="17" t="s">
        <v>593</v>
      </c>
      <c r="N104" s="17" t="s">
        <v>20</v>
      </c>
      <c r="O104" s="17" t="s">
        <v>321</v>
      </c>
      <c r="P104" s="17" t="s">
        <v>20</v>
      </c>
      <c r="Q104" s="17" t="s">
        <v>84</v>
      </c>
      <c r="R104" s="17" t="s">
        <v>20</v>
      </c>
      <c r="S104" s="17" t="s">
        <v>321</v>
      </c>
      <c r="T104" s="17">
        <v>131</v>
      </c>
      <c r="U104" s="18">
        <v>0</v>
      </c>
      <c r="X104" s="17" t="s">
        <v>60</v>
      </c>
      <c r="Y104" s="17" t="s">
        <v>310</v>
      </c>
      <c r="Z104" s="17" t="s">
        <v>311</v>
      </c>
      <c r="AA104" s="31">
        <v>785446.32025600004</v>
      </c>
      <c r="AB104" s="31">
        <v>2424209.2232599999</v>
      </c>
    </row>
    <row r="105" spans="1:28">
      <c r="A105" s="30">
        <v>104</v>
      </c>
      <c r="B105" s="17">
        <v>611122</v>
      </c>
      <c r="C105" s="17" t="s">
        <v>331</v>
      </c>
      <c r="D105" s="17" t="s">
        <v>689</v>
      </c>
      <c r="E105" s="17" t="s">
        <v>871</v>
      </c>
      <c r="F105" s="17" t="s">
        <v>1118</v>
      </c>
      <c r="G105" s="17" t="s">
        <v>872</v>
      </c>
      <c r="H105" s="17" t="s">
        <v>94</v>
      </c>
      <c r="I105" s="17">
        <v>20196</v>
      </c>
      <c r="J105" s="17" t="s">
        <v>54</v>
      </c>
      <c r="K105" s="17" t="s">
        <v>73</v>
      </c>
      <c r="L105" s="17" t="s">
        <v>20</v>
      </c>
      <c r="M105" s="17" t="s">
        <v>322</v>
      </c>
      <c r="N105" s="17" t="s">
        <v>20</v>
      </c>
      <c r="O105" s="17" t="s">
        <v>599</v>
      </c>
      <c r="P105" s="17" t="s">
        <v>56</v>
      </c>
      <c r="Q105" s="17" t="s">
        <v>323</v>
      </c>
      <c r="R105" s="17" t="s">
        <v>20</v>
      </c>
      <c r="S105" s="17" t="s">
        <v>596</v>
      </c>
      <c r="T105" s="17">
        <v>0</v>
      </c>
      <c r="U105" s="18">
        <v>0</v>
      </c>
      <c r="X105" s="17" t="s">
        <v>64</v>
      </c>
      <c r="Y105" s="17" t="s">
        <v>310</v>
      </c>
      <c r="Z105" s="17" t="s">
        <v>311</v>
      </c>
      <c r="AA105" s="31">
        <v>785928.05120600003</v>
      </c>
      <c r="AB105" s="31">
        <v>2422446.4155299999</v>
      </c>
    </row>
    <row r="106" spans="1:28">
      <c r="A106" s="30">
        <v>105</v>
      </c>
      <c r="B106" s="17">
        <v>611122</v>
      </c>
      <c r="C106" s="17" t="s">
        <v>331</v>
      </c>
      <c r="D106" s="17" t="s">
        <v>689</v>
      </c>
      <c r="E106" s="17" t="s">
        <v>873</v>
      </c>
      <c r="F106" s="17" t="s">
        <v>1118</v>
      </c>
      <c r="G106" s="17" t="s">
        <v>240</v>
      </c>
      <c r="H106" s="17" t="s">
        <v>94</v>
      </c>
      <c r="I106" s="17">
        <v>20196</v>
      </c>
      <c r="J106" s="17" t="s">
        <v>54</v>
      </c>
      <c r="K106" s="17" t="s">
        <v>81</v>
      </c>
      <c r="L106" s="17" t="s">
        <v>20</v>
      </c>
      <c r="M106" s="17" t="s">
        <v>322</v>
      </c>
      <c r="N106" s="17" t="s">
        <v>20</v>
      </c>
      <c r="O106" s="17" t="s">
        <v>599</v>
      </c>
      <c r="P106" s="17" t="s">
        <v>56</v>
      </c>
      <c r="Q106" s="17" t="s">
        <v>323</v>
      </c>
      <c r="R106" s="17" t="s">
        <v>20</v>
      </c>
      <c r="S106" s="17" t="s">
        <v>596</v>
      </c>
      <c r="T106" s="17">
        <v>0</v>
      </c>
      <c r="U106" s="18">
        <v>0</v>
      </c>
      <c r="V106" s="17" t="s">
        <v>874</v>
      </c>
      <c r="X106" s="17" t="s">
        <v>64</v>
      </c>
      <c r="Y106" s="17" t="s">
        <v>310</v>
      </c>
      <c r="Z106" s="17" t="s">
        <v>311</v>
      </c>
      <c r="AA106" s="31">
        <v>785927.95406100003</v>
      </c>
      <c r="AB106" s="31">
        <v>2422446.6409499999</v>
      </c>
    </row>
    <row r="107" spans="1:28">
      <c r="A107" s="30">
        <v>106</v>
      </c>
      <c r="B107" s="17">
        <v>611122</v>
      </c>
      <c r="C107" s="17" t="s">
        <v>331</v>
      </c>
      <c r="D107" s="17" t="s">
        <v>689</v>
      </c>
      <c r="E107" s="17" t="s">
        <v>875</v>
      </c>
      <c r="F107" s="17" t="s">
        <v>1118</v>
      </c>
      <c r="G107" s="17" t="s">
        <v>240</v>
      </c>
      <c r="H107" s="17" t="s">
        <v>69</v>
      </c>
      <c r="I107" s="17">
        <v>20299</v>
      </c>
      <c r="J107" s="17" t="s">
        <v>54</v>
      </c>
      <c r="K107" s="17" t="s">
        <v>73</v>
      </c>
      <c r="L107" s="17" t="s">
        <v>20</v>
      </c>
      <c r="M107" s="17" t="s">
        <v>333</v>
      </c>
      <c r="N107" s="17" t="s">
        <v>56</v>
      </c>
      <c r="O107" s="17" t="s">
        <v>317</v>
      </c>
      <c r="P107" s="17" t="s">
        <v>20</v>
      </c>
      <c r="Q107" s="17" t="s">
        <v>601</v>
      </c>
      <c r="R107" s="17" t="s">
        <v>20</v>
      </c>
      <c r="S107" s="17" t="s">
        <v>607</v>
      </c>
      <c r="T107" s="17">
        <v>0</v>
      </c>
      <c r="U107" s="18">
        <v>0</v>
      </c>
      <c r="X107" s="17" t="s">
        <v>64</v>
      </c>
      <c r="Y107" s="17" t="s">
        <v>332</v>
      </c>
      <c r="Z107" s="17" t="s">
        <v>311</v>
      </c>
      <c r="AA107" s="31">
        <v>785173.30651499995</v>
      </c>
      <c r="AB107" s="31">
        <v>2425164.6139000002</v>
      </c>
    </row>
    <row r="108" spans="1:28">
      <c r="A108" s="30">
        <v>107</v>
      </c>
      <c r="B108" s="17">
        <v>611122</v>
      </c>
      <c r="C108" s="17" t="s">
        <v>331</v>
      </c>
      <c r="D108" s="17" t="s">
        <v>689</v>
      </c>
      <c r="E108" s="17" t="s">
        <v>876</v>
      </c>
      <c r="F108" s="17" t="s">
        <v>1118</v>
      </c>
      <c r="G108" s="17" t="s">
        <v>240</v>
      </c>
      <c r="H108" s="17" t="s">
        <v>69</v>
      </c>
      <c r="I108" s="17">
        <v>20299</v>
      </c>
      <c r="J108" s="17" t="s">
        <v>54</v>
      </c>
      <c r="K108" s="17" t="s">
        <v>63</v>
      </c>
      <c r="L108" s="17" t="s">
        <v>20</v>
      </c>
      <c r="M108" s="17" t="s">
        <v>333</v>
      </c>
      <c r="N108" s="17" t="s">
        <v>56</v>
      </c>
      <c r="O108" s="17" t="s">
        <v>317</v>
      </c>
      <c r="P108" s="17" t="s">
        <v>20</v>
      </c>
      <c r="Q108" s="17" t="s">
        <v>601</v>
      </c>
      <c r="R108" s="17" t="s">
        <v>20</v>
      </c>
      <c r="S108" s="17" t="s">
        <v>607</v>
      </c>
      <c r="T108" s="17">
        <v>0</v>
      </c>
      <c r="U108" s="18">
        <v>4492648315</v>
      </c>
      <c r="X108" s="17" t="s">
        <v>60</v>
      </c>
      <c r="Y108" s="17" t="s">
        <v>332</v>
      </c>
      <c r="Z108" s="17" t="s">
        <v>311</v>
      </c>
      <c r="AA108" s="31">
        <v>785168.57298299996</v>
      </c>
      <c r="AB108" s="31">
        <v>2425169.3004000001</v>
      </c>
    </row>
    <row r="109" spans="1:28">
      <c r="A109" s="30">
        <v>108</v>
      </c>
      <c r="B109" s="17">
        <v>611122</v>
      </c>
      <c r="C109" s="17" t="s">
        <v>331</v>
      </c>
      <c r="D109" s="17" t="s">
        <v>689</v>
      </c>
      <c r="E109" s="17" t="s">
        <v>877</v>
      </c>
      <c r="F109" s="17" t="s">
        <v>1118</v>
      </c>
      <c r="G109" s="17" t="s">
        <v>240</v>
      </c>
      <c r="H109" s="17" t="s">
        <v>69</v>
      </c>
      <c r="I109" s="17">
        <v>20299</v>
      </c>
      <c r="J109" s="17" t="s">
        <v>54</v>
      </c>
      <c r="K109" s="17" t="s">
        <v>73</v>
      </c>
      <c r="L109" s="17" t="s">
        <v>58</v>
      </c>
      <c r="M109" s="17" t="s">
        <v>604</v>
      </c>
      <c r="O109" s="17" t="s">
        <v>59</v>
      </c>
      <c r="P109" s="17" t="s">
        <v>58</v>
      </c>
      <c r="Q109" s="17" t="s">
        <v>605</v>
      </c>
      <c r="S109" s="17" t="s">
        <v>59</v>
      </c>
      <c r="T109" s="17">
        <v>0</v>
      </c>
      <c r="U109" s="18">
        <v>4492510895</v>
      </c>
      <c r="X109" s="17" t="s">
        <v>66</v>
      </c>
      <c r="Y109" s="17" t="s">
        <v>332</v>
      </c>
      <c r="Z109" s="17" t="s">
        <v>311</v>
      </c>
      <c r="AA109" s="31">
        <v>784897.82462299999</v>
      </c>
      <c r="AB109" s="31">
        <v>2425466.5571499998</v>
      </c>
    </row>
    <row r="110" spans="1:28">
      <c r="A110" s="30">
        <v>109</v>
      </c>
      <c r="B110" s="17">
        <v>611122</v>
      </c>
      <c r="C110" s="17" t="s">
        <v>331</v>
      </c>
      <c r="D110" s="17" t="s">
        <v>689</v>
      </c>
      <c r="E110" s="17" t="s">
        <v>878</v>
      </c>
      <c r="F110" s="17" t="s">
        <v>1118</v>
      </c>
      <c r="G110" s="17" t="s">
        <v>240</v>
      </c>
      <c r="H110" s="17" t="s">
        <v>69</v>
      </c>
      <c r="I110" s="17">
        <v>20299</v>
      </c>
      <c r="J110" s="17" t="s">
        <v>54</v>
      </c>
      <c r="K110" s="17" t="s">
        <v>73</v>
      </c>
      <c r="L110" s="17" t="s">
        <v>58</v>
      </c>
      <c r="M110" s="17" t="s">
        <v>604</v>
      </c>
      <c r="O110" s="17" t="s">
        <v>59</v>
      </c>
      <c r="P110" s="17" t="s">
        <v>58</v>
      </c>
      <c r="Q110" s="17" t="s">
        <v>605</v>
      </c>
      <c r="S110" s="17" t="s">
        <v>59</v>
      </c>
      <c r="T110" s="17">
        <v>0</v>
      </c>
      <c r="U110" s="18">
        <v>4492510953</v>
      </c>
      <c r="X110" s="17" t="s">
        <v>66</v>
      </c>
      <c r="Y110" s="17" t="s">
        <v>332</v>
      </c>
      <c r="Z110" s="17" t="s">
        <v>311</v>
      </c>
      <c r="AA110" s="31">
        <v>784897.82046800002</v>
      </c>
      <c r="AB110" s="31">
        <v>2425466.5581800002</v>
      </c>
    </row>
    <row r="111" spans="1:28">
      <c r="A111" s="30">
        <v>110</v>
      </c>
      <c r="B111" s="17">
        <v>611122</v>
      </c>
      <c r="C111" s="17" t="s">
        <v>331</v>
      </c>
      <c r="D111" s="17" t="s">
        <v>689</v>
      </c>
      <c r="E111" s="17" t="s">
        <v>879</v>
      </c>
      <c r="F111" s="17" t="s">
        <v>1118</v>
      </c>
      <c r="G111" s="17" t="s">
        <v>240</v>
      </c>
      <c r="H111" s="17" t="s">
        <v>69</v>
      </c>
      <c r="I111" s="17">
        <v>20174</v>
      </c>
      <c r="J111" s="17" t="s">
        <v>54</v>
      </c>
      <c r="K111" s="17" t="s">
        <v>73</v>
      </c>
      <c r="L111" s="17" t="s">
        <v>20</v>
      </c>
      <c r="M111" s="17" t="s">
        <v>602</v>
      </c>
      <c r="N111" s="17" t="s">
        <v>20</v>
      </c>
      <c r="O111" s="17" t="s">
        <v>880</v>
      </c>
      <c r="P111" s="17" t="s">
        <v>20</v>
      </c>
      <c r="Q111" s="17" t="s">
        <v>603</v>
      </c>
      <c r="R111" s="17" t="s">
        <v>20</v>
      </c>
      <c r="S111" s="17" t="s">
        <v>881</v>
      </c>
      <c r="T111" s="17">
        <v>0</v>
      </c>
      <c r="U111" s="18">
        <v>4492930492</v>
      </c>
      <c r="X111" s="17" t="s">
        <v>66</v>
      </c>
      <c r="Y111" s="17" t="s">
        <v>332</v>
      </c>
      <c r="Z111" s="17" t="s">
        <v>311</v>
      </c>
      <c r="AA111" s="31">
        <v>784677.51800899999</v>
      </c>
      <c r="AB111" s="31">
        <v>2425876.08427</v>
      </c>
    </row>
    <row r="112" spans="1:28">
      <c r="A112" s="30">
        <v>111</v>
      </c>
      <c r="B112" s="17">
        <v>611122</v>
      </c>
      <c r="C112" s="17" t="s">
        <v>331</v>
      </c>
      <c r="D112" s="17" t="s">
        <v>689</v>
      </c>
      <c r="E112" s="17" t="s">
        <v>882</v>
      </c>
      <c r="F112" s="17" t="s">
        <v>1118</v>
      </c>
      <c r="G112" s="17" t="s">
        <v>240</v>
      </c>
      <c r="H112" s="17" t="s">
        <v>69</v>
      </c>
      <c r="I112" s="17">
        <v>20174</v>
      </c>
      <c r="J112" s="17" t="s">
        <v>54</v>
      </c>
      <c r="K112" s="17" t="s">
        <v>73</v>
      </c>
      <c r="L112" s="17" t="s">
        <v>20</v>
      </c>
      <c r="M112" s="17" t="s">
        <v>602</v>
      </c>
      <c r="N112" s="17" t="s">
        <v>20</v>
      </c>
      <c r="O112" s="17" t="s">
        <v>880</v>
      </c>
      <c r="P112" s="17" t="s">
        <v>20</v>
      </c>
      <c r="Q112" s="17" t="s">
        <v>603</v>
      </c>
      <c r="R112" s="17" t="s">
        <v>20</v>
      </c>
      <c r="S112" s="17" t="s">
        <v>881</v>
      </c>
      <c r="T112" s="17">
        <v>0</v>
      </c>
      <c r="U112" s="18">
        <v>4492930992</v>
      </c>
      <c r="X112" s="17" t="s">
        <v>66</v>
      </c>
      <c r="Y112" s="17" t="s">
        <v>332</v>
      </c>
      <c r="Z112" s="17" t="s">
        <v>311</v>
      </c>
      <c r="AA112" s="31">
        <v>784678.23414299998</v>
      </c>
      <c r="AB112" s="31">
        <v>2425876.0517000002</v>
      </c>
    </row>
    <row r="113" spans="1:28">
      <c r="A113" s="30">
        <v>112</v>
      </c>
      <c r="B113" s="17">
        <v>611122</v>
      </c>
      <c r="C113" s="17" t="s">
        <v>331</v>
      </c>
      <c r="D113" s="17" t="s">
        <v>689</v>
      </c>
      <c r="E113" s="17" t="s">
        <v>715</v>
      </c>
      <c r="F113" s="17" t="s">
        <v>1118</v>
      </c>
      <c r="G113" s="17" t="s">
        <v>777</v>
      </c>
      <c r="H113" s="17" t="s">
        <v>94</v>
      </c>
      <c r="I113" s="17">
        <v>20179</v>
      </c>
      <c r="J113" s="17" t="s">
        <v>54</v>
      </c>
      <c r="K113" s="17" t="s">
        <v>73</v>
      </c>
      <c r="L113" s="17" t="s">
        <v>20</v>
      </c>
      <c r="M113" s="17" t="s">
        <v>609</v>
      </c>
      <c r="N113" s="17" t="s">
        <v>20</v>
      </c>
      <c r="O113" s="17" t="s">
        <v>339</v>
      </c>
      <c r="P113" s="17" t="s">
        <v>20</v>
      </c>
      <c r="Q113" s="17" t="s">
        <v>345</v>
      </c>
      <c r="R113" s="17" t="s">
        <v>20</v>
      </c>
      <c r="S113" s="17" t="s">
        <v>610</v>
      </c>
      <c r="T113" s="17">
        <v>201</v>
      </c>
      <c r="U113" s="18">
        <v>0</v>
      </c>
      <c r="X113" s="17" t="s">
        <v>66</v>
      </c>
      <c r="Y113" s="17" t="s">
        <v>336</v>
      </c>
      <c r="Z113" s="17" t="s">
        <v>335</v>
      </c>
      <c r="AA113" s="31">
        <v>782721.51999900001</v>
      </c>
      <c r="AB113" s="31">
        <v>2425368.88032</v>
      </c>
    </row>
    <row r="114" spans="1:28">
      <c r="A114" s="30">
        <v>113</v>
      </c>
      <c r="B114" s="17">
        <v>611122</v>
      </c>
      <c r="C114" s="17" t="s">
        <v>331</v>
      </c>
      <c r="D114" s="17" t="s">
        <v>689</v>
      </c>
      <c r="E114" s="17" t="s">
        <v>883</v>
      </c>
      <c r="F114" s="17" t="s">
        <v>1118</v>
      </c>
      <c r="G114" s="17" t="s">
        <v>777</v>
      </c>
      <c r="H114" s="17" t="s">
        <v>94</v>
      </c>
      <c r="I114" s="17">
        <v>20170</v>
      </c>
      <c r="J114" s="17" t="s">
        <v>54</v>
      </c>
      <c r="K114" s="17" t="s">
        <v>73</v>
      </c>
      <c r="L114" s="17" t="s">
        <v>20</v>
      </c>
      <c r="M114" s="17" t="s">
        <v>340</v>
      </c>
      <c r="N114" s="17" t="s">
        <v>20</v>
      </c>
      <c r="O114" s="17" t="s">
        <v>338</v>
      </c>
      <c r="P114" s="17" t="s">
        <v>20</v>
      </c>
      <c r="Q114" s="17" t="s">
        <v>339</v>
      </c>
      <c r="R114" s="17" t="s">
        <v>20</v>
      </c>
      <c r="S114" s="17" t="s">
        <v>608</v>
      </c>
      <c r="T114" s="17">
        <v>103</v>
      </c>
      <c r="U114" s="18">
        <v>0</v>
      </c>
      <c r="V114" s="17" t="s">
        <v>884</v>
      </c>
      <c r="X114" s="17" t="s">
        <v>66</v>
      </c>
      <c r="Y114" s="17" t="s">
        <v>336</v>
      </c>
      <c r="Z114" s="17" t="s">
        <v>335</v>
      </c>
      <c r="AA114" s="31">
        <v>782515.49588599999</v>
      </c>
      <c r="AB114" s="31">
        <v>2425266.2556599998</v>
      </c>
    </row>
    <row r="115" spans="1:28">
      <c r="A115" s="30">
        <v>114</v>
      </c>
      <c r="B115" s="17">
        <v>611122</v>
      </c>
      <c r="C115" s="17" t="s">
        <v>331</v>
      </c>
      <c r="D115" s="17" t="s">
        <v>689</v>
      </c>
      <c r="E115" s="17" t="s">
        <v>885</v>
      </c>
      <c r="F115" s="17" t="s">
        <v>1118</v>
      </c>
      <c r="G115" s="17" t="s">
        <v>240</v>
      </c>
      <c r="H115" s="17" t="s">
        <v>94</v>
      </c>
      <c r="I115" s="17">
        <v>20179</v>
      </c>
      <c r="J115" s="17" t="s">
        <v>54</v>
      </c>
      <c r="K115" s="17" t="s">
        <v>73</v>
      </c>
      <c r="L115" s="17" t="s">
        <v>20</v>
      </c>
      <c r="M115" s="17" t="s">
        <v>341</v>
      </c>
      <c r="N115" s="17" t="s">
        <v>20</v>
      </c>
      <c r="O115" s="17" t="s">
        <v>342</v>
      </c>
      <c r="P115" s="17" t="s">
        <v>20</v>
      </c>
      <c r="Q115" s="17" t="s">
        <v>343</v>
      </c>
      <c r="R115" s="17" t="s">
        <v>20</v>
      </c>
      <c r="S115" s="17" t="s">
        <v>344</v>
      </c>
      <c r="T115" s="17">
        <v>627</v>
      </c>
      <c r="U115" s="18">
        <v>0</v>
      </c>
      <c r="X115" s="17" t="s">
        <v>66</v>
      </c>
      <c r="Y115" s="17" t="s">
        <v>336</v>
      </c>
      <c r="Z115" s="17" t="s">
        <v>335</v>
      </c>
      <c r="AA115" s="31">
        <v>782540.08821199997</v>
      </c>
      <c r="AB115" s="31">
        <v>2426334.12384</v>
      </c>
    </row>
    <row r="116" spans="1:28">
      <c r="A116" s="30">
        <v>115</v>
      </c>
      <c r="B116" s="17">
        <v>611122</v>
      </c>
      <c r="C116" s="17" t="s">
        <v>331</v>
      </c>
      <c r="D116" s="17" t="s">
        <v>689</v>
      </c>
      <c r="E116" s="17" t="s">
        <v>886</v>
      </c>
      <c r="F116" s="17" t="s">
        <v>1118</v>
      </c>
      <c r="G116" s="17" t="s">
        <v>240</v>
      </c>
      <c r="H116" s="17" t="s">
        <v>94</v>
      </c>
      <c r="I116" s="17">
        <v>20179</v>
      </c>
      <c r="J116" s="17" t="s">
        <v>54</v>
      </c>
      <c r="K116" s="17" t="s">
        <v>73</v>
      </c>
      <c r="L116" s="17" t="s">
        <v>20</v>
      </c>
      <c r="M116" s="17" t="s">
        <v>341</v>
      </c>
      <c r="N116" s="17" t="s">
        <v>20</v>
      </c>
      <c r="O116" s="17" t="s">
        <v>342</v>
      </c>
      <c r="P116" s="17" t="s">
        <v>20</v>
      </c>
      <c r="Q116" s="17" t="s">
        <v>343</v>
      </c>
      <c r="R116" s="17" t="s">
        <v>20</v>
      </c>
      <c r="S116" s="17" t="s">
        <v>344</v>
      </c>
      <c r="T116" s="17">
        <v>627</v>
      </c>
      <c r="U116" s="18">
        <v>4499938149</v>
      </c>
      <c r="X116" s="17" t="s">
        <v>66</v>
      </c>
      <c r="Y116" s="17" t="s">
        <v>336</v>
      </c>
      <c r="Z116" s="17" t="s">
        <v>335</v>
      </c>
      <c r="AA116" s="31">
        <v>782540.08821199997</v>
      </c>
      <c r="AB116" s="31">
        <v>2426334.12384</v>
      </c>
    </row>
    <row r="117" spans="1:28">
      <c r="A117" s="30">
        <v>116</v>
      </c>
      <c r="B117" s="17">
        <v>611122</v>
      </c>
      <c r="C117" s="17" t="s">
        <v>331</v>
      </c>
      <c r="D117" s="17" t="s">
        <v>689</v>
      </c>
      <c r="E117" s="17" t="s">
        <v>887</v>
      </c>
      <c r="F117" s="17" t="s">
        <v>1118</v>
      </c>
      <c r="G117" s="17" t="s">
        <v>240</v>
      </c>
      <c r="H117" s="17" t="s">
        <v>69</v>
      </c>
      <c r="I117" s="17">
        <v>20175</v>
      </c>
      <c r="J117" s="17" t="s">
        <v>54</v>
      </c>
      <c r="K117" s="17" t="s">
        <v>73</v>
      </c>
      <c r="L117" s="17" t="s">
        <v>20</v>
      </c>
      <c r="M117" s="17" t="s">
        <v>349</v>
      </c>
      <c r="N117" s="17" t="s">
        <v>20</v>
      </c>
      <c r="O117" s="17" t="s">
        <v>288</v>
      </c>
      <c r="P117" s="17" t="s">
        <v>20</v>
      </c>
      <c r="Q117" s="17" t="s">
        <v>612</v>
      </c>
      <c r="R117" s="17" t="s">
        <v>20</v>
      </c>
      <c r="S117" s="17" t="s">
        <v>350</v>
      </c>
      <c r="T117" s="17">
        <v>412</v>
      </c>
      <c r="U117" s="18">
        <v>0</v>
      </c>
      <c r="X117" s="17" t="s">
        <v>66</v>
      </c>
      <c r="Y117" s="17" t="s">
        <v>309</v>
      </c>
      <c r="Z117" s="17" t="s">
        <v>335</v>
      </c>
      <c r="AA117" s="31">
        <v>783802.12451600004</v>
      </c>
      <c r="AB117" s="31">
        <v>2425079.34332</v>
      </c>
    </row>
    <row r="118" spans="1:28">
      <c r="A118" s="30">
        <v>117</v>
      </c>
      <c r="B118" s="17">
        <v>611122</v>
      </c>
      <c r="C118" s="17" t="s">
        <v>331</v>
      </c>
      <c r="D118" s="17" t="s">
        <v>689</v>
      </c>
      <c r="E118" s="17" t="s">
        <v>888</v>
      </c>
      <c r="F118" s="17" t="s">
        <v>1118</v>
      </c>
      <c r="G118" s="17" t="s">
        <v>240</v>
      </c>
      <c r="H118" s="17" t="s">
        <v>69</v>
      </c>
      <c r="I118" s="17">
        <v>20175</v>
      </c>
      <c r="J118" s="17" t="s">
        <v>54</v>
      </c>
      <c r="K118" s="17" t="s">
        <v>73</v>
      </c>
      <c r="L118" s="17" t="s">
        <v>20</v>
      </c>
      <c r="M118" s="17" t="s">
        <v>288</v>
      </c>
      <c r="N118" s="17" t="s">
        <v>20</v>
      </c>
      <c r="O118" s="17" t="s">
        <v>350</v>
      </c>
      <c r="P118" s="17" t="s">
        <v>20</v>
      </c>
      <c r="Q118" s="17" t="s">
        <v>349</v>
      </c>
      <c r="R118" s="17" t="s">
        <v>20</v>
      </c>
      <c r="S118" s="17" t="s">
        <v>612</v>
      </c>
      <c r="T118" s="17">
        <v>0</v>
      </c>
      <c r="U118" s="18">
        <v>0</v>
      </c>
      <c r="X118" s="17" t="s">
        <v>66</v>
      </c>
      <c r="Y118" s="17" t="s">
        <v>309</v>
      </c>
      <c r="Z118" s="17" t="s">
        <v>335</v>
      </c>
      <c r="AA118" s="31">
        <v>783728.66018400004</v>
      </c>
      <c r="AB118" s="31">
        <v>2425095.0957399998</v>
      </c>
    </row>
    <row r="119" spans="1:28">
      <c r="A119" s="30">
        <v>118</v>
      </c>
      <c r="B119" s="17">
        <v>611122</v>
      </c>
      <c r="C119" s="17" t="s">
        <v>331</v>
      </c>
      <c r="D119" s="17" t="s">
        <v>689</v>
      </c>
      <c r="E119" s="17" t="s">
        <v>889</v>
      </c>
      <c r="F119" s="17" t="s">
        <v>1118</v>
      </c>
      <c r="G119" s="17" t="s">
        <v>240</v>
      </c>
      <c r="H119" s="17" t="s">
        <v>69</v>
      </c>
      <c r="I119" s="17">
        <v>20175</v>
      </c>
      <c r="J119" s="17" t="s">
        <v>54</v>
      </c>
      <c r="K119" s="17" t="s">
        <v>81</v>
      </c>
      <c r="L119" s="17" t="s">
        <v>20</v>
      </c>
      <c r="M119" s="17" t="s">
        <v>349</v>
      </c>
      <c r="N119" s="17" t="s">
        <v>20</v>
      </c>
      <c r="O119" s="17" t="s">
        <v>288</v>
      </c>
      <c r="P119" s="17" t="s">
        <v>20</v>
      </c>
      <c r="Q119" s="17" t="s">
        <v>612</v>
      </c>
      <c r="R119" s="17" t="s">
        <v>20</v>
      </c>
      <c r="S119" s="17" t="s">
        <v>350</v>
      </c>
      <c r="T119" s="17">
        <v>412</v>
      </c>
      <c r="U119" s="18">
        <v>0</v>
      </c>
      <c r="X119" s="17" t="s">
        <v>64</v>
      </c>
      <c r="Y119" s="17" t="s">
        <v>309</v>
      </c>
      <c r="Z119" s="17" t="s">
        <v>335</v>
      </c>
      <c r="AA119" s="31">
        <v>783802.394723</v>
      </c>
      <c r="AB119" s="31">
        <v>2425078.97915</v>
      </c>
    </row>
    <row r="120" spans="1:28">
      <c r="A120" s="30">
        <v>119</v>
      </c>
      <c r="B120" s="17">
        <v>611122</v>
      </c>
      <c r="C120" s="17" t="s">
        <v>331</v>
      </c>
      <c r="D120" s="17" t="s">
        <v>689</v>
      </c>
      <c r="E120" s="17" t="s">
        <v>890</v>
      </c>
      <c r="F120" s="17" t="s">
        <v>1118</v>
      </c>
      <c r="G120" s="17" t="s">
        <v>240</v>
      </c>
      <c r="H120" s="17" t="s">
        <v>69</v>
      </c>
      <c r="I120" s="17">
        <v>20179</v>
      </c>
      <c r="J120" s="17" t="s">
        <v>54</v>
      </c>
      <c r="K120" s="17" t="s">
        <v>73</v>
      </c>
      <c r="L120" s="17" t="s">
        <v>20</v>
      </c>
      <c r="M120" s="17" t="s">
        <v>362</v>
      </c>
      <c r="N120" s="17" t="s">
        <v>20</v>
      </c>
      <c r="O120" s="17" t="s">
        <v>351</v>
      </c>
      <c r="P120" s="17" t="s">
        <v>132</v>
      </c>
      <c r="Q120" s="17" t="s">
        <v>334</v>
      </c>
      <c r="R120" s="17" t="s">
        <v>20</v>
      </c>
      <c r="S120" s="17" t="s">
        <v>293</v>
      </c>
      <c r="T120" s="17">
        <v>0</v>
      </c>
      <c r="U120" s="18">
        <v>0</v>
      </c>
      <c r="X120" s="17" t="s">
        <v>60</v>
      </c>
      <c r="Y120" s="17" t="s">
        <v>309</v>
      </c>
      <c r="Z120" s="17" t="s">
        <v>335</v>
      </c>
      <c r="AA120" s="31">
        <v>782359.15946999996</v>
      </c>
      <c r="AB120" s="31">
        <v>2424779.8039899999</v>
      </c>
    </row>
    <row r="121" spans="1:28">
      <c r="A121" s="30">
        <v>120</v>
      </c>
      <c r="B121" s="17">
        <v>611122</v>
      </c>
      <c r="C121" s="17" t="s">
        <v>331</v>
      </c>
      <c r="D121" s="17" t="s">
        <v>689</v>
      </c>
      <c r="E121" s="17" t="s">
        <v>891</v>
      </c>
      <c r="F121" s="17" t="s">
        <v>1118</v>
      </c>
      <c r="G121" s="17" t="s">
        <v>240</v>
      </c>
      <c r="H121" s="17" t="s">
        <v>69</v>
      </c>
      <c r="I121" s="17">
        <v>20179</v>
      </c>
      <c r="J121" s="17" t="s">
        <v>162</v>
      </c>
      <c r="K121" s="17" t="s">
        <v>73</v>
      </c>
      <c r="L121" s="17" t="s">
        <v>20</v>
      </c>
      <c r="M121" s="17" t="s">
        <v>362</v>
      </c>
      <c r="N121" s="17" t="s">
        <v>20</v>
      </c>
      <c r="O121" s="17" t="s">
        <v>351</v>
      </c>
      <c r="P121" s="17" t="s">
        <v>132</v>
      </c>
      <c r="Q121" s="17" t="s">
        <v>334</v>
      </c>
      <c r="R121" s="17" t="s">
        <v>20</v>
      </c>
      <c r="S121" s="17" t="s">
        <v>293</v>
      </c>
      <c r="T121" s="17">
        <v>0</v>
      </c>
      <c r="U121" s="18">
        <v>0</v>
      </c>
      <c r="X121" s="17" t="s">
        <v>66</v>
      </c>
      <c r="Y121" s="17" t="s">
        <v>309</v>
      </c>
      <c r="Z121" s="17" t="s">
        <v>335</v>
      </c>
      <c r="AA121" s="31">
        <v>782359.72083799995</v>
      </c>
      <c r="AB121" s="31">
        <v>2424776.2115099998</v>
      </c>
    </row>
    <row r="122" spans="1:28">
      <c r="A122" s="30">
        <v>121</v>
      </c>
      <c r="B122" s="17">
        <v>611122</v>
      </c>
      <c r="C122" s="17" t="s">
        <v>331</v>
      </c>
      <c r="D122" s="17" t="s">
        <v>689</v>
      </c>
      <c r="E122" s="17" t="s">
        <v>892</v>
      </c>
      <c r="F122" s="17" t="s">
        <v>1118</v>
      </c>
      <c r="G122" s="17" t="s">
        <v>240</v>
      </c>
      <c r="H122" s="17" t="s">
        <v>94</v>
      </c>
      <c r="I122" s="17">
        <v>20199</v>
      </c>
      <c r="J122" s="17" t="s">
        <v>54</v>
      </c>
      <c r="K122" s="17" t="s">
        <v>73</v>
      </c>
      <c r="L122" s="17" t="s">
        <v>129</v>
      </c>
      <c r="M122" s="17" t="s">
        <v>358</v>
      </c>
      <c r="N122" s="17" t="s">
        <v>56</v>
      </c>
      <c r="O122" s="17" t="s">
        <v>328</v>
      </c>
      <c r="P122" s="17" t="s">
        <v>20</v>
      </c>
      <c r="Q122" s="17" t="s">
        <v>357</v>
      </c>
      <c r="R122" s="17" t="s">
        <v>20</v>
      </c>
      <c r="S122" s="17" t="s">
        <v>346</v>
      </c>
      <c r="T122" s="17">
        <v>0</v>
      </c>
      <c r="U122" s="18">
        <v>0</v>
      </c>
      <c r="V122" s="17" t="s">
        <v>893</v>
      </c>
      <c r="X122" s="17" t="s">
        <v>66</v>
      </c>
      <c r="Y122" s="17" t="s">
        <v>309</v>
      </c>
      <c r="Z122" s="17" t="s">
        <v>335</v>
      </c>
      <c r="AA122" s="31">
        <v>783270.50091599999</v>
      </c>
      <c r="AB122" s="31">
        <v>2423565.04685</v>
      </c>
    </row>
    <row r="123" spans="1:28">
      <c r="A123" s="30">
        <v>122</v>
      </c>
      <c r="B123" s="17">
        <v>611122</v>
      </c>
      <c r="C123" s="17" t="s">
        <v>331</v>
      </c>
      <c r="D123" s="17" t="s">
        <v>689</v>
      </c>
      <c r="E123" s="17" t="s">
        <v>894</v>
      </c>
      <c r="F123" s="17" t="s">
        <v>1118</v>
      </c>
      <c r="G123" s="17" t="s">
        <v>240</v>
      </c>
      <c r="H123" s="17" t="s">
        <v>94</v>
      </c>
      <c r="I123" s="17">
        <v>20199</v>
      </c>
      <c r="J123" s="17" t="s">
        <v>54</v>
      </c>
      <c r="K123" s="17" t="s">
        <v>73</v>
      </c>
      <c r="L123" s="17" t="s">
        <v>129</v>
      </c>
      <c r="M123" s="17" t="s">
        <v>358</v>
      </c>
      <c r="N123" s="17" t="s">
        <v>56</v>
      </c>
      <c r="O123" s="17" t="s">
        <v>328</v>
      </c>
      <c r="P123" s="17" t="s">
        <v>20</v>
      </c>
      <c r="Q123" s="17" t="s">
        <v>357</v>
      </c>
      <c r="R123" s="17" t="s">
        <v>129</v>
      </c>
      <c r="S123" s="17" t="s">
        <v>358</v>
      </c>
      <c r="T123" s="17">
        <v>0</v>
      </c>
      <c r="U123" s="18">
        <v>0</v>
      </c>
      <c r="X123" s="17" t="s">
        <v>66</v>
      </c>
      <c r="Y123" s="17" t="s">
        <v>309</v>
      </c>
      <c r="Z123" s="17" t="s">
        <v>335</v>
      </c>
      <c r="AA123" s="31">
        <v>783270.84285000002</v>
      </c>
      <c r="AB123" s="31">
        <v>2423565.1837200001</v>
      </c>
    </row>
    <row r="124" spans="1:28">
      <c r="A124" s="30">
        <v>123</v>
      </c>
      <c r="B124" s="17">
        <v>611122</v>
      </c>
      <c r="C124" s="17" t="s">
        <v>331</v>
      </c>
      <c r="D124" s="17" t="s">
        <v>689</v>
      </c>
      <c r="E124" s="17" t="s">
        <v>895</v>
      </c>
      <c r="F124" s="17" t="s">
        <v>1118</v>
      </c>
      <c r="G124" s="17" t="s">
        <v>854</v>
      </c>
      <c r="H124" s="17" t="s">
        <v>94</v>
      </c>
      <c r="I124" s="17">
        <v>20169</v>
      </c>
      <c r="J124" s="17" t="s">
        <v>54</v>
      </c>
      <c r="K124" s="17" t="s">
        <v>73</v>
      </c>
      <c r="L124" s="17" t="s">
        <v>20</v>
      </c>
      <c r="M124" s="17" t="s">
        <v>622</v>
      </c>
      <c r="N124" s="17" t="s">
        <v>20</v>
      </c>
      <c r="O124" s="17" t="s">
        <v>613</v>
      </c>
      <c r="P124" s="17" t="s">
        <v>20</v>
      </c>
      <c r="Q124" s="17" t="s">
        <v>337</v>
      </c>
      <c r="R124" s="17" t="s">
        <v>20</v>
      </c>
      <c r="S124" s="17" t="s">
        <v>347</v>
      </c>
      <c r="T124" s="17">
        <v>102</v>
      </c>
      <c r="U124" s="18">
        <v>0</v>
      </c>
      <c r="V124" s="17" t="s">
        <v>896</v>
      </c>
      <c r="X124" s="17" t="s">
        <v>66</v>
      </c>
      <c r="Y124" s="17" t="s">
        <v>309</v>
      </c>
      <c r="Z124" s="17" t="s">
        <v>335</v>
      </c>
      <c r="AA124" s="31">
        <v>781827.51751399995</v>
      </c>
      <c r="AB124" s="31">
        <v>2423524.7655600002</v>
      </c>
    </row>
    <row r="125" spans="1:28">
      <c r="A125" s="30">
        <v>124</v>
      </c>
      <c r="B125" s="17">
        <v>611122</v>
      </c>
      <c r="C125" s="17" t="s">
        <v>331</v>
      </c>
      <c r="D125" s="17" t="s">
        <v>689</v>
      </c>
      <c r="E125" s="17" t="s">
        <v>897</v>
      </c>
      <c r="F125" s="17" t="s">
        <v>1118</v>
      </c>
      <c r="G125" s="17" t="s">
        <v>240</v>
      </c>
      <c r="H125" s="17" t="s">
        <v>94</v>
      </c>
      <c r="I125" s="17">
        <v>20199</v>
      </c>
      <c r="J125" s="17" t="s">
        <v>54</v>
      </c>
      <c r="K125" s="17" t="s">
        <v>73</v>
      </c>
      <c r="L125" s="17" t="s">
        <v>20</v>
      </c>
      <c r="M125" s="17" t="s">
        <v>623</v>
      </c>
      <c r="N125" s="17" t="s">
        <v>20</v>
      </c>
      <c r="O125" s="17" t="s">
        <v>617</v>
      </c>
      <c r="P125" s="17" t="s">
        <v>20</v>
      </c>
      <c r="Q125" s="17" t="s">
        <v>368</v>
      </c>
      <c r="R125" s="17" t="s">
        <v>20</v>
      </c>
      <c r="S125" s="17" t="s">
        <v>368</v>
      </c>
      <c r="T125" s="17">
        <v>0</v>
      </c>
      <c r="U125" s="18">
        <v>4499755630</v>
      </c>
      <c r="X125" s="17" t="s">
        <v>66</v>
      </c>
      <c r="Y125" s="17" t="s">
        <v>309</v>
      </c>
      <c r="Z125" s="17" t="s">
        <v>335</v>
      </c>
      <c r="AA125" s="31">
        <v>782299.40473399998</v>
      </c>
      <c r="AB125" s="31">
        <v>2423909.5942199999</v>
      </c>
    </row>
    <row r="126" spans="1:28">
      <c r="A126" s="30">
        <v>125</v>
      </c>
      <c r="B126" s="17">
        <v>611122</v>
      </c>
      <c r="C126" s="17" t="s">
        <v>331</v>
      </c>
      <c r="D126" s="17" t="s">
        <v>689</v>
      </c>
      <c r="E126" s="17" t="s">
        <v>898</v>
      </c>
      <c r="F126" s="17" t="s">
        <v>1118</v>
      </c>
      <c r="G126" s="17" t="s">
        <v>240</v>
      </c>
      <c r="H126" s="17" t="s">
        <v>94</v>
      </c>
      <c r="I126" s="17">
        <v>20199</v>
      </c>
      <c r="J126" s="17" t="s">
        <v>54</v>
      </c>
      <c r="K126" s="17" t="s">
        <v>73</v>
      </c>
      <c r="L126" s="17" t="s">
        <v>20</v>
      </c>
      <c r="M126" s="17" t="s">
        <v>367</v>
      </c>
      <c r="N126" s="17" t="s">
        <v>20</v>
      </c>
      <c r="O126" s="17" t="s">
        <v>364</v>
      </c>
      <c r="P126" s="17" t="s">
        <v>20</v>
      </c>
      <c r="Q126" s="17" t="s">
        <v>365</v>
      </c>
      <c r="R126" s="17" t="s">
        <v>20</v>
      </c>
      <c r="S126" s="17" t="s">
        <v>361</v>
      </c>
      <c r="T126" s="17">
        <v>0</v>
      </c>
      <c r="U126" s="18">
        <v>0</v>
      </c>
      <c r="V126" s="17" t="s">
        <v>899</v>
      </c>
      <c r="X126" s="17" t="s">
        <v>64</v>
      </c>
      <c r="Y126" s="17" t="s">
        <v>309</v>
      </c>
      <c r="Z126" s="17" t="s">
        <v>335</v>
      </c>
      <c r="AA126" s="31">
        <v>784106.75758800004</v>
      </c>
      <c r="AB126" s="31">
        <v>2424053.0118800001</v>
      </c>
    </row>
    <row r="127" spans="1:28">
      <c r="A127" s="30">
        <v>126</v>
      </c>
      <c r="B127" s="17">
        <v>611122</v>
      </c>
      <c r="C127" s="17" t="s">
        <v>331</v>
      </c>
      <c r="D127" s="17" t="s">
        <v>689</v>
      </c>
      <c r="E127" s="17" t="s">
        <v>900</v>
      </c>
      <c r="F127" s="17" t="s">
        <v>1118</v>
      </c>
      <c r="G127" s="17" t="s">
        <v>240</v>
      </c>
      <c r="H127" s="17" t="s">
        <v>94</v>
      </c>
      <c r="I127" s="17">
        <v>20199</v>
      </c>
      <c r="J127" s="17" t="s">
        <v>54</v>
      </c>
      <c r="K127" s="17" t="s">
        <v>73</v>
      </c>
      <c r="L127" s="17" t="s">
        <v>20</v>
      </c>
      <c r="M127" s="17" t="s">
        <v>361</v>
      </c>
      <c r="N127" s="17" t="s">
        <v>20</v>
      </c>
      <c r="O127" s="17" t="s">
        <v>364</v>
      </c>
      <c r="P127" s="17" t="s">
        <v>20</v>
      </c>
      <c r="Q127" s="17" t="s">
        <v>365</v>
      </c>
      <c r="R127" s="17" t="s">
        <v>20</v>
      </c>
      <c r="S127" s="17" t="s">
        <v>367</v>
      </c>
      <c r="T127" s="17">
        <v>0</v>
      </c>
      <c r="U127" s="18">
        <v>0</v>
      </c>
      <c r="V127" s="17" t="s">
        <v>901</v>
      </c>
      <c r="X127" s="17" t="s">
        <v>66</v>
      </c>
      <c r="Y127" s="17" t="s">
        <v>309</v>
      </c>
      <c r="Z127" s="17" t="s">
        <v>335</v>
      </c>
      <c r="AA127" s="31">
        <v>783963.36338400003</v>
      </c>
      <c r="AB127" s="31">
        <v>2424044.7504500002</v>
      </c>
    </row>
    <row r="128" spans="1:28">
      <c r="A128" s="30">
        <v>127</v>
      </c>
      <c r="B128" s="17">
        <v>611122</v>
      </c>
      <c r="C128" s="17" t="s">
        <v>331</v>
      </c>
      <c r="D128" s="17" t="s">
        <v>689</v>
      </c>
      <c r="E128" s="17" t="s">
        <v>900</v>
      </c>
      <c r="F128" s="17" t="s">
        <v>1118</v>
      </c>
      <c r="G128" s="17" t="s">
        <v>240</v>
      </c>
      <c r="H128" s="17" t="s">
        <v>94</v>
      </c>
      <c r="I128" s="17">
        <v>20199</v>
      </c>
      <c r="J128" s="17" t="s">
        <v>54</v>
      </c>
      <c r="K128" s="17" t="s">
        <v>63</v>
      </c>
      <c r="L128" s="17" t="s">
        <v>20</v>
      </c>
      <c r="M128" s="17" t="s">
        <v>361</v>
      </c>
      <c r="N128" s="17" t="s">
        <v>20</v>
      </c>
      <c r="O128" s="17" t="s">
        <v>364</v>
      </c>
      <c r="P128" s="17" t="s">
        <v>20</v>
      </c>
      <c r="Q128" s="17" t="s">
        <v>365</v>
      </c>
      <c r="R128" s="17" t="s">
        <v>20</v>
      </c>
      <c r="S128" s="17" t="s">
        <v>367</v>
      </c>
      <c r="T128" s="17">
        <v>0</v>
      </c>
      <c r="U128" s="18">
        <v>0</v>
      </c>
      <c r="V128" s="17" t="s">
        <v>902</v>
      </c>
      <c r="X128" s="17" t="s">
        <v>64</v>
      </c>
      <c r="Y128" s="17" t="s">
        <v>309</v>
      </c>
      <c r="Z128" s="17" t="s">
        <v>335</v>
      </c>
      <c r="AA128" s="31">
        <v>783963.74600699998</v>
      </c>
      <c r="AB128" s="31">
        <v>2424045.9640500001</v>
      </c>
    </row>
    <row r="129" spans="1:28">
      <c r="A129" s="30">
        <v>128</v>
      </c>
      <c r="B129" s="17">
        <v>611122</v>
      </c>
      <c r="C129" s="17" t="s">
        <v>331</v>
      </c>
      <c r="D129" s="17" t="s">
        <v>689</v>
      </c>
      <c r="E129" s="17" t="s">
        <v>903</v>
      </c>
      <c r="F129" s="17" t="s">
        <v>1118</v>
      </c>
      <c r="G129" s="17" t="s">
        <v>240</v>
      </c>
      <c r="H129" s="17" t="s">
        <v>94</v>
      </c>
      <c r="I129" s="17">
        <v>20199</v>
      </c>
      <c r="J129" s="17" t="s">
        <v>54</v>
      </c>
      <c r="K129" s="17" t="s">
        <v>73</v>
      </c>
      <c r="L129" s="17" t="s">
        <v>20</v>
      </c>
      <c r="M129" s="17" t="s">
        <v>366</v>
      </c>
      <c r="N129" s="17" t="s">
        <v>20</v>
      </c>
      <c r="O129" s="17" t="s">
        <v>615</v>
      </c>
      <c r="P129" s="17" t="s">
        <v>20</v>
      </c>
      <c r="Q129" s="17" t="s">
        <v>616</v>
      </c>
      <c r="R129" s="17" t="s">
        <v>119</v>
      </c>
      <c r="S129" s="17" t="s">
        <v>363</v>
      </c>
      <c r="T129" s="17">
        <v>0</v>
      </c>
      <c r="U129" s="18">
        <v>0</v>
      </c>
      <c r="V129" s="17" t="s">
        <v>904</v>
      </c>
      <c r="X129" s="17" t="s">
        <v>66</v>
      </c>
      <c r="Y129" s="17" t="s">
        <v>309</v>
      </c>
      <c r="Z129" s="17" t="s">
        <v>335</v>
      </c>
      <c r="AA129" s="31">
        <v>782914.096441</v>
      </c>
      <c r="AB129" s="31">
        <v>2423706.7170500001</v>
      </c>
    </row>
    <row r="130" spans="1:28">
      <c r="A130" s="30">
        <v>129</v>
      </c>
      <c r="B130" s="17">
        <v>611122</v>
      </c>
      <c r="C130" s="17" t="s">
        <v>331</v>
      </c>
      <c r="D130" s="17" t="s">
        <v>689</v>
      </c>
      <c r="E130" s="17" t="s">
        <v>905</v>
      </c>
      <c r="F130" s="17" t="s">
        <v>1118</v>
      </c>
      <c r="G130" s="17" t="s">
        <v>240</v>
      </c>
      <c r="H130" s="17" t="s">
        <v>94</v>
      </c>
      <c r="I130" s="17">
        <v>20170</v>
      </c>
      <c r="J130" s="17" t="s">
        <v>54</v>
      </c>
      <c r="K130" s="17" t="s">
        <v>73</v>
      </c>
      <c r="L130" s="17" t="s">
        <v>20</v>
      </c>
      <c r="M130" s="17" t="s">
        <v>618</v>
      </c>
      <c r="N130" s="17" t="s">
        <v>20</v>
      </c>
      <c r="O130" s="17" t="s">
        <v>353</v>
      </c>
      <c r="P130" s="17" t="s">
        <v>20</v>
      </c>
      <c r="Q130" s="17" t="s">
        <v>620</v>
      </c>
      <c r="R130" s="17" t="s">
        <v>56</v>
      </c>
      <c r="S130" s="17" t="s">
        <v>314</v>
      </c>
      <c r="T130" s="17">
        <v>0</v>
      </c>
      <c r="U130" s="18">
        <v>0</v>
      </c>
      <c r="X130" s="17" t="s">
        <v>66</v>
      </c>
      <c r="Y130" s="17" t="s">
        <v>309</v>
      </c>
      <c r="Z130" s="17" t="s">
        <v>335</v>
      </c>
      <c r="AA130" s="31">
        <v>784163.35558099998</v>
      </c>
      <c r="AB130" s="31">
        <v>2424878.0728600002</v>
      </c>
    </row>
    <row r="131" spans="1:28">
      <c r="A131" s="30">
        <v>130</v>
      </c>
      <c r="B131" s="17">
        <v>611122</v>
      </c>
      <c r="C131" s="17" t="s">
        <v>331</v>
      </c>
      <c r="D131" s="17" t="s">
        <v>689</v>
      </c>
      <c r="E131" s="17" t="s">
        <v>906</v>
      </c>
      <c r="F131" s="17" t="s">
        <v>1118</v>
      </c>
      <c r="G131" s="17" t="s">
        <v>240</v>
      </c>
      <c r="H131" s="17" t="s">
        <v>94</v>
      </c>
      <c r="I131" s="17">
        <v>20170</v>
      </c>
      <c r="J131" s="17" t="s">
        <v>54</v>
      </c>
      <c r="K131" s="17" t="s">
        <v>73</v>
      </c>
      <c r="L131" s="17" t="s">
        <v>20</v>
      </c>
      <c r="M131" s="17" t="s">
        <v>618</v>
      </c>
      <c r="N131" s="17" t="s">
        <v>20</v>
      </c>
      <c r="O131" s="17" t="s">
        <v>353</v>
      </c>
      <c r="P131" s="17" t="s">
        <v>20</v>
      </c>
      <c r="Q131" s="17" t="s">
        <v>620</v>
      </c>
      <c r="R131" s="17" t="s">
        <v>56</v>
      </c>
      <c r="S131" s="17" t="s">
        <v>314</v>
      </c>
      <c r="T131" s="17">
        <v>0</v>
      </c>
      <c r="U131" s="18">
        <v>0</v>
      </c>
      <c r="X131" s="17" t="s">
        <v>66</v>
      </c>
      <c r="Y131" s="17" t="s">
        <v>309</v>
      </c>
      <c r="Z131" s="17" t="s">
        <v>335</v>
      </c>
      <c r="AA131" s="31">
        <v>784163.54236199998</v>
      </c>
      <c r="AB131" s="31">
        <v>2424877.5753299999</v>
      </c>
    </row>
    <row r="132" spans="1:28">
      <c r="A132" s="30">
        <v>131</v>
      </c>
      <c r="B132" s="17">
        <v>611122</v>
      </c>
      <c r="C132" s="17" t="s">
        <v>331</v>
      </c>
      <c r="D132" s="17" t="s">
        <v>689</v>
      </c>
      <c r="E132" s="17" t="s">
        <v>907</v>
      </c>
      <c r="F132" s="17" t="s">
        <v>1118</v>
      </c>
      <c r="G132" s="17" t="s">
        <v>854</v>
      </c>
      <c r="H132" s="17" t="s">
        <v>94</v>
      </c>
      <c r="I132" s="17">
        <v>20170</v>
      </c>
      <c r="J132" s="17" t="s">
        <v>54</v>
      </c>
      <c r="K132" s="17" t="s">
        <v>73</v>
      </c>
      <c r="L132" s="17" t="s">
        <v>20</v>
      </c>
      <c r="M132" s="17" t="s">
        <v>352</v>
      </c>
      <c r="N132" s="17" t="s">
        <v>20</v>
      </c>
      <c r="O132" s="17" t="s">
        <v>353</v>
      </c>
      <c r="P132" s="17" t="s">
        <v>20</v>
      </c>
      <c r="Q132" s="17" t="s">
        <v>619</v>
      </c>
      <c r="R132" s="17" t="s">
        <v>20</v>
      </c>
      <c r="S132" s="17" t="s">
        <v>621</v>
      </c>
      <c r="T132" s="17">
        <v>102</v>
      </c>
      <c r="U132" s="18">
        <v>0</v>
      </c>
      <c r="X132" s="17" t="s">
        <v>66</v>
      </c>
      <c r="Y132" s="17" t="s">
        <v>309</v>
      </c>
      <c r="Z132" s="17" t="s">
        <v>335</v>
      </c>
      <c r="AA132" s="31">
        <v>783439.54637</v>
      </c>
      <c r="AB132" s="31">
        <v>2424511.2521700002</v>
      </c>
    </row>
    <row r="133" spans="1:28">
      <c r="A133" s="30">
        <v>132</v>
      </c>
      <c r="B133" s="17">
        <v>611122</v>
      </c>
      <c r="C133" s="17" t="s">
        <v>331</v>
      </c>
      <c r="D133" s="17" t="s">
        <v>689</v>
      </c>
      <c r="E133" s="17" t="s">
        <v>908</v>
      </c>
      <c r="F133" s="17" t="s">
        <v>1118</v>
      </c>
      <c r="G133" s="17" t="s">
        <v>240</v>
      </c>
      <c r="H133" s="17" t="s">
        <v>94</v>
      </c>
      <c r="I133" s="17">
        <v>20170</v>
      </c>
      <c r="J133" s="17" t="s">
        <v>54</v>
      </c>
      <c r="K133" s="17" t="s">
        <v>73</v>
      </c>
      <c r="L133" s="17" t="s">
        <v>20</v>
      </c>
      <c r="M133" s="17" t="s">
        <v>619</v>
      </c>
      <c r="N133" s="17" t="s">
        <v>20</v>
      </c>
      <c r="O133" s="17" t="s">
        <v>611</v>
      </c>
      <c r="P133" s="17" t="s">
        <v>20</v>
      </c>
      <c r="Q133" s="17" t="s">
        <v>352</v>
      </c>
      <c r="R133" s="17" t="s">
        <v>20</v>
      </c>
      <c r="S133" s="17" t="s">
        <v>353</v>
      </c>
      <c r="T133" s="17">
        <v>102</v>
      </c>
      <c r="U133" s="18">
        <v>0</v>
      </c>
      <c r="X133" s="17" t="s">
        <v>66</v>
      </c>
      <c r="Y133" s="17" t="s">
        <v>309</v>
      </c>
      <c r="Z133" s="17" t="s">
        <v>335</v>
      </c>
      <c r="AA133" s="31">
        <v>783409.49533399998</v>
      </c>
      <c r="AB133" s="31">
        <v>2424479.1900900002</v>
      </c>
    </row>
    <row r="134" spans="1:28">
      <c r="A134" s="30">
        <v>133</v>
      </c>
      <c r="B134" s="17">
        <v>611121</v>
      </c>
      <c r="C134" s="17" t="s">
        <v>331</v>
      </c>
      <c r="D134" s="17" t="s">
        <v>52</v>
      </c>
      <c r="E134" s="17" t="s">
        <v>911</v>
      </c>
      <c r="F134" s="17" t="s">
        <v>1117</v>
      </c>
      <c r="G134" s="17" t="s">
        <v>912</v>
      </c>
      <c r="H134" s="17" t="s">
        <v>94</v>
      </c>
      <c r="I134" s="17">
        <v>20164</v>
      </c>
      <c r="J134" s="17" t="s">
        <v>54</v>
      </c>
      <c r="K134" s="17" t="s">
        <v>73</v>
      </c>
      <c r="L134" s="17" t="s">
        <v>20</v>
      </c>
      <c r="M134" s="17" t="s">
        <v>355</v>
      </c>
      <c r="N134" s="17" t="s">
        <v>20</v>
      </c>
      <c r="O134" s="17" t="s">
        <v>354</v>
      </c>
      <c r="P134" s="17" t="s">
        <v>20</v>
      </c>
      <c r="Q134" s="17" t="s">
        <v>614</v>
      </c>
      <c r="R134" s="17" t="s">
        <v>56</v>
      </c>
      <c r="S134" s="17" t="s">
        <v>287</v>
      </c>
      <c r="T134" s="17">
        <v>401</v>
      </c>
      <c r="U134" s="18">
        <v>0</v>
      </c>
      <c r="V134" s="17" t="s">
        <v>913</v>
      </c>
      <c r="W134" s="17" t="s">
        <v>914</v>
      </c>
      <c r="X134" s="17" t="s">
        <v>66</v>
      </c>
      <c r="Y134" s="17" t="s">
        <v>309</v>
      </c>
      <c r="Z134" s="17" t="s">
        <v>335</v>
      </c>
      <c r="AA134" s="31">
        <v>782276.08651599998</v>
      </c>
      <c r="AB134" s="31">
        <v>2423495.59662</v>
      </c>
    </row>
    <row r="135" spans="1:28">
      <c r="A135" s="30">
        <v>134</v>
      </c>
      <c r="B135" s="17">
        <v>611121</v>
      </c>
      <c r="C135" s="17" t="s">
        <v>331</v>
      </c>
      <c r="D135" s="17" t="s">
        <v>52</v>
      </c>
      <c r="E135" s="17" t="s">
        <v>915</v>
      </c>
      <c r="F135" s="17" t="s">
        <v>1117</v>
      </c>
      <c r="G135" s="17" t="s">
        <v>909</v>
      </c>
      <c r="H135" s="17" t="s">
        <v>94</v>
      </c>
      <c r="I135" s="17">
        <v>20180</v>
      </c>
      <c r="J135" s="17" t="s">
        <v>54</v>
      </c>
      <c r="K135" s="17" t="s">
        <v>73</v>
      </c>
      <c r="L135" s="17" t="s">
        <v>56</v>
      </c>
      <c r="M135" s="17" t="s">
        <v>287</v>
      </c>
      <c r="N135" s="17" t="s">
        <v>20</v>
      </c>
      <c r="O135" s="17" t="s">
        <v>348</v>
      </c>
      <c r="P135" s="17" t="s">
        <v>20</v>
      </c>
      <c r="Q135" s="17" t="s">
        <v>359</v>
      </c>
      <c r="R135" s="17" t="s">
        <v>20</v>
      </c>
      <c r="S135" s="17" t="s">
        <v>356</v>
      </c>
      <c r="T135" s="17">
        <v>405</v>
      </c>
      <c r="U135" s="18">
        <v>0</v>
      </c>
      <c r="V135" s="17" t="s">
        <v>916</v>
      </c>
      <c r="X135" s="17" t="s">
        <v>66</v>
      </c>
      <c r="Y135" s="17" t="s">
        <v>309</v>
      </c>
      <c r="Z135" s="17" t="s">
        <v>335</v>
      </c>
      <c r="AA135" s="31">
        <v>781986.24065599998</v>
      </c>
      <c r="AB135" s="31">
        <v>2423520.9982799999</v>
      </c>
    </row>
    <row r="136" spans="1:28">
      <c r="A136" s="30">
        <v>135</v>
      </c>
      <c r="B136" s="17">
        <v>611122</v>
      </c>
      <c r="C136" s="17" t="s">
        <v>331</v>
      </c>
      <c r="D136" s="17" t="s">
        <v>689</v>
      </c>
      <c r="E136" s="17" t="s">
        <v>917</v>
      </c>
      <c r="F136" s="17" t="s">
        <v>1118</v>
      </c>
      <c r="G136" s="17" t="s">
        <v>240</v>
      </c>
      <c r="H136" s="17" t="s">
        <v>94</v>
      </c>
      <c r="I136" s="17">
        <v>20265</v>
      </c>
      <c r="J136" s="17" t="s">
        <v>54</v>
      </c>
      <c r="K136" s="17" t="s">
        <v>73</v>
      </c>
      <c r="L136" s="17" t="s">
        <v>20</v>
      </c>
      <c r="M136" s="17" t="s">
        <v>373</v>
      </c>
      <c r="N136" s="17" t="s">
        <v>20</v>
      </c>
      <c r="O136" s="17" t="s">
        <v>371</v>
      </c>
      <c r="P136" s="17" t="s">
        <v>20</v>
      </c>
      <c r="Q136" s="17" t="s">
        <v>374</v>
      </c>
      <c r="R136" s="17" t="s">
        <v>20</v>
      </c>
      <c r="S136" s="17" t="s">
        <v>625</v>
      </c>
      <c r="T136" s="17">
        <v>301</v>
      </c>
      <c r="U136" s="18">
        <v>0</v>
      </c>
      <c r="X136" s="17" t="s">
        <v>66</v>
      </c>
      <c r="Y136" s="17" t="s">
        <v>183</v>
      </c>
      <c r="Z136" s="17" t="s">
        <v>370</v>
      </c>
      <c r="AA136" s="31">
        <v>781102.66856300004</v>
      </c>
      <c r="AB136" s="31">
        <v>2420221.6778899999</v>
      </c>
    </row>
    <row r="137" spans="1:28">
      <c r="A137" s="30">
        <v>136</v>
      </c>
      <c r="B137" s="17">
        <v>611122</v>
      </c>
      <c r="C137" s="17" t="s">
        <v>331</v>
      </c>
      <c r="D137" s="17" t="s">
        <v>689</v>
      </c>
      <c r="E137" s="17" t="s">
        <v>918</v>
      </c>
      <c r="F137" s="17" t="s">
        <v>1118</v>
      </c>
      <c r="G137" s="17" t="s">
        <v>240</v>
      </c>
      <c r="H137" s="17" t="s">
        <v>85</v>
      </c>
      <c r="I137" s="17">
        <v>20260</v>
      </c>
      <c r="J137" s="17" t="s">
        <v>54</v>
      </c>
      <c r="K137" s="17" t="s">
        <v>73</v>
      </c>
      <c r="L137" s="17" t="s">
        <v>56</v>
      </c>
      <c r="M137" s="17" t="s">
        <v>223</v>
      </c>
      <c r="N137" s="17" t="s">
        <v>369</v>
      </c>
      <c r="O137" s="17" t="s">
        <v>624</v>
      </c>
      <c r="P137" s="17" t="s">
        <v>56</v>
      </c>
      <c r="Q137" s="17" t="s">
        <v>253</v>
      </c>
      <c r="R137" s="17" t="s">
        <v>20</v>
      </c>
      <c r="S137" s="17" t="s">
        <v>282</v>
      </c>
      <c r="T137" s="17">
        <v>1335</v>
      </c>
      <c r="U137" s="18">
        <v>0</v>
      </c>
      <c r="X137" s="17" t="s">
        <v>66</v>
      </c>
      <c r="Y137" s="17" t="s">
        <v>183</v>
      </c>
      <c r="Z137" s="17" t="s">
        <v>370</v>
      </c>
      <c r="AA137" s="31">
        <v>781291.15812699997</v>
      </c>
      <c r="AB137" s="31">
        <v>2420720.3635800001</v>
      </c>
    </row>
    <row r="138" spans="1:28">
      <c r="A138" s="30">
        <v>137</v>
      </c>
      <c r="B138" s="17">
        <v>611122</v>
      </c>
      <c r="C138" s="17" t="s">
        <v>331</v>
      </c>
      <c r="D138" s="17" t="s">
        <v>689</v>
      </c>
      <c r="E138" s="17" t="s">
        <v>919</v>
      </c>
      <c r="F138" s="17" t="s">
        <v>1118</v>
      </c>
      <c r="G138" s="17" t="s">
        <v>240</v>
      </c>
      <c r="H138" s="17" t="s">
        <v>85</v>
      </c>
      <c r="I138" s="17">
        <v>20260</v>
      </c>
      <c r="J138" s="17" t="s">
        <v>54</v>
      </c>
      <c r="K138" s="17" t="s">
        <v>73</v>
      </c>
      <c r="L138" s="17" t="s">
        <v>56</v>
      </c>
      <c r="M138" s="17" t="s">
        <v>244</v>
      </c>
      <c r="N138" s="17" t="s">
        <v>56</v>
      </c>
      <c r="O138" s="17" t="s">
        <v>376</v>
      </c>
      <c r="P138" s="17" t="s">
        <v>56</v>
      </c>
      <c r="Q138" s="17" t="s">
        <v>377</v>
      </c>
      <c r="R138" s="17" t="s">
        <v>369</v>
      </c>
      <c r="S138" s="17" t="s">
        <v>920</v>
      </c>
      <c r="T138" s="17">
        <v>0</v>
      </c>
      <c r="U138" s="18">
        <v>4499157996</v>
      </c>
      <c r="X138" s="17" t="s">
        <v>66</v>
      </c>
      <c r="Y138" s="17" t="s">
        <v>183</v>
      </c>
      <c r="Z138" s="17" t="s">
        <v>370</v>
      </c>
      <c r="AA138" s="31">
        <v>781097.78575299995</v>
      </c>
      <c r="AB138" s="31">
        <v>2421000.1379499999</v>
      </c>
    </row>
    <row r="139" spans="1:28">
      <c r="A139" s="30">
        <v>138</v>
      </c>
      <c r="B139" s="17">
        <v>611122</v>
      </c>
      <c r="C139" s="17" t="s">
        <v>331</v>
      </c>
      <c r="D139" s="17" t="s">
        <v>689</v>
      </c>
      <c r="E139" s="17" t="s">
        <v>921</v>
      </c>
      <c r="F139" s="17" t="s">
        <v>1118</v>
      </c>
      <c r="G139" s="17" t="s">
        <v>777</v>
      </c>
      <c r="H139" s="17" t="s">
        <v>94</v>
      </c>
      <c r="I139" s="17">
        <v>20297</v>
      </c>
      <c r="J139" s="17" t="s">
        <v>54</v>
      </c>
      <c r="K139" s="17" t="s">
        <v>73</v>
      </c>
      <c r="L139" s="17" t="s">
        <v>20</v>
      </c>
      <c r="M139" s="17" t="s">
        <v>627</v>
      </c>
      <c r="N139" s="17" t="s">
        <v>20</v>
      </c>
      <c r="O139" s="17" t="s">
        <v>391</v>
      </c>
      <c r="P139" s="17" t="s">
        <v>20</v>
      </c>
      <c r="Q139" s="17" t="s">
        <v>371</v>
      </c>
      <c r="R139" s="17" t="s">
        <v>20</v>
      </c>
      <c r="S139" s="17" t="s">
        <v>409</v>
      </c>
      <c r="T139" s="17">
        <v>0</v>
      </c>
      <c r="U139" s="18">
        <v>0</v>
      </c>
      <c r="V139" s="17" t="s">
        <v>922</v>
      </c>
      <c r="X139" s="17" t="s">
        <v>60</v>
      </c>
      <c r="Y139" s="17" t="s">
        <v>165</v>
      </c>
      <c r="Z139" s="17" t="s">
        <v>370</v>
      </c>
      <c r="AA139" s="31">
        <v>781718.00698299997</v>
      </c>
      <c r="AB139" s="31">
        <v>2419465.1245499998</v>
      </c>
    </row>
    <row r="140" spans="1:28">
      <c r="A140" s="30">
        <v>139</v>
      </c>
      <c r="B140" s="17">
        <v>611122</v>
      </c>
      <c r="C140" s="17" t="s">
        <v>331</v>
      </c>
      <c r="D140" s="17" t="s">
        <v>689</v>
      </c>
      <c r="E140" s="17" t="s">
        <v>923</v>
      </c>
      <c r="F140" s="17" t="s">
        <v>1118</v>
      </c>
      <c r="G140" s="17" t="s">
        <v>240</v>
      </c>
      <c r="H140" s="17" t="s">
        <v>94</v>
      </c>
      <c r="I140" s="17">
        <v>20297</v>
      </c>
      <c r="J140" s="17" t="s">
        <v>54</v>
      </c>
      <c r="K140" s="17" t="s">
        <v>73</v>
      </c>
      <c r="L140" s="17" t="s">
        <v>20</v>
      </c>
      <c r="M140" s="17" t="s">
        <v>627</v>
      </c>
      <c r="N140" s="17" t="s">
        <v>20</v>
      </c>
      <c r="O140" s="17" t="s">
        <v>391</v>
      </c>
      <c r="P140" s="17" t="s">
        <v>20</v>
      </c>
      <c r="Q140" s="17" t="s">
        <v>371</v>
      </c>
      <c r="R140" s="17" t="s">
        <v>20</v>
      </c>
      <c r="S140" s="17" t="s">
        <v>409</v>
      </c>
      <c r="T140" s="17">
        <v>0</v>
      </c>
      <c r="U140" s="18">
        <v>0</v>
      </c>
      <c r="V140" s="17" t="s">
        <v>924</v>
      </c>
      <c r="X140" s="17" t="s">
        <v>66</v>
      </c>
      <c r="Y140" s="17" t="s">
        <v>165</v>
      </c>
      <c r="Z140" s="17" t="s">
        <v>370</v>
      </c>
      <c r="AA140" s="31">
        <v>781710.79488900001</v>
      </c>
      <c r="AB140" s="31">
        <v>2419464.95683</v>
      </c>
    </row>
    <row r="141" spans="1:28">
      <c r="A141" s="30">
        <v>140</v>
      </c>
      <c r="B141" s="17">
        <v>611122</v>
      </c>
      <c r="C141" s="17" t="s">
        <v>331</v>
      </c>
      <c r="D141" s="17" t="s">
        <v>689</v>
      </c>
      <c r="E141" s="17" t="s">
        <v>925</v>
      </c>
      <c r="F141" s="17" t="s">
        <v>1118</v>
      </c>
      <c r="G141" s="17" t="s">
        <v>240</v>
      </c>
      <c r="H141" s="17" t="s">
        <v>94</v>
      </c>
      <c r="I141" s="17">
        <v>20250</v>
      </c>
      <c r="J141" s="17" t="s">
        <v>54</v>
      </c>
      <c r="K141" s="17" t="s">
        <v>73</v>
      </c>
      <c r="L141" s="17" t="s">
        <v>20</v>
      </c>
      <c r="M141" s="17" t="s">
        <v>412</v>
      </c>
      <c r="N141" s="17" t="s">
        <v>20</v>
      </c>
      <c r="O141" s="17" t="s">
        <v>629</v>
      </c>
      <c r="P141" s="17" t="s">
        <v>20</v>
      </c>
      <c r="Q141" s="17" t="s">
        <v>393</v>
      </c>
      <c r="R141" s="17" t="s">
        <v>20</v>
      </c>
      <c r="S141" s="17" t="s">
        <v>393</v>
      </c>
      <c r="T141" s="17">
        <v>110</v>
      </c>
      <c r="U141" s="18">
        <v>0</v>
      </c>
      <c r="X141" s="17" t="s">
        <v>66</v>
      </c>
      <c r="Y141" s="17" t="s">
        <v>165</v>
      </c>
      <c r="Z141" s="17" t="s">
        <v>370</v>
      </c>
      <c r="AA141" s="31">
        <v>782273.36752900004</v>
      </c>
      <c r="AB141" s="31">
        <v>2420988.6570199998</v>
      </c>
    </row>
    <row r="142" spans="1:28">
      <c r="A142" s="30">
        <v>141</v>
      </c>
      <c r="B142" s="17">
        <v>611122</v>
      </c>
      <c r="C142" s="17" t="s">
        <v>331</v>
      </c>
      <c r="D142" s="17" t="s">
        <v>689</v>
      </c>
      <c r="E142" s="17" t="s">
        <v>926</v>
      </c>
      <c r="F142" s="17" t="s">
        <v>1118</v>
      </c>
      <c r="G142" s="17" t="s">
        <v>777</v>
      </c>
      <c r="H142" s="17" t="s">
        <v>94</v>
      </c>
      <c r="I142" s="17">
        <v>20250</v>
      </c>
      <c r="J142" s="17" t="s">
        <v>54</v>
      </c>
      <c r="K142" s="17" t="s">
        <v>73</v>
      </c>
      <c r="L142" s="17" t="s">
        <v>20</v>
      </c>
      <c r="M142" s="17" t="s">
        <v>191</v>
      </c>
      <c r="N142" s="17" t="s">
        <v>20</v>
      </c>
      <c r="O142" s="17" t="s">
        <v>379</v>
      </c>
      <c r="P142" s="17" t="s">
        <v>56</v>
      </c>
      <c r="Q142" s="17" t="s">
        <v>290</v>
      </c>
      <c r="R142" s="17" t="s">
        <v>20</v>
      </c>
      <c r="S142" s="17" t="s">
        <v>198</v>
      </c>
      <c r="T142" s="17">
        <v>219</v>
      </c>
      <c r="U142" s="18">
        <v>0</v>
      </c>
      <c r="V142" s="17" t="s">
        <v>927</v>
      </c>
      <c r="X142" s="17" t="s">
        <v>66</v>
      </c>
      <c r="Y142" s="17" t="s">
        <v>165</v>
      </c>
      <c r="Z142" s="17" t="s">
        <v>370</v>
      </c>
      <c r="AA142" s="31">
        <v>781533.62907300005</v>
      </c>
      <c r="AB142" s="31">
        <v>2421407.76357</v>
      </c>
    </row>
    <row r="143" spans="1:28">
      <c r="A143" s="30">
        <v>142</v>
      </c>
      <c r="B143" s="17">
        <v>611122</v>
      </c>
      <c r="C143" s="17" t="s">
        <v>331</v>
      </c>
      <c r="D143" s="17" t="s">
        <v>689</v>
      </c>
      <c r="E143" s="17" t="s">
        <v>928</v>
      </c>
      <c r="F143" s="17" t="s">
        <v>1118</v>
      </c>
      <c r="G143" s="17" t="s">
        <v>240</v>
      </c>
      <c r="H143" s="17" t="s">
        <v>94</v>
      </c>
      <c r="I143" s="17">
        <v>20260</v>
      </c>
      <c r="J143" s="17" t="s">
        <v>54</v>
      </c>
      <c r="K143" s="17" t="s">
        <v>73</v>
      </c>
      <c r="L143" s="17" t="s">
        <v>20</v>
      </c>
      <c r="M143" s="17" t="s">
        <v>76</v>
      </c>
      <c r="N143" s="17" t="s">
        <v>20</v>
      </c>
      <c r="O143" s="17" t="s">
        <v>399</v>
      </c>
      <c r="P143" s="17" t="s">
        <v>20</v>
      </c>
      <c r="Q143" s="17" t="s">
        <v>400</v>
      </c>
      <c r="R143" s="17" t="s">
        <v>56</v>
      </c>
      <c r="S143" s="17" t="s">
        <v>378</v>
      </c>
      <c r="T143" s="17">
        <v>517</v>
      </c>
      <c r="U143" s="18">
        <v>4499709520</v>
      </c>
      <c r="X143" s="17" t="s">
        <v>66</v>
      </c>
      <c r="Y143" s="17" t="s">
        <v>165</v>
      </c>
      <c r="Z143" s="17" t="s">
        <v>370</v>
      </c>
      <c r="AA143" s="31">
        <v>781815.51179799996</v>
      </c>
      <c r="AB143" s="31">
        <v>2421145.1354</v>
      </c>
    </row>
    <row r="144" spans="1:28">
      <c r="A144" s="30">
        <v>143</v>
      </c>
      <c r="B144" s="17">
        <v>611122</v>
      </c>
      <c r="C144" s="17" t="s">
        <v>331</v>
      </c>
      <c r="D144" s="17" t="s">
        <v>689</v>
      </c>
      <c r="E144" s="17" t="s">
        <v>929</v>
      </c>
      <c r="F144" s="17" t="s">
        <v>1118</v>
      </c>
      <c r="G144" s="17" t="s">
        <v>240</v>
      </c>
      <c r="H144" s="17" t="s">
        <v>94</v>
      </c>
      <c r="I144" s="17">
        <v>20255</v>
      </c>
      <c r="J144" s="17" t="s">
        <v>54</v>
      </c>
      <c r="K144" s="17" t="s">
        <v>63</v>
      </c>
      <c r="L144" s="17" t="s">
        <v>129</v>
      </c>
      <c r="M144" s="17" t="s">
        <v>59</v>
      </c>
      <c r="N144" s="17" t="s">
        <v>20</v>
      </c>
      <c r="O144" s="17" t="s">
        <v>626</v>
      </c>
      <c r="P144" s="17" t="s">
        <v>129</v>
      </c>
      <c r="Q144" s="17" t="s">
        <v>59</v>
      </c>
      <c r="R144" s="17" t="s">
        <v>129</v>
      </c>
      <c r="S144" s="17" t="s">
        <v>59</v>
      </c>
      <c r="T144" s="17">
        <v>211</v>
      </c>
      <c r="U144" s="18">
        <v>4492753179</v>
      </c>
      <c r="V144" s="17" t="s">
        <v>930</v>
      </c>
      <c r="X144" s="17" t="s">
        <v>66</v>
      </c>
      <c r="Y144" s="17" t="s">
        <v>165</v>
      </c>
      <c r="Z144" s="17" t="s">
        <v>370</v>
      </c>
      <c r="AA144" s="31">
        <v>782201.193157</v>
      </c>
      <c r="AB144" s="31">
        <v>2421555.82913</v>
      </c>
    </row>
    <row r="145" spans="1:28">
      <c r="A145" s="30">
        <v>144</v>
      </c>
      <c r="B145" s="17">
        <v>611122</v>
      </c>
      <c r="C145" s="17" t="s">
        <v>331</v>
      </c>
      <c r="D145" s="17" t="s">
        <v>689</v>
      </c>
      <c r="E145" s="17" t="s">
        <v>931</v>
      </c>
      <c r="F145" s="17" t="s">
        <v>1118</v>
      </c>
      <c r="G145" s="17" t="s">
        <v>932</v>
      </c>
      <c r="H145" s="17" t="s">
        <v>94</v>
      </c>
      <c r="I145" s="17">
        <v>20298</v>
      </c>
      <c r="J145" s="17" t="s">
        <v>54</v>
      </c>
      <c r="K145" s="17" t="s">
        <v>73</v>
      </c>
      <c r="L145" s="17" t="s">
        <v>20</v>
      </c>
      <c r="M145" s="17" t="s">
        <v>395</v>
      </c>
      <c r="N145" s="17" t="s">
        <v>20</v>
      </c>
      <c r="O145" s="17" t="s">
        <v>385</v>
      </c>
      <c r="P145" s="17" t="s">
        <v>20</v>
      </c>
      <c r="Q145" s="17" t="s">
        <v>390</v>
      </c>
      <c r="R145" s="17" t="s">
        <v>20</v>
      </c>
      <c r="S145" s="17" t="s">
        <v>386</v>
      </c>
      <c r="T145" s="17">
        <v>0</v>
      </c>
      <c r="U145" s="18">
        <v>0</v>
      </c>
      <c r="X145" s="17" t="s">
        <v>66</v>
      </c>
      <c r="Y145" s="17" t="s">
        <v>165</v>
      </c>
      <c r="Z145" s="17" t="s">
        <v>370</v>
      </c>
      <c r="AA145" s="31">
        <v>782664.13317299995</v>
      </c>
      <c r="AB145" s="31">
        <v>2419654.6945799999</v>
      </c>
    </row>
    <row r="146" spans="1:28">
      <c r="A146" s="30">
        <v>145</v>
      </c>
      <c r="B146" s="17">
        <v>611122</v>
      </c>
      <c r="C146" s="17" t="s">
        <v>331</v>
      </c>
      <c r="D146" s="17" t="s">
        <v>689</v>
      </c>
      <c r="E146" s="17" t="s">
        <v>933</v>
      </c>
      <c r="F146" s="17" t="s">
        <v>1118</v>
      </c>
      <c r="G146" s="17" t="s">
        <v>240</v>
      </c>
      <c r="H146" s="17" t="s">
        <v>94</v>
      </c>
      <c r="I146" s="17">
        <v>20298</v>
      </c>
      <c r="J146" s="17" t="s">
        <v>54</v>
      </c>
      <c r="K146" s="17" t="s">
        <v>73</v>
      </c>
      <c r="L146" s="17" t="s">
        <v>20</v>
      </c>
      <c r="M146" s="17" t="s">
        <v>389</v>
      </c>
      <c r="N146" s="17" t="s">
        <v>56</v>
      </c>
      <c r="O146" s="17" t="s">
        <v>156</v>
      </c>
      <c r="P146" s="17" t="s">
        <v>20</v>
      </c>
      <c r="Q146" s="17" t="s">
        <v>382</v>
      </c>
      <c r="R146" s="17" t="s">
        <v>20</v>
      </c>
      <c r="S146" s="17" t="s">
        <v>395</v>
      </c>
      <c r="T146" s="17">
        <v>0</v>
      </c>
      <c r="U146" s="18">
        <v>0</v>
      </c>
      <c r="V146" s="17" t="s">
        <v>934</v>
      </c>
      <c r="X146" s="17" t="s">
        <v>66</v>
      </c>
      <c r="Y146" s="17" t="s">
        <v>165</v>
      </c>
      <c r="Z146" s="17" t="s">
        <v>370</v>
      </c>
      <c r="AA146" s="31">
        <v>782628.39436399995</v>
      </c>
      <c r="AB146" s="31">
        <v>2419171.0211399999</v>
      </c>
    </row>
    <row r="147" spans="1:28">
      <c r="A147" s="30">
        <v>146</v>
      </c>
      <c r="B147" s="17">
        <v>611122</v>
      </c>
      <c r="C147" s="17" t="s">
        <v>331</v>
      </c>
      <c r="D147" s="17" t="s">
        <v>689</v>
      </c>
      <c r="E147" s="17" t="s">
        <v>935</v>
      </c>
      <c r="F147" s="17" t="s">
        <v>1118</v>
      </c>
      <c r="G147" s="17" t="s">
        <v>240</v>
      </c>
      <c r="H147" s="17" t="s">
        <v>94</v>
      </c>
      <c r="I147" s="17">
        <v>20298</v>
      </c>
      <c r="J147" s="17" t="s">
        <v>54</v>
      </c>
      <c r="K147" s="17" t="s">
        <v>73</v>
      </c>
      <c r="L147" s="17" t="s">
        <v>20</v>
      </c>
      <c r="M147" s="17" t="s">
        <v>389</v>
      </c>
      <c r="N147" s="17" t="s">
        <v>56</v>
      </c>
      <c r="O147" s="17" t="s">
        <v>156</v>
      </c>
      <c r="P147" s="17" t="s">
        <v>20</v>
      </c>
      <c r="Q147" s="17" t="s">
        <v>382</v>
      </c>
      <c r="R147" s="17" t="s">
        <v>20</v>
      </c>
      <c r="S147" s="17" t="s">
        <v>395</v>
      </c>
      <c r="T147" s="17">
        <v>0</v>
      </c>
      <c r="U147" s="18">
        <v>0</v>
      </c>
      <c r="V147" s="17" t="s">
        <v>936</v>
      </c>
      <c r="X147" s="17" t="s">
        <v>66</v>
      </c>
      <c r="Y147" s="17" t="s">
        <v>165</v>
      </c>
      <c r="Z147" s="17" t="s">
        <v>370</v>
      </c>
      <c r="AA147" s="31">
        <v>782628.87204499997</v>
      </c>
      <c r="AB147" s="31">
        <v>2419169.2887900001</v>
      </c>
    </row>
    <row r="148" spans="1:28">
      <c r="A148" s="30">
        <v>147</v>
      </c>
      <c r="B148" s="17">
        <v>611122</v>
      </c>
      <c r="C148" s="17" t="s">
        <v>331</v>
      </c>
      <c r="D148" s="17" t="s">
        <v>689</v>
      </c>
      <c r="E148" s="17" t="s">
        <v>937</v>
      </c>
      <c r="F148" s="17" t="s">
        <v>1118</v>
      </c>
      <c r="G148" s="17" t="s">
        <v>240</v>
      </c>
      <c r="H148" s="17" t="s">
        <v>94</v>
      </c>
      <c r="I148" s="17">
        <v>20296</v>
      </c>
      <c r="J148" s="17" t="s">
        <v>54</v>
      </c>
      <c r="K148" s="17" t="s">
        <v>73</v>
      </c>
      <c r="L148" s="17" t="s">
        <v>20</v>
      </c>
      <c r="M148" s="17" t="s">
        <v>407</v>
      </c>
      <c r="N148" s="17" t="s">
        <v>56</v>
      </c>
      <c r="O148" s="17" t="s">
        <v>383</v>
      </c>
      <c r="P148" s="17" t="s">
        <v>20</v>
      </c>
      <c r="Q148" s="17" t="s">
        <v>381</v>
      </c>
      <c r="R148" s="17" t="s">
        <v>20</v>
      </c>
      <c r="S148" s="17" t="s">
        <v>630</v>
      </c>
      <c r="T148" s="17">
        <v>0</v>
      </c>
      <c r="U148" s="18">
        <v>4499774570</v>
      </c>
      <c r="X148" s="17" t="s">
        <v>66</v>
      </c>
      <c r="Y148" s="17" t="s">
        <v>165</v>
      </c>
      <c r="Z148" s="17" t="s">
        <v>370</v>
      </c>
      <c r="AA148" s="31">
        <v>783429.90260699997</v>
      </c>
      <c r="AB148" s="31">
        <v>2419034.6768299998</v>
      </c>
    </row>
    <row r="149" spans="1:28">
      <c r="A149" s="30">
        <v>148</v>
      </c>
      <c r="B149" s="17">
        <v>611122</v>
      </c>
      <c r="C149" s="17" t="s">
        <v>331</v>
      </c>
      <c r="D149" s="17" t="s">
        <v>689</v>
      </c>
      <c r="E149" s="17" t="s">
        <v>938</v>
      </c>
      <c r="F149" s="17" t="s">
        <v>1118</v>
      </c>
      <c r="G149" s="17" t="s">
        <v>240</v>
      </c>
      <c r="H149" s="17" t="s">
        <v>94</v>
      </c>
      <c r="I149" s="17">
        <v>20296</v>
      </c>
      <c r="J149" s="17" t="s">
        <v>54</v>
      </c>
      <c r="K149" s="17" t="s">
        <v>73</v>
      </c>
      <c r="L149" s="17" t="s">
        <v>20</v>
      </c>
      <c r="M149" s="17" t="s">
        <v>407</v>
      </c>
      <c r="N149" s="17" t="s">
        <v>56</v>
      </c>
      <c r="O149" s="17" t="s">
        <v>383</v>
      </c>
      <c r="P149" s="17" t="s">
        <v>20</v>
      </c>
      <c r="Q149" s="17" t="s">
        <v>381</v>
      </c>
      <c r="R149" s="17" t="s">
        <v>20</v>
      </c>
      <c r="S149" s="17" t="s">
        <v>630</v>
      </c>
      <c r="T149" s="17">
        <v>0</v>
      </c>
      <c r="U149" s="18">
        <v>4499774523</v>
      </c>
      <c r="V149" s="17" t="s">
        <v>939</v>
      </c>
      <c r="X149" s="17" t="s">
        <v>66</v>
      </c>
      <c r="Y149" s="17" t="s">
        <v>165</v>
      </c>
      <c r="Z149" s="17" t="s">
        <v>370</v>
      </c>
      <c r="AA149" s="31">
        <v>783429.90260699997</v>
      </c>
      <c r="AB149" s="31">
        <v>2419034.6768299998</v>
      </c>
    </row>
    <row r="150" spans="1:28">
      <c r="A150" s="30">
        <v>149</v>
      </c>
      <c r="B150" s="17">
        <v>611122</v>
      </c>
      <c r="C150" s="17" t="s">
        <v>331</v>
      </c>
      <c r="D150" s="17" t="s">
        <v>689</v>
      </c>
      <c r="E150" s="17" t="s">
        <v>940</v>
      </c>
      <c r="F150" s="17" t="s">
        <v>1118</v>
      </c>
      <c r="G150" s="17" t="s">
        <v>941</v>
      </c>
      <c r="H150" s="17" t="s">
        <v>94</v>
      </c>
      <c r="I150" s="17">
        <v>20298</v>
      </c>
      <c r="J150" s="17" t="s">
        <v>54</v>
      </c>
      <c r="K150" s="17" t="s">
        <v>73</v>
      </c>
      <c r="L150" s="17" t="s">
        <v>20</v>
      </c>
      <c r="M150" s="17" t="s">
        <v>384</v>
      </c>
      <c r="N150" s="17" t="s">
        <v>20</v>
      </c>
      <c r="O150" s="17" t="s">
        <v>380</v>
      </c>
      <c r="P150" s="17" t="s">
        <v>20</v>
      </c>
      <c r="Q150" s="17" t="s">
        <v>396</v>
      </c>
      <c r="R150" s="17" t="s">
        <v>20</v>
      </c>
      <c r="S150" s="17" t="s">
        <v>380</v>
      </c>
      <c r="T150" s="17">
        <v>0</v>
      </c>
      <c r="U150" s="18">
        <v>0</v>
      </c>
      <c r="V150" s="17" t="s">
        <v>942</v>
      </c>
      <c r="X150" s="17" t="s">
        <v>66</v>
      </c>
      <c r="Y150" s="17" t="s">
        <v>165</v>
      </c>
      <c r="Z150" s="17" t="s">
        <v>370</v>
      </c>
      <c r="AA150" s="31">
        <v>782520.204257</v>
      </c>
      <c r="AB150" s="31">
        <v>2418856.5518899998</v>
      </c>
    </row>
    <row r="151" spans="1:28">
      <c r="A151" s="30">
        <v>150</v>
      </c>
      <c r="B151" s="17">
        <v>611122</v>
      </c>
      <c r="C151" s="17" t="s">
        <v>331</v>
      </c>
      <c r="D151" s="17" t="s">
        <v>689</v>
      </c>
      <c r="E151" s="17" t="s">
        <v>943</v>
      </c>
      <c r="F151" s="17" t="s">
        <v>1118</v>
      </c>
      <c r="G151" s="17" t="s">
        <v>1119</v>
      </c>
      <c r="H151" s="17" t="s">
        <v>94</v>
      </c>
      <c r="I151" s="17">
        <v>20256</v>
      </c>
      <c r="J151" s="17" t="s">
        <v>54</v>
      </c>
      <c r="K151" s="17" t="s">
        <v>73</v>
      </c>
      <c r="L151" s="17" t="s">
        <v>56</v>
      </c>
      <c r="M151" s="17" t="s">
        <v>398</v>
      </c>
      <c r="N151" s="17" t="s">
        <v>20</v>
      </c>
      <c r="O151" s="17" t="s">
        <v>631</v>
      </c>
      <c r="P151" s="17" t="s">
        <v>20</v>
      </c>
      <c r="Q151" s="17" t="s">
        <v>403</v>
      </c>
      <c r="R151" s="17" t="s">
        <v>20</v>
      </c>
      <c r="S151" s="17" t="s">
        <v>405</v>
      </c>
      <c r="T151" s="17">
        <v>0</v>
      </c>
      <c r="U151" s="18">
        <v>0</v>
      </c>
      <c r="X151" s="17" t="s">
        <v>66</v>
      </c>
      <c r="Y151" s="17" t="s">
        <v>165</v>
      </c>
      <c r="Z151" s="17" t="s">
        <v>370</v>
      </c>
      <c r="AA151" s="31">
        <v>783330.55715500005</v>
      </c>
      <c r="AB151" s="31">
        <v>2421501.5613899999</v>
      </c>
    </row>
    <row r="152" spans="1:28">
      <c r="A152" s="30">
        <v>151</v>
      </c>
      <c r="B152" s="17">
        <v>611122</v>
      </c>
      <c r="C152" s="17" t="s">
        <v>331</v>
      </c>
      <c r="D152" s="17" t="s">
        <v>689</v>
      </c>
      <c r="E152" s="17" t="s">
        <v>944</v>
      </c>
      <c r="F152" s="17" t="s">
        <v>1118</v>
      </c>
      <c r="G152" s="17" t="s">
        <v>945</v>
      </c>
      <c r="H152" s="17" t="s">
        <v>94</v>
      </c>
      <c r="I152" s="17">
        <v>20267</v>
      </c>
      <c r="J152" s="17" t="s">
        <v>54</v>
      </c>
      <c r="K152" s="17" t="s">
        <v>63</v>
      </c>
      <c r="L152" s="17" t="s">
        <v>58</v>
      </c>
      <c r="M152" s="17" t="s">
        <v>522</v>
      </c>
      <c r="N152" s="17" t="s">
        <v>20</v>
      </c>
      <c r="O152" s="17" t="s">
        <v>511</v>
      </c>
      <c r="P152" s="17" t="s">
        <v>20</v>
      </c>
      <c r="Q152" s="17" t="s">
        <v>84</v>
      </c>
      <c r="R152" s="17" t="s">
        <v>56</v>
      </c>
      <c r="S152" s="17" t="s">
        <v>388</v>
      </c>
      <c r="T152" s="17">
        <v>0</v>
      </c>
      <c r="U152" s="18">
        <v>0</v>
      </c>
      <c r="X152" s="17" t="s">
        <v>66</v>
      </c>
      <c r="Y152" s="17" t="s">
        <v>165</v>
      </c>
      <c r="Z152" s="17" t="s">
        <v>370</v>
      </c>
      <c r="AA152" s="31">
        <v>781808.87841799995</v>
      </c>
      <c r="AB152" s="31">
        <v>2420764.0728000002</v>
      </c>
    </row>
    <row r="153" spans="1:28">
      <c r="A153" s="30">
        <v>152</v>
      </c>
      <c r="B153" s="17">
        <v>611122</v>
      </c>
      <c r="C153" s="17" t="s">
        <v>331</v>
      </c>
      <c r="D153" s="17" t="s">
        <v>689</v>
      </c>
      <c r="E153" s="17" t="s">
        <v>946</v>
      </c>
      <c r="F153" s="17" t="s">
        <v>1118</v>
      </c>
      <c r="G153" s="17" t="s">
        <v>240</v>
      </c>
      <c r="H153" s="17" t="s">
        <v>94</v>
      </c>
      <c r="I153" s="17">
        <v>20264</v>
      </c>
      <c r="J153" s="17" t="s">
        <v>54</v>
      </c>
      <c r="K153" s="17" t="s">
        <v>73</v>
      </c>
      <c r="L153" s="17" t="s">
        <v>20</v>
      </c>
      <c r="M153" s="17" t="s">
        <v>628</v>
      </c>
      <c r="N153" s="17" t="s">
        <v>58</v>
      </c>
      <c r="O153" s="17" t="s">
        <v>628</v>
      </c>
      <c r="P153" s="17" t="s">
        <v>20</v>
      </c>
      <c r="Q153" s="17" t="s">
        <v>632</v>
      </c>
      <c r="R153" s="17" t="s">
        <v>20</v>
      </c>
      <c r="S153" s="17" t="s">
        <v>406</v>
      </c>
      <c r="T153" s="17">
        <v>0</v>
      </c>
      <c r="U153" s="18">
        <v>4499177676</v>
      </c>
      <c r="X153" s="17" t="s">
        <v>66</v>
      </c>
      <c r="Y153" s="17" t="s">
        <v>165</v>
      </c>
      <c r="Z153" s="17" t="s">
        <v>370</v>
      </c>
      <c r="AA153" s="31">
        <v>782442.38097900001</v>
      </c>
      <c r="AB153" s="31">
        <v>2420336.3727099998</v>
      </c>
    </row>
    <row r="154" spans="1:28">
      <c r="A154" s="30">
        <v>153</v>
      </c>
      <c r="B154" s="17">
        <v>611122</v>
      </c>
      <c r="C154" s="17" t="s">
        <v>331</v>
      </c>
      <c r="D154" s="17" t="s">
        <v>689</v>
      </c>
      <c r="E154" s="17" t="s">
        <v>947</v>
      </c>
      <c r="F154" s="17" t="s">
        <v>1118</v>
      </c>
      <c r="G154" s="17" t="s">
        <v>240</v>
      </c>
      <c r="H154" s="17" t="s">
        <v>85</v>
      </c>
      <c r="I154" s="17">
        <v>20264</v>
      </c>
      <c r="J154" s="17" t="s">
        <v>54</v>
      </c>
      <c r="K154" s="17" t="s">
        <v>63</v>
      </c>
      <c r="L154" s="17" t="s">
        <v>20</v>
      </c>
      <c r="M154" s="17" t="s">
        <v>394</v>
      </c>
      <c r="N154" s="17" t="s">
        <v>129</v>
      </c>
      <c r="O154" s="17" t="s">
        <v>633</v>
      </c>
      <c r="P154" s="17" t="s">
        <v>20</v>
      </c>
      <c r="Q154" s="17" t="s">
        <v>402</v>
      </c>
      <c r="R154" s="17" t="s">
        <v>20</v>
      </c>
      <c r="S154" s="17" t="s">
        <v>401</v>
      </c>
      <c r="T154" s="17">
        <v>0</v>
      </c>
      <c r="U154" s="18">
        <v>4499742328</v>
      </c>
      <c r="X154" s="17" t="s">
        <v>66</v>
      </c>
      <c r="Y154" s="17" t="s">
        <v>165</v>
      </c>
      <c r="Z154" s="17" t="s">
        <v>370</v>
      </c>
      <c r="AA154" s="31">
        <v>783395.96455499995</v>
      </c>
      <c r="AB154" s="31">
        <v>2420306.0979200001</v>
      </c>
    </row>
    <row r="155" spans="1:28">
      <c r="A155" s="30">
        <v>154</v>
      </c>
      <c r="B155" s="17">
        <v>611122</v>
      </c>
      <c r="C155" s="17" t="s">
        <v>331</v>
      </c>
      <c r="D155" s="17" t="s">
        <v>689</v>
      </c>
      <c r="E155" s="17" t="s">
        <v>948</v>
      </c>
      <c r="F155" s="17" t="s">
        <v>1118</v>
      </c>
      <c r="G155" s="17" t="s">
        <v>240</v>
      </c>
      <c r="H155" s="17" t="s">
        <v>85</v>
      </c>
      <c r="I155" s="17">
        <v>20264</v>
      </c>
      <c r="J155" s="17" t="s">
        <v>54</v>
      </c>
      <c r="K155" s="17" t="s">
        <v>73</v>
      </c>
      <c r="L155" s="17" t="s">
        <v>20</v>
      </c>
      <c r="M155" s="17" t="s">
        <v>394</v>
      </c>
      <c r="N155" s="17" t="s">
        <v>129</v>
      </c>
      <c r="O155" s="17" t="s">
        <v>633</v>
      </c>
      <c r="P155" s="17" t="s">
        <v>20</v>
      </c>
      <c r="Q155" s="17" t="s">
        <v>402</v>
      </c>
      <c r="R155" s="17" t="s">
        <v>20</v>
      </c>
      <c r="S155" s="17" t="s">
        <v>401</v>
      </c>
      <c r="T155" s="17">
        <v>0</v>
      </c>
      <c r="U155" s="18">
        <v>4499740588</v>
      </c>
      <c r="V155" s="17" t="s">
        <v>949</v>
      </c>
      <c r="X155" s="17" t="s">
        <v>66</v>
      </c>
      <c r="Y155" s="17" t="s">
        <v>165</v>
      </c>
      <c r="Z155" s="17" t="s">
        <v>370</v>
      </c>
      <c r="AA155" s="31">
        <v>783393.84799200005</v>
      </c>
      <c r="AB155" s="31">
        <v>2420302.2249699999</v>
      </c>
    </row>
    <row r="156" spans="1:28">
      <c r="A156" s="30">
        <v>155</v>
      </c>
      <c r="B156" s="17">
        <v>611122</v>
      </c>
      <c r="C156" s="17" t="s">
        <v>331</v>
      </c>
      <c r="D156" s="17" t="s">
        <v>689</v>
      </c>
      <c r="E156" s="17" t="s">
        <v>950</v>
      </c>
      <c r="F156" s="17" t="s">
        <v>1118</v>
      </c>
      <c r="G156" s="17" t="s">
        <v>694</v>
      </c>
      <c r="H156" s="17" t="s">
        <v>94</v>
      </c>
      <c r="I156" s="17">
        <v>20270</v>
      </c>
      <c r="J156" s="17" t="s">
        <v>54</v>
      </c>
      <c r="K156" s="17" t="s">
        <v>73</v>
      </c>
      <c r="L156" s="17" t="s">
        <v>20</v>
      </c>
      <c r="M156" s="17" t="s">
        <v>372</v>
      </c>
      <c r="N156" s="17" t="s">
        <v>56</v>
      </c>
      <c r="O156" s="17" t="s">
        <v>138</v>
      </c>
      <c r="P156" s="17" t="s">
        <v>20</v>
      </c>
      <c r="Q156" s="17" t="s">
        <v>241</v>
      </c>
      <c r="R156" s="17" t="s">
        <v>20</v>
      </c>
      <c r="S156" s="17" t="s">
        <v>375</v>
      </c>
      <c r="T156" s="17">
        <v>202</v>
      </c>
      <c r="U156" s="18">
        <v>4499782064</v>
      </c>
      <c r="X156" s="17" t="s">
        <v>66</v>
      </c>
      <c r="Y156" s="17" t="s">
        <v>178</v>
      </c>
      <c r="Z156" s="17" t="s">
        <v>370</v>
      </c>
      <c r="AA156" s="31">
        <v>781261.39528699999</v>
      </c>
      <c r="AB156" s="31">
        <v>2419753.8525399999</v>
      </c>
    </row>
    <row r="157" spans="1:28">
      <c r="A157" s="30">
        <v>156</v>
      </c>
      <c r="B157" s="17">
        <v>611122</v>
      </c>
      <c r="C157" s="17" t="s">
        <v>331</v>
      </c>
      <c r="D157" s="17" t="s">
        <v>689</v>
      </c>
      <c r="E157" s="17" t="s">
        <v>951</v>
      </c>
      <c r="F157" s="17" t="s">
        <v>1118</v>
      </c>
      <c r="H157" s="17" t="s">
        <v>94</v>
      </c>
      <c r="I157" s="17">
        <v>20198</v>
      </c>
      <c r="J157" s="17" t="s">
        <v>54</v>
      </c>
      <c r="K157" s="17" t="s">
        <v>63</v>
      </c>
      <c r="L157" s="17" t="s">
        <v>20</v>
      </c>
      <c r="M157" s="17" t="s">
        <v>100</v>
      </c>
      <c r="N157" s="17" t="s">
        <v>20</v>
      </c>
      <c r="O157" s="17" t="s">
        <v>635</v>
      </c>
      <c r="P157" s="17" t="s">
        <v>20</v>
      </c>
      <c r="Q157" s="17" t="s">
        <v>634</v>
      </c>
      <c r="R157" s="17" t="s">
        <v>20</v>
      </c>
      <c r="S157" s="17" t="s">
        <v>636</v>
      </c>
      <c r="T157" s="17">
        <v>0</v>
      </c>
      <c r="U157" s="18">
        <v>0</v>
      </c>
      <c r="X157" s="17" t="s">
        <v>66</v>
      </c>
      <c r="Y157" s="17" t="s">
        <v>328</v>
      </c>
      <c r="Z157" s="17" t="s">
        <v>370</v>
      </c>
      <c r="AA157" s="31">
        <v>782742.81413800002</v>
      </c>
      <c r="AB157" s="31">
        <v>2422489.59619</v>
      </c>
    </row>
    <row r="158" spans="1:28">
      <c r="A158" s="30">
        <v>157</v>
      </c>
      <c r="B158" s="17">
        <v>611122</v>
      </c>
      <c r="C158" s="17" t="s">
        <v>331</v>
      </c>
      <c r="D158" s="17" t="s">
        <v>689</v>
      </c>
      <c r="E158" s="17" t="s">
        <v>952</v>
      </c>
      <c r="F158" s="17" t="s">
        <v>1118</v>
      </c>
      <c r="G158" s="17" t="s">
        <v>713</v>
      </c>
      <c r="H158" s="17" t="s">
        <v>94</v>
      </c>
      <c r="I158" s="17">
        <v>20298</v>
      </c>
      <c r="J158" s="17" t="s">
        <v>54</v>
      </c>
      <c r="K158" s="17" t="s">
        <v>73</v>
      </c>
      <c r="L158" s="17" t="s">
        <v>20</v>
      </c>
      <c r="M158" s="17" t="s">
        <v>387</v>
      </c>
      <c r="N158" s="17" t="s">
        <v>56</v>
      </c>
      <c r="O158" s="17" t="s">
        <v>383</v>
      </c>
      <c r="P158" s="17" t="s">
        <v>20</v>
      </c>
      <c r="Q158" s="17" t="s">
        <v>581</v>
      </c>
      <c r="R158" s="17" t="s">
        <v>56</v>
      </c>
      <c r="S158" s="17" t="s">
        <v>156</v>
      </c>
      <c r="T158" s="17">
        <v>0</v>
      </c>
      <c r="U158" s="18">
        <v>4499774446</v>
      </c>
      <c r="X158" s="17" t="s">
        <v>66</v>
      </c>
      <c r="Y158" s="17" t="s">
        <v>328</v>
      </c>
      <c r="Z158" s="17" t="s">
        <v>370</v>
      </c>
      <c r="AA158" s="31">
        <v>783634.17797900003</v>
      </c>
      <c r="AB158" s="31">
        <v>2419568.4335699999</v>
      </c>
    </row>
    <row r="159" spans="1:28">
      <c r="A159" s="30">
        <v>158</v>
      </c>
      <c r="B159" s="17">
        <v>611122</v>
      </c>
      <c r="C159" s="17" t="s">
        <v>331</v>
      </c>
      <c r="D159" s="17" t="s">
        <v>689</v>
      </c>
      <c r="E159" s="17" t="s">
        <v>953</v>
      </c>
      <c r="F159" s="17" t="s">
        <v>1118</v>
      </c>
      <c r="G159" s="17" t="s">
        <v>713</v>
      </c>
      <c r="H159" s="17" t="s">
        <v>94</v>
      </c>
      <c r="I159" s="17">
        <v>20298</v>
      </c>
      <c r="J159" s="17" t="s">
        <v>54</v>
      </c>
      <c r="K159" s="17" t="s">
        <v>63</v>
      </c>
      <c r="L159" s="17" t="s">
        <v>20</v>
      </c>
      <c r="M159" s="17" t="s">
        <v>387</v>
      </c>
      <c r="N159" s="17" t="s">
        <v>56</v>
      </c>
      <c r="O159" s="17" t="s">
        <v>383</v>
      </c>
      <c r="P159" s="17" t="s">
        <v>20</v>
      </c>
      <c r="Q159" s="17" t="s">
        <v>581</v>
      </c>
      <c r="R159" s="17" t="s">
        <v>56</v>
      </c>
      <c r="S159" s="17" t="s">
        <v>156</v>
      </c>
      <c r="T159" s="17">
        <v>0</v>
      </c>
      <c r="U159" s="18">
        <v>4499774446</v>
      </c>
      <c r="X159" s="17" t="s">
        <v>66</v>
      </c>
      <c r="Y159" s="17" t="s">
        <v>328</v>
      </c>
      <c r="Z159" s="17" t="s">
        <v>370</v>
      </c>
      <c r="AA159" s="31">
        <v>783634.11109799996</v>
      </c>
      <c r="AB159" s="31">
        <v>2419568.4135400001</v>
      </c>
    </row>
    <row r="160" spans="1:28">
      <c r="A160" s="30">
        <v>159</v>
      </c>
      <c r="B160" s="17">
        <v>611121</v>
      </c>
      <c r="C160" s="17" t="s">
        <v>331</v>
      </c>
      <c r="D160" s="17" t="s">
        <v>52</v>
      </c>
      <c r="E160" s="17" t="s">
        <v>954</v>
      </c>
      <c r="F160" s="17" t="s">
        <v>1117</v>
      </c>
      <c r="G160" s="17" t="s">
        <v>240</v>
      </c>
      <c r="H160" s="17" t="s">
        <v>94</v>
      </c>
      <c r="I160" s="17">
        <v>20198</v>
      </c>
      <c r="J160" s="17" t="s">
        <v>54</v>
      </c>
      <c r="K160" s="17" t="s">
        <v>73</v>
      </c>
      <c r="L160" s="17" t="s">
        <v>20</v>
      </c>
      <c r="M160" s="17" t="s">
        <v>100</v>
      </c>
      <c r="N160" s="17" t="s">
        <v>20</v>
      </c>
      <c r="O160" s="17" t="s">
        <v>635</v>
      </c>
      <c r="P160" s="17" t="s">
        <v>20</v>
      </c>
      <c r="Q160" s="17" t="s">
        <v>634</v>
      </c>
      <c r="R160" s="17" t="s">
        <v>20</v>
      </c>
      <c r="S160" s="17" t="s">
        <v>636</v>
      </c>
      <c r="T160" s="17">
        <v>228</v>
      </c>
      <c r="U160" s="18">
        <v>0</v>
      </c>
      <c r="X160" s="17" t="s">
        <v>83</v>
      </c>
      <c r="Y160" s="17" t="s">
        <v>328</v>
      </c>
      <c r="Z160" s="17" t="s">
        <v>370</v>
      </c>
      <c r="AA160" s="31">
        <v>782730.18033999996</v>
      </c>
      <c r="AB160" s="31">
        <v>2422488.7040499998</v>
      </c>
    </row>
    <row r="161" spans="1:28">
      <c r="A161" s="30">
        <v>160</v>
      </c>
      <c r="B161" s="17">
        <v>611122</v>
      </c>
      <c r="C161" s="17" t="s">
        <v>331</v>
      </c>
      <c r="D161" s="17" t="s">
        <v>689</v>
      </c>
      <c r="E161" s="17" t="s">
        <v>955</v>
      </c>
      <c r="F161" s="17" t="s">
        <v>1118</v>
      </c>
      <c r="G161" s="17" t="s">
        <v>240</v>
      </c>
      <c r="H161" s="17" t="s">
        <v>94</v>
      </c>
      <c r="I161" s="17">
        <v>20169</v>
      </c>
      <c r="J161" s="17" t="s">
        <v>54</v>
      </c>
      <c r="K161" s="17" t="s">
        <v>63</v>
      </c>
      <c r="L161" s="17" t="s">
        <v>20</v>
      </c>
      <c r="M161" s="17" t="s">
        <v>416</v>
      </c>
      <c r="N161" s="17" t="s">
        <v>20</v>
      </c>
      <c r="O161" s="17" t="s">
        <v>415</v>
      </c>
      <c r="P161" s="17" t="s">
        <v>20</v>
      </c>
      <c r="Q161" s="17" t="s">
        <v>956</v>
      </c>
      <c r="R161" s="17" t="s">
        <v>20</v>
      </c>
      <c r="S161" s="17" t="s">
        <v>417</v>
      </c>
      <c r="T161" s="17">
        <v>204</v>
      </c>
      <c r="U161" s="18">
        <v>0</v>
      </c>
      <c r="V161" s="17" t="s">
        <v>957</v>
      </c>
      <c r="X161" s="17" t="s">
        <v>66</v>
      </c>
      <c r="Y161" s="17" t="s">
        <v>183</v>
      </c>
      <c r="Z161" s="17" t="s">
        <v>414</v>
      </c>
      <c r="AA161" s="31">
        <v>781186.09835800005</v>
      </c>
      <c r="AB161" s="31">
        <v>2423706.81758</v>
      </c>
    </row>
    <row r="162" spans="1:28">
      <c r="A162" s="30">
        <v>161</v>
      </c>
      <c r="B162" s="17">
        <v>611122</v>
      </c>
      <c r="C162" s="17" t="s">
        <v>331</v>
      </c>
      <c r="D162" s="17" t="s">
        <v>689</v>
      </c>
      <c r="E162" s="17" t="s">
        <v>958</v>
      </c>
      <c r="F162" s="17" t="s">
        <v>1118</v>
      </c>
      <c r="H162" s="17" t="s">
        <v>85</v>
      </c>
      <c r="I162" s="17">
        <v>20160</v>
      </c>
      <c r="J162" s="17" t="s">
        <v>54</v>
      </c>
      <c r="K162" s="17" t="s">
        <v>63</v>
      </c>
      <c r="L162" s="17" t="s">
        <v>89</v>
      </c>
      <c r="M162" s="17" t="s">
        <v>638</v>
      </c>
      <c r="N162" s="17" t="s">
        <v>89</v>
      </c>
      <c r="O162" s="17" t="s">
        <v>639</v>
      </c>
      <c r="P162" s="17" t="s">
        <v>89</v>
      </c>
      <c r="Q162" s="17" t="s">
        <v>637</v>
      </c>
      <c r="R162" s="17" t="s">
        <v>20</v>
      </c>
      <c r="S162" s="17" t="s">
        <v>640</v>
      </c>
      <c r="T162" s="17">
        <v>201</v>
      </c>
      <c r="U162" s="18">
        <v>0</v>
      </c>
      <c r="X162" s="17" t="s">
        <v>66</v>
      </c>
      <c r="Y162" s="17" t="s">
        <v>183</v>
      </c>
      <c r="Z162" s="17" t="s">
        <v>414</v>
      </c>
      <c r="AA162" s="31">
        <v>780906.92755699996</v>
      </c>
      <c r="AB162" s="31">
        <v>2424097.3190000001</v>
      </c>
    </row>
    <row r="163" spans="1:28">
      <c r="A163" s="30">
        <v>162</v>
      </c>
      <c r="B163" s="17">
        <v>611122</v>
      </c>
      <c r="C163" s="17" t="s">
        <v>331</v>
      </c>
      <c r="D163" s="17" t="s">
        <v>689</v>
      </c>
      <c r="E163" s="17" t="s">
        <v>959</v>
      </c>
      <c r="F163" s="17" t="s">
        <v>1118</v>
      </c>
      <c r="G163" s="17" t="s">
        <v>240</v>
      </c>
      <c r="H163" s="17" t="s">
        <v>69</v>
      </c>
      <c r="I163" s="17">
        <v>20126</v>
      </c>
      <c r="J163" s="17" t="s">
        <v>54</v>
      </c>
      <c r="K163" s="17" t="s">
        <v>73</v>
      </c>
      <c r="L163" s="17" t="s">
        <v>20</v>
      </c>
      <c r="M163" s="17" t="s">
        <v>418</v>
      </c>
      <c r="N163" s="17" t="s">
        <v>20</v>
      </c>
      <c r="O163" s="17" t="s">
        <v>423</v>
      </c>
      <c r="P163" s="17" t="s">
        <v>20</v>
      </c>
      <c r="Q163" s="17" t="s">
        <v>422</v>
      </c>
      <c r="R163" s="17" t="s">
        <v>56</v>
      </c>
      <c r="S163" s="17" t="s">
        <v>646</v>
      </c>
      <c r="T163" s="17">
        <v>0</v>
      </c>
      <c r="U163" s="18">
        <v>0</v>
      </c>
      <c r="X163" s="17" t="s">
        <v>66</v>
      </c>
      <c r="Y163" s="17" t="s">
        <v>336</v>
      </c>
      <c r="Z163" s="17" t="s">
        <v>414</v>
      </c>
      <c r="AA163" s="31">
        <v>780528.09103400004</v>
      </c>
      <c r="AB163" s="31">
        <v>2427633.8670299998</v>
      </c>
    </row>
    <row r="164" spans="1:28">
      <c r="A164" s="30">
        <v>163</v>
      </c>
      <c r="B164" s="17">
        <v>611122</v>
      </c>
      <c r="C164" s="17" t="s">
        <v>331</v>
      </c>
      <c r="D164" s="17" t="s">
        <v>689</v>
      </c>
      <c r="E164" s="17" t="s">
        <v>960</v>
      </c>
      <c r="F164" s="17" t="s">
        <v>1118</v>
      </c>
      <c r="G164" s="17" t="s">
        <v>240</v>
      </c>
      <c r="H164" s="17" t="s">
        <v>69</v>
      </c>
      <c r="I164" s="17">
        <v>20126</v>
      </c>
      <c r="J164" s="17" t="s">
        <v>54</v>
      </c>
      <c r="K164" s="17" t="s">
        <v>63</v>
      </c>
      <c r="L164" s="17" t="s">
        <v>20</v>
      </c>
      <c r="M164" s="17" t="s">
        <v>418</v>
      </c>
      <c r="N164" s="17" t="s">
        <v>20</v>
      </c>
      <c r="O164" s="17" t="s">
        <v>423</v>
      </c>
      <c r="P164" s="17" t="s">
        <v>20</v>
      </c>
      <c r="Q164" s="17" t="s">
        <v>422</v>
      </c>
      <c r="R164" s="17" t="s">
        <v>20</v>
      </c>
      <c r="S164" s="17" t="s">
        <v>419</v>
      </c>
      <c r="T164" s="17">
        <v>0</v>
      </c>
      <c r="U164" s="18">
        <v>0</v>
      </c>
      <c r="X164" s="17" t="s">
        <v>66</v>
      </c>
      <c r="Y164" s="17" t="s">
        <v>336</v>
      </c>
      <c r="Z164" s="17" t="s">
        <v>414</v>
      </c>
      <c r="AA164" s="31">
        <v>780528.02034699998</v>
      </c>
      <c r="AB164" s="31">
        <v>2427633.4801599998</v>
      </c>
    </row>
    <row r="165" spans="1:28">
      <c r="A165" s="30">
        <v>164</v>
      </c>
      <c r="B165" s="17">
        <v>611122</v>
      </c>
      <c r="C165" s="17" t="s">
        <v>331</v>
      </c>
      <c r="D165" s="17" t="s">
        <v>689</v>
      </c>
      <c r="E165" s="17" t="s">
        <v>961</v>
      </c>
      <c r="F165" s="17" t="s">
        <v>1118</v>
      </c>
      <c r="G165" s="17" t="s">
        <v>777</v>
      </c>
      <c r="H165" s="17" t="s">
        <v>69</v>
      </c>
      <c r="I165" s="17">
        <v>20150</v>
      </c>
      <c r="J165" s="17" t="s">
        <v>54</v>
      </c>
      <c r="K165" s="17" t="s">
        <v>73</v>
      </c>
      <c r="L165" s="17" t="s">
        <v>20</v>
      </c>
      <c r="M165" s="17" t="s">
        <v>218</v>
      </c>
      <c r="N165" s="17" t="s">
        <v>20</v>
      </c>
      <c r="O165" s="17" t="s">
        <v>425</v>
      </c>
      <c r="P165" s="17" t="s">
        <v>20</v>
      </c>
      <c r="Q165" s="17" t="s">
        <v>565</v>
      </c>
      <c r="R165" s="17" t="s">
        <v>177</v>
      </c>
      <c r="S165" s="17" t="s">
        <v>59</v>
      </c>
      <c r="T165" s="17">
        <v>243</v>
      </c>
      <c r="U165" s="18">
        <v>4491985762</v>
      </c>
      <c r="V165" s="17" t="s">
        <v>962</v>
      </c>
      <c r="X165" s="17" t="s">
        <v>66</v>
      </c>
      <c r="Y165" s="17" t="s">
        <v>336</v>
      </c>
      <c r="Z165" s="17" t="s">
        <v>414</v>
      </c>
      <c r="AA165" s="31">
        <v>780576.77990299999</v>
      </c>
      <c r="AB165" s="31">
        <v>2425199.2069600001</v>
      </c>
    </row>
    <row r="166" spans="1:28">
      <c r="A166" s="30">
        <v>165</v>
      </c>
      <c r="B166" s="17">
        <v>611122</v>
      </c>
      <c r="C166" s="17" t="s">
        <v>331</v>
      </c>
      <c r="D166" s="17" t="s">
        <v>689</v>
      </c>
      <c r="E166" s="17" t="s">
        <v>963</v>
      </c>
      <c r="F166" s="17" t="s">
        <v>1118</v>
      </c>
      <c r="G166" s="17" t="s">
        <v>777</v>
      </c>
      <c r="H166" s="17" t="s">
        <v>94</v>
      </c>
      <c r="I166" s="17">
        <v>20159</v>
      </c>
      <c r="J166" s="17" t="s">
        <v>54</v>
      </c>
      <c r="K166" s="17" t="s">
        <v>73</v>
      </c>
      <c r="L166" s="17" t="s">
        <v>20</v>
      </c>
      <c r="M166" s="17" t="s">
        <v>426</v>
      </c>
      <c r="N166" s="17" t="s">
        <v>20</v>
      </c>
      <c r="O166" s="17" t="s">
        <v>432</v>
      </c>
      <c r="P166" s="17" t="s">
        <v>20</v>
      </c>
      <c r="Q166" s="17" t="s">
        <v>642</v>
      </c>
      <c r="R166" s="17" t="s">
        <v>20</v>
      </c>
      <c r="S166" s="17" t="s">
        <v>425</v>
      </c>
      <c r="T166" s="17">
        <v>0</v>
      </c>
      <c r="U166" s="18">
        <v>0</v>
      </c>
      <c r="V166" s="17" t="s">
        <v>964</v>
      </c>
      <c r="X166" s="17" t="s">
        <v>66</v>
      </c>
      <c r="Y166" s="17" t="s">
        <v>336</v>
      </c>
      <c r="Z166" s="17" t="s">
        <v>414</v>
      </c>
      <c r="AA166" s="31">
        <v>780871.95131799998</v>
      </c>
      <c r="AB166" s="31">
        <v>2425394.79801</v>
      </c>
    </row>
    <row r="167" spans="1:28">
      <c r="A167" s="30">
        <v>166</v>
      </c>
      <c r="B167" s="17">
        <v>611122</v>
      </c>
      <c r="C167" s="17" t="s">
        <v>331</v>
      </c>
      <c r="D167" s="17" t="s">
        <v>689</v>
      </c>
      <c r="E167" s="17" t="s">
        <v>965</v>
      </c>
      <c r="F167" s="17" t="s">
        <v>1118</v>
      </c>
      <c r="G167" s="17" t="s">
        <v>240</v>
      </c>
      <c r="H167" s="17" t="s">
        <v>94</v>
      </c>
      <c r="I167" s="17">
        <v>20126</v>
      </c>
      <c r="J167" s="17" t="s">
        <v>54</v>
      </c>
      <c r="K167" s="17" t="s">
        <v>63</v>
      </c>
      <c r="L167" s="17" t="s">
        <v>20</v>
      </c>
      <c r="M167" s="17" t="s">
        <v>437</v>
      </c>
      <c r="N167" s="17" t="s">
        <v>20</v>
      </c>
      <c r="O167" s="17" t="s">
        <v>433</v>
      </c>
      <c r="P167" s="17" t="s">
        <v>20</v>
      </c>
      <c r="Q167" s="17" t="s">
        <v>420</v>
      </c>
      <c r="S167" s="17" t="s">
        <v>59</v>
      </c>
      <c r="T167" s="17">
        <v>0</v>
      </c>
      <c r="U167" s="18">
        <v>0</v>
      </c>
      <c r="X167" s="17" t="s">
        <v>66</v>
      </c>
      <c r="Y167" s="17" t="s">
        <v>336</v>
      </c>
      <c r="Z167" s="17" t="s">
        <v>414</v>
      </c>
      <c r="AA167" s="31">
        <v>780759.82902599999</v>
      </c>
      <c r="AB167" s="31">
        <v>2428367.77789</v>
      </c>
    </row>
    <row r="168" spans="1:28">
      <c r="A168" s="30">
        <v>167</v>
      </c>
      <c r="B168" s="17">
        <v>611122</v>
      </c>
      <c r="C168" s="17" t="s">
        <v>331</v>
      </c>
      <c r="D168" s="17" t="s">
        <v>689</v>
      </c>
      <c r="E168" s="17" t="s">
        <v>966</v>
      </c>
      <c r="F168" s="17" t="s">
        <v>1118</v>
      </c>
      <c r="G168" s="17" t="s">
        <v>777</v>
      </c>
      <c r="H168" s="17" t="s">
        <v>94</v>
      </c>
      <c r="I168" s="17">
        <v>20157</v>
      </c>
      <c r="J168" s="17" t="s">
        <v>54</v>
      </c>
      <c r="K168" s="17" t="s">
        <v>63</v>
      </c>
      <c r="L168" s="17" t="s">
        <v>20</v>
      </c>
      <c r="M168" s="17" t="s">
        <v>428</v>
      </c>
      <c r="N168" s="17" t="s">
        <v>20</v>
      </c>
      <c r="O168" s="17" t="s">
        <v>434</v>
      </c>
      <c r="P168" s="17" t="s">
        <v>56</v>
      </c>
      <c r="Q168" s="17" t="s">
        <v>643</v>
      </c>
      <c r="R168" s="17" t="s">
        <v>20</v>
      </c>
      <c r="S168" s="17" t="s">
        <v>645</v>
      </c>
      <c r="T168" s="17">
        <v>0</v>
      </c>
      <c r="U168" s="18">
        <v>4499739155</v>
      </c>
      <c r="V168" s="17" t="s">
        <v>967</v>
      </c>
      <c r="X168" s="17" t="s">
        <v>66</v>
      </c>
      <c r="Y168" s="17" t="s">
        <v>336</v>
      </c>
      <c r="Z168" s="17" t="s">
        <v>414</v>
      </c>
      <c r="AA168" s="31">
        <v>781265.29427299998</v>
      </c>
      <c r="AB168" s="31">
        <v>2425451.9044599999</v>
      </c>
    </row>
    <row r="169" spans="1:28">
      <c r="A169" s="30">
        <v>168</v>
      </c>
      <c r="B169" s="17">
        <v>611122</v>
      </c>
      <c r="C169" s="17" t="s">
        <v>331</v>
      </c>
      <c r="D169" s="17" t="s">
        <v>689</v>
      </c>
      <c r="E169" s="17" t="s">
        <v>968</v>
      </c>
      <c r="F169" s="17" t="s">
        <v>1118</v>
      </c>
      <c r="G169" s="17" t="s">
        <v>240</v>
      </c>
      <c r="H169" s="17" t="s">
        <v>94</v>
      </c>
      <c r="I169" s="17">
        <v>20126</v>
      </c>
      <c r="J169" s="17" t="s">
        <v>54</v>
      </c>
      <c r="K169" s="17" t="s">
        <v>63</v>
      </c>
      <c r="L169" s="17" t="s">
        <v>20</v>
      </c>
      <c r="M169" s="17" t="s">
        <v>644</v>
      </c>
      <c r="N169" s="17" t="s">
        <v>20</v>
      </c>
      <c r="O169" s="17" t="s">
        <v>427</v>
      </c>
      <c r="P169" s="17" t="s">
        <v>56</v>
      </c>
      <c r="Q169" s="17" t="s">
        <v>336</v>
      </c>
      <c r="R169" s="17" t="s">
        <v>20</v>
      </c>
      <c r="S169" s="17" t="s">
        <v>436</v>
      </c>
      <c r="T169" s="17">
        <v>125</v>
      </c>
      <c r="U169" s="18">
        <v>4492210710</v>
      </c>
      <c r="W169" s="17" t="s">
        <v>969</v>
      </c>
      <c r="X169" s="17" t="s">
        <v>66</v>
      </c>
      <c r="Y169" s="17" t="s">
        <v>336</v>
      </c>
      <c r="Z169" s="17" t="s">
        <v>414</v>
      </c>
      <c r="AA169" s="31">
        <v>781018.14631700004</v>
      </c>
      <c r="AB169" s="31">
        <v>2427151.3853699998</v>
      </c>
    </row>
    <row r="170" spans="1:28">
      <c r="A170" s="30">
        <v>169</v>
      </c>
      <c r="B170" s="17">
        <v>611122</v>
      </c>
      <c r="C170" s="17" t="s">
        <v>331</v>
      </c>
      <c r="D170" s="17" t="s">
        <v>689</v>
      </c>
      <c r="E170" s="17" t="s">
        <v>970</v>
      </c>
      <c r="F170" s="17" t="s">
        <v>1118</v>
      </c>
      <c r="G170" s="17" t="s">
        <v>240</v>
      </c>
      <c r="H170" s="17" t="s">
        <v>94</v>
      </c>
      <c r="I170" s="17">
        <v>20126</v>
      </c>
      <c r="J170" s="17" t="s">
        <v>54</v>
      </c>
      <c r="K170" s="17" t="s">
        <v>73</v>
      </c>
      <c r="L170" s="17" t="s">
        <v>20</v>
      </c>
      <c r="M170" s="17" t="s">
        <v>644</v>
      </c>
      <c r="N170" s="17" t="s">
        <v>20</v>
      </c>
      <c r="O170" s="17" t="s">
        <v>427</v>
      </c>
      <c r="P170" s="17" t="s">
        <v>56</v>
      </c>
      <c r="Q170" s="17" t="s">
        <v>336</v>
      </c>
      <c r="R170" s="17" t="s">
        <v>20</v>
      </c>
      <c r="S170" s="17" t="s">
        <v>436</v>
      </c>
      <c r="T170" s="17">
        <v>125</v>
      </c>
      <c r="U170" s="18">
        <v>0</v>
      </c>
      <c r="W170" s="17" t="s">
        <v>971</v>
      </c>
      <c r="X170" s="17" t="s">
        <v>66</v>
      </c>
      <c r="Y170" s="17" t="s">
        <v>336</v>
      </c>
      <c r="Z170" s="17" t="s">
        <v>414</v>
      </c>
      <c r="AA170" s="31">
        <v>781011.99363799999</v>
      </c>
      <c r="AB170" s="31">
        <v>2427151.90228</v>
      </c>
    </row>
    <row r="171" spans="1:28">
      <c r="A171" s="30">
        <v>170</v>
      </c>
      <c r="B171" s="17">
        <v>611122</v>
      </c>
      <c r="C171" s="17" t="s">
        <v>331</v>
      </c>
      <c r="D171" s="17" t="s">
        <v>689</v>
      </c>
      <c r="E171" s="17" t="s">
        <v>972</v>
      </c>
      <c r="F171" s="17" t="s">
        <v>1118</v>
      </c>
      <c r="G171" s="17" t="s">
        <v>240</v>
      </c>
      <c r="H171" s="17" t="s">
        <v>94</v>
      </c>
      <c r="I171" s="17">
        <v>20126</v>
      </c>
      <c r="J171" s="17" t="s">
        <v>54</v>
      </c>
      <c r="K171" s="17" t="s">
        <v>73</v>
      </c>
      <c r="L171" s="17" t="s">
        <v>20</v>
      </c>
      <c r="M171" s="17" t="s">
        <v>421</v>
      </c>
      <c r="N171" s="17" t="s">
        <v>20</v>
      </c>
      <c r="O171" s="17" t="s">
        <v>429</v>
      </c>
      <c r="P171" s="17" t="s">
        <v>20</v>
      </c>
      <c r="Q171" s="17" t="s">
        <v>435</v>
      </c>
      <c r="R171" s="17" t="s">
        <v>20</v>
      </c>
      <c r="S171" s="17" t="s">
        <v>424</v>
      </c>
      <c r="T171" s="17">
        <v>1103</v>
      </c>
      <c r="U171" s="18">
        <v>0</v>
      </c>
      <c r="X171" s="17" t="s">
        <v>66</v>
      </c>
      <c r="Y171" s="17" t="s">
        <v>336</v>
      </c>
      <c r="Z171" s="17" t="s">
        <v>414</v>
      </c>
      <c r="AA171" s="31">
        <v>781003.45568100002</v>
      </c>
      <c r="AB171" s="31">
        <v>2427948.8231100002</v>
      </c>
    </row>
    <row r="172" spans="1:28">
      <c r="A172" s="30">
        <v>171</v>
      </c>
      <c r="B172" s="17">
        <v>611122</v>
      </c>
      <c r="C172" s="17" t="s">
        <v>331</v>
      </c>
      <c r="D172" s="17" t="s">
        <v>689</v>
      </c>
      <c r="E172" s="17" t="s">
        <v>973</v>
      </c>
      <c r="F172" s="17" t="s">
        <v>1118</v>
      </c>
      <c r="G172" s="17" t="s">
        <v>240</v>
      </c>
      <c r="H172" s="17" t="s">
        <v>94</v>
      </c>
      <c r="I172" s="17">
        <v>20126</v>
      </c>
      <c r="J172" s="17" t="s">
        <v>54</v>
      </c>
      <c r="K172" s="17" t="s">
        <v>63</v>
      </c>
      <c r="L172" s="17" t="s">
        <v>20</v>
      </c>
      <c r="M172" s="17" t="s">
        <v>641</v>
      </c>
      <c r="N172" s="17" t="s">
        <v>58</v>
      </c>
      <c r="O172" s="17" t="s">
        <v>647</v>
      </c>
      <c r="P172" s="17" t="s">
        <v>20</v>
      </c>
      <c r="Q172" s="17" t="s">
        <v>648</v>
      </c>
      <c r="R172" s="17" t="s">
        <v>20</v>
      </c>
      <c r="S172" s="17" t="s">
        <v>649</v>
      </c>
      <c r="T172" s="17">
        <v>120</v>
      </c>
      <c r="U172" s="18">
        <v>0</v>
      </c>
      <c r="V172" s="17" t="s">
        <v>974</v>
      </c>
      <c r="X172" s="17" t="s">
        <v>113</v>
      </c>
      <c r="Y172" s="17" t="s">
        <v>336</v>
      </c>
      <c r="Z172" s="17" t="s">
        <v>414</v>
      </c>
      <c r="AA172" s="31">
        <v>782400.59631599998</v>
      </c>
      <c r="AB172" s="31">
        <v>2427116.7187899998</v>
      </c>
    </row>
    <row r="173" spans="1:28">
      <c r="A173" s="30">
        <v>172</v>
      </c>
      <c r="B173" s="17">
        <v>611122</v>
      </c>
      <c r="C173" s="17" t="s">
        <v>331</v>
      </c>
      <c r="D173" s="17" t="s">
        <v>689</v>
      </c>
      <c r="E173" s="17" t="s">
        <v>975</v>
      </c>
      <c r="F173" s="17" t="s">
        <v>1118</v>
      </c>
      <c r="G173" s="17" t="s">
        <v>240</v>
      </c>
      <c r="H173" s="17" t="s">
        <v>94</v>
      </c>
      <c r="I173" s="17">
        <v>20126</v>
      </c>
      <c r="J173" s="17" t="s">
        <v>54</v>
      </c>
      <c r="K173" s="17" t="s">
        <v>73</v>
      </c>
      <c r="L173" s="17" t="s">
        <v>20</v>
      </c>
      <c r="M173" s="17" t="s">
        <v>641</v>
      </c>
      <c r="N173" s="17" t="s">
        <v>58</v>
      </c>
      <c r="O173" s="17" t="s">
        <v>647</v>
      </c>
      <c r="P173" s="17" t="s">
        <v>20</v>
      </c>
      <c r="Q173" s="17" t="s">
        <v>648</v>
      </c>
      <c r="R173" s="17" t="s">
        <v>20</v>
      </c>
      <c r="S173" s="17" t="s">
        <v>649</v>
      </c>
      <c r="T173" s="17">
        <v>120</v>
      </c>
      <c r="U173" s="18">
        <v>0</v>
      </c>
      <c r="V173" s="17" t="s">
        <v>976</v>
      </c>
      <c r="X173" s="17" t="s">
        <v>60</v>
      </c>
      <c r="Y173" s="17" t="s">
        <v>336</v>
      </c>
      <c r="Z173" s="17" t="s">
        <v>414</v>
      </c>
      <c r="AA173" s="31">
        <v>782400.59631599998</v>
      </c>
      <c r="AB173" s="31">
        <v>2427116.7187899998</v>
      </c>
    </row>
    <row r="174" spans="1:28">
      <c r="A174" s="30">
        <v>173</v>
      </c>
      <c r="B174" s="17">
        <v>611122</v>
      </c>
      <c r="C174" s="17" t="s">
        <v>331</v>
      </c>
      <c r="D174" s="17" t="s">
        <v>689</v>
      </c>
      <c r="E174" s="17" t="s">
        <v>977</v>
      </c>
      <c r="F174" s="17" t="s">
        <v>1118</v>
      </c>
      <c r="G174" s="17" t="s">
        <v>240</v>
      </c>
      <c r="H174" s="17" t="s">
        <v>69</v>
      </c>
      <c r="I174" s="17">
        <v>20150</v>
      </c>
      <c r="J174" s="17" t="s">
        <v>54</v>
      </c>
      <c r="K174" s="17" t="s">
        <v>73</v>
      </c>
      <c r="L174" s="17" t="s">
        <v>20</v>
      </c>
      <c r="M174" s="17" t="s">
        <v>430</v>
      </c>
      <c r="N174" s="17" t="s">
        <v>20</v>
      </c>
      <c r="O174" s="17" t="s">
        <v>392</v>
      </c>
      <c r="P174" s="17" t="s">
        <v>20</v>
      </c>
      <c r="Q174" s="17" t="s">
        <v>408</v>
      </c>
      <c r="R174" s="17" t="s">
        <v>20</v>
      </c>
      <c r="S174" s="17" t="s">
        <v>430</v>
      </c>
      <c r="T174" s="17">
        <v>0</v>
      </c>
      <c r="U174" s="18">
        <v>0</v>
      </c>
      <c r="X174" s="17" t="s">
        <v>66</v>
      </c>
      <c r="Y174" s="17" t="s">
        <v>309</v>
      </c>
      <c r="Z174" s="17" t="s">
        <v>414</v>
      </c>
      <c r="AA174" s="31">
        <v>781083.50688600005</v>
      </c>
      <c r="AB174" s="31">
        <v>2424651.3556400002</v>
      </c>
    </row>
    <row r="175" spans="1:28">
      <c r="A175" s="30">
        <v>174</v>
      </c>
      <c r="B175" s="17">
        <v>611122</v>
      </c>
      <c r="C175" s="17" t="s">
        <v>331</v>
      </c>
      <c r="D175" s="17" t="s">
        <v>689</v>
      </c>
      <c r="E175" s="17" t="s">
        <v>978</v>
      </c>
      <c r="F175" s="17" t="s">
        <v>1118</v>
      </c>
      <c r="G175" s="17" t="s">
        <v>240</v>
      </c>
      <c r="H175" s="17" t="s">
        <v>69</v>
      </c>
      <c r="I175" s="17">
        <v>20150</v>
      </c>
      <c r="J175" s="17" t="s">
        <v>54</v>
      </c>
      <c r="K175" s="17" t="s">
        <v>73</v>
      </c>
      <c r="L175" s="17" t="s">
        <v>20</v>
      </c>
      <c r="M175" s="17" t="s">
        <v>413</v>
      </c>
      <c r="N175" s="17" t="s">
        <v>20</v>
      </c>
      <c r="O175" s="17" t="s">
        <v>392</v>
      </c>
      <c r="P175" s="17" t="s">
        <v>20</v>
      </c>
      <c r="Q175" s="17" t="s">
        <v>408</v>
      </c>
      <c r="R175" s="17" t="s">
        <v>20</v>
      </c>
      <c r="S175" s="17" t="s">
        <v>430</v>
      </c>
      <c r="T175" s="17">
        <v>401</v>
      </c>
      <c r="U175" s="18">
        <v>0</v>
      </c>
      <c r="V175" s="17" t="s">
        <v>979</v>
      </c>
      <c r="X175" s="17" t="s">
        <v>66</v>
      </c>
      <c r="Y175" s="17" t="s">
        <v>309</v>
      </c>
      <c r="Z175" s="17" t="s">
        <v>414</v>
      </c>
      <c r="AA175" s="31">
        <v>781045.74635200005</v>
      </c>
      <c r="AB175" s="31">
        <v>2424625.11466</v>
      </c>
    </row>
    <row r="176" spans="1:28">
      <c r="A176" s="30">
        <v>175</v>
      </c>
      <c r="B176" s="17">
        <v>611122</v>
      </c>
      <c r="C176" s="17" t="s">
        <v>331</v>
      </c>
      <c r="D176" s="17" t="s">
        <v>689</v>
      </c>
      <c r="E176" s="17" t="s">
        <v>980</v>
      </c>
      <c r="F176" s="17" t="s">
        <v>1118</v>
      </c>
      <c r="G176" s="17" t="s">
        <v>713</v>
      </c>
      <c r="H176" s="17" t="s">
        <v>94</v>
      </c>
      <c r="I176" s="17">
        <v>20169</v>
      </c>
      <c r="J176" s="17" t="s">
        <v>54</v>
      </c>
      <c r="K176" s="17" t="s">
        <v>63</v>
      </c>
      <c r="L176" s="17" t="s">
        <v>20</v>
      </c>
      <c r="M176" s="17" t="s">
        <v>441</v>
      </c>
      <c r="N176" s="17" t="s">
        <v>20</v>
      </c>
      <c r="O176" s="17" t="s">
        <v>574</v>
      </c>
      <c r="P176" s="17" t="s">
        <v>20</v>
      </c>
      <c r="Q176" s="17" t="s">
        <v>442</v>
      </c>
      <c r="R176" s="17" t="s">
        <v>20</v>
      </c>
      <c r="S176" s="17" t="s">
        <v>797</v>
      </c>
      <c r="T176" s="17">
        <v>0</v>
      </c>
      <c r="U176" s="18">
        <v>4494148779</v>
      </c>
      <c r="V176" s="17" t="s">
        <v>981</v>
      </c>
      <c r="X176" s="17" t="s">
        <v>66</v>
      </c>
      <c r="Y176" s="17" t="s">
        <v>309</v>
      </c>
      <c r="Z176" s="17" t="s">
        <v>414</v>
      </c>
      <c r="AA176" s="31">
        <v>781257.43845500005</v>
      </c>
      <c r="AB176" s="31">
        <v>2423997.4931600001</v>
      </c>
    </row>
    <row r="177" spans="1:28">
      <c r="A177" s="30">
        <v>176</v>
      </c>
      <c r="B177" s="17">
        <v>611122</v>
      </c>
      <c r="C177" s="17" t="s">
        <v>331</v>
      </c>
      <c r="D177" s="17" t="s">
        <v>689</v>
      </c>
      <c r="E177" s="17" t="s">
        <v>982</v>
      </c>
      <c r="F177" s="17" t="s">
        <v>1118</v>
      </c>
      <c r="G177" s="17" t="s">
        <v>713</v>
      </c>
      <c r="H177" s="17" t="s">
        <v>94</v>
      </c>
      <c r="I177" s="17">
        <v>20170</v>
      </c>
      <c r="J177" s="17" t="s">
        <v>54</v>
      </c>
      <c r="K177" s="17" t="s">
        <v>73</v>
      </c>
      <c r="L177" s="17" t="s">
        <v>56</v>
      </c>
      <c r="M177" s="17" t="s">
        <v>438</v>
      </c>
      <c r="N177" s="17" t="s">
        <v>56</v>
      </c>
      <c r="O177" s="17" t="s">
        <v>439</v>
      </c>
      <c r="P177" s="17" t="s">
        <v>56</v>
      </c>
      <c r="Q177" s="17" t="s">
        <v>440</v>
      </c>
      <c r="R177" s="17" t="s">
        <v>56</v>
      </c>
      <c r="S177" s="17" t="s">
        <v>439</v>
      </c>
      <c r="T177" s="17">
        <v>605</v>
      </c>
      <c r="U177" s="18">
        <v>0</v>
      </c>
      <c r="V177" s="17" t="s">
        <v>983</v>
      </c>
      <c r="X177" s="17" t="s">
        <v>66</v>
      </c>
      <c r="Y177" s="17" t="s">
        <v>309</v>
      </c>
      <c r="Z177" s="17" t="s">
        <v>414</v>
      </c>
      <c r="AA177" s="31">
        <v>781678.90098999999</v>
      </c>
      <c r="AB177" s="31">
        <v>2423986.37163</v>
      </c>
    </row>
    <row r="178" spans="1:28">
      <c r="A178" s="30">
        <v>177</v>
      </c>
      <c r="B178" s="17">
        <v>611122</v>
      </c>
      <c r="C178" s="17" t="s">
        <v>331</v>
      </c>
      <c r="D178" s="17" t="s">
        <v>689</v>
      </c>
      <c r="E178" s="17" t="s">
        <v>984</v>
      </c>
      <c r="F178" s="17" t="s">
        <v>1118</v>
      </c>
      <c r="G178" s="17" t="s">
        <v>240</v>
      </c>
      <c r="H178" s="17" t="s">
        <v>69</v>
      </c>
      <c r="I178" s="17">
        <v>20342</v>
      </c>
      <c r="J178" s="17" t="s">
        <v>54</v>
      </c>
      <c r="K178" s="17" t="s">
        <v>63</v>
      </c>
      <c r="L178" s="17" t="s">
        <v>56</v>
      </c>
      <c r="M178" s="17" t="s">
        <v>137</v>
      </c>
      <c r="O178" s="17" t="s">
        <v>59</v>
      </c>
      <c r="P178" s="17" t="s">
        <v>56</v>
      </c>
      <c r="Q178" s="17" t="s">
        <v>59</v>
      </c>
      <c r="R178" s="17" t="s">
        <v>56</v>
      </c>
      <c r="S178" s="17" t="s">
        <v>59</v>
      </c>
      <c r="T178" s="17">
        <v>0</v>
      </c>
      <c r="U178" s="18">
        <v>0</v>
      </c>
      <c r="X178" s="17" t="s">
        <v>66</v>
      </c>
      <c r="Y178" s="17" t="s">
        <v>145</v>
      </c>
      <c r="Z178" s="17" t="s">
        <v>443</v>
      </c>
      <c r="AA178" s="31">
        <v>779751.66412700003</v>
      </c>
      <c r="AB178" s="31">
        <v>2416202.5749400002</v>
      </c>
    </row>
    <row r="179" spans="1:28">
      <c r="A179" s="30">
        <v>178</v>
      </c>
      <c r="B179" s="17">
        <v>611122</v>
      </c>
      <c r="C179" s="17" t="s">
        <v>331</v>
      </c>
      <c r="D179" s="17" t="s">
        <v>689</v>
      </c>
      <c r="E179" s="17" t="s">
        <v>985</v>
      </c>
      <c r="F179" s="17" t="s">
        <v>1118</v>
      </c>
      <c r="G179" s="17" t="s">
        <v>240</v>
      </c>
      <c r="H179" s="17" t="s">
        <v>78</v>
      </c>
      <c r="I179" s="17">
        <v>20340</v>
      </c>
      <c r="J179" s="17" t="s">
        <v>54</v>
      </c>
      <c r="K179" s="17" t="s">
        <v>73</v>
      </c>
      <c r="L179" s="17" t="s">
        <v>20</v>
      </c>
      <c r="M179" s="17" t="s">
        <v>72</v>
      </c>
      <c r="N179" s="17" t="s">
        <v>20</v>
      </c>
      <c r="O179" s="17" t="s">
        <v>71</v>
      </c>
      <c r="P179" s="17" t="s">
        <v>20</v>
      </c>
      <c r="Q179" s="17" t="s">
        <v>444</v>
      </c>
      <c r="R179" s="17" t="s">
        <v>20</v>
      </c>
      <c r="S179" s="17" t="s">
        <v>650</v>
      </c>
      <c r="T179" s="17">
        <v>0</v>
      </c>
      <c r="U179" s="18">
        <v>4492989357</v>
      </c>
      <c r="X179" s="17" t="s">
        <v>64</v>
      </c>
      <c r="Y179" s="17" t="s">
        <v>178</v>
      </c>
      <c r="Z179" s="17" t="s">
        <v>443</v>
      </c>
      <c r="AA179" s="31">
        <v>781828.56738699996</v>
      </c>
      <c r="AB179" s="31">
        <v>2413266.02807</v>
      </c>
    </row>
    <row r="180" spans="1:28">
      <c r="A180" s="30">
        <v>179</v>
      </c>
      <c r="B180" s="17">
        <v>611122</v>
      </c>
      <c r="C180" s="17" t="s">
        <v>331</v>
      </c>
      <c r="D180" s="17" t="s">
        <v>689</v>
      </c>
      <c r="E180" s="17" t="s">
        <v>986</v>
      </c>
      <c r="F180" s="17" t="s">
        <v>1118</v>
      </c>
      <c r="G180" s="17" t="s">
        <v>240</v>
      </c>
      <c r="H180" s="17" t="s">
        <v>78</v>
      </c>
      <c r="I180" s="17">
        <v>20340</v>
      </c>
      <c r="J180" s="17" t="s">
        <v>54</v>
      </c>
      <c r="K180" s="17" t="s">
        <v>73</v>
      </c>
      <c r="L180" s="17" t="s">
        <v>20</v>
      </c>
      <c r="M180" s="17" t="s">
        <v>72</v>
      </c>
      <c r="N180" s="17" t="s">
        <v>20</v>
      </c>
      <c r="O180" s="17" t="s">
        <v>71</v>
      </c>
      <c r="P180" s="17" t="s">
        <v>20</v>
      </c>
      <c r="Q180" s="17" t="s">
        <v>444</v>
      </c>
      <c r="R180" s="17" t="s">
        <v>20</v>
      </c>
      <c r="S180" s="17" t="s">
        <v>650</v>
      </c>
      <c r="T180" s="17">
        <v>0</v>
      </c>
      <c r="U180" s="18">
        <v>4491993584</v>
      </c>
      <c r="V180" s="17" t="s">
        <v>987</v>
      </c>
      <c r="W180" s="17" t="s">
        <v>711</v>
      </c>
      <c r="X180" s="17" t="s">
        <v>66</v>
      </c>
      <c r="Y180" s="17" t="s">
        <v>178</v>
      </c>
      <c r="Z180" s="17" t="s">
        <v>443</v>
      </c>
      <c r="AA180" s="31">
        <v>781832.24629899999</v>
      </c>
      <c r="AB180" s="31">
        <v>2413276.1457500001</v>
      </c>
    </row>
    <row r="181" spans="1:28">
      <c r="A181" s="30">
        <v>180</v>
      </c>
      <c r="B181" s="17">
        <v>611122</v>
      </c>
      <c r="C181" s="17" t="s">
        <v>331</v>
      </c>
      <c r="D181" s="17" t="s">
        <v>689</v>
      </c>
      <c r="E181" s="17" t="s">
        <v>988</v>
      </c>
      <c r="F181" s="17" t="s">
        <v>1118</v>
      </c>
      <c r="G181" s="17" t="s">
        <v>240</v>
      </c>
      <c r="H181" s="17" t="s">
        <v>94</v>
      </c>
      <c r="I181" s="17">
        <v>20298</v>
      </c>
      <c r="J181" s="17" t="s">
        <v>54</v>
      </c>
      <c r="K181" s="17" t="s">
        <v>55</v>
      </c>
      <c r="L181" s="17" t="s">
        <v>56</v>
      </c>
      <c r="M181" s="17" t="s">
        <v>445</v>
      </c>
      <c r="O181" s="17" t="s">
        <v>560</v>
      </c>
      <c r="P181" s="17" t="s">
        <v>20</v>
      </c>
      <c r="Q181" s="17" t="s">
        <v>989</v>
      </c>
      <c r="R181" s="17" t="s">
        <v>20</v>
      </c>
      <c r="S181" s="17" t="s">
        <v>989</v>
      </c>
      <c r="T181" s="17">
        <v>301</v>
      </c>
      <c r="U181" s="18">
        <v>0</v>
      </c>
      <c r="W181" s="17" t="s">
        <v>990</v>
      </c>
      <c r="X181" s="17" t="s">
        <v>60</v>
      </c>
      <c r="Y181" s="17" t="s">
        <v>178</v>
      </c>
      <c r="Z181" s="17" t="s">
        <v>443</v>
      </c>
      <c r="AA181" s="31">
        <v>782526.02706600004</v>
      </c>
      <c r="AB181" s="31">
        <v>2413760.2382700001</v>
      </c>
    </row>
    <row r="182" spans="1:28">
      <c r="A182" s="30">
        <v>181</v>
      </c>
      <c r="B182" s="17">
        <v>611122</v>
      </c>
      <c r="C182" s="17" t="s">
        <v>331</v>
      </c>
      <c r="D182" s="17" t="s">
        <v>689</v>
      </c>
      <c r="E182" s="17" t="s">
        <v>991</v>
      </c>
      <c r="F182" s="17" t="s">
        <v>1118</v>
      </c>
      <c r="G182" s="17" t="s">
        <v>240</v>
      </c>
      <c r="H182" s="17" t="s">
        <v>94</v>
      </c>
      <c r="I182" s="17">
        <v>20298</v>
      </c>
      <c r="J182" s="17" t="s">
        <v>54</v>
      </c>
      <c r="K182" s="17" t="s">
        <v>63</v>
      </c>
      <c r="L182" s="17" t="s">
        <v>56</v>
      </c>
      <c r="M182" s="17" t="s">
        <v>445</v>
      </c>
      <c r="O182" s="17" t="s">
        <v>560</v>
      </c>
      <c r="P182" s="17" t="s">
        <v>20</v>
      </c>
      <c r="Q182" s="17" t="s">
        <v>989</v>
      </c>
      <c r="R182" s="17" t="s">
        <v>20</v>
      </c>
      <c r="S182" s="17" t="s">
        <v>989</v>
      </c>
      <c r="T182" s="17">
        <v>301</v>
      </c>
      <c r="U182" s="18">
        <v>0</v>
      </c>
      <c r="X182" s="17" t="s">
        <v>60</v>
      </c>
      <c r="Y182" s="17" t="s">
        <v>178</v>
      </c>
      <c r="Z182" s="17" t="s">
        <v>443</v>
      </c>
      <c r="AA182" s="31">
        <v>782526.02706600004</v>
      </c>
      <c r="AB182" s="31">
        <v>2413760.2382700001</v>
      </c>
    </row>
    <row r="183" spans="1:28">
      <c r="A183" s="30">
        <v>182</v>
      </c>
      <c r="B183" s="17">
        <v>611122</v>
      </c>
      <c r="C183" s="17" t="s">
        <v>331</v>
      </c>
      <c r="D183" s="17" t="s">
        <v>689</v>
      </c>
      <c r="E183" s="17" t="s">
        <v>992</v>
      </c>
      <c r="F183" s="17" t="s">
        <v>1118</v>
      </c>
      <c r="G183" s="17" t="s">
        <v>240</v>
      </c>
      <c r="H183" s="17" t="s">
        <v>99</v>
      </c>
      <c r="I183" s="17">
        <v>20298</v>
      </c>
      <c r="J183" s="17" t="s">
        <v>54</v>
      </c>
      <c r="K183" s="17" t="s">
        <v>55</v>
      </c>
      <c r="L183" s="17" t="s">
        <v>56</v>
      </c>
      <c r="M183" s="17" t="s">
        <v>546</v>
      </c>
      <c r="N183" s="17" t="s">
        <v>20</v>
      </c>
      <c r="O183" s="17" t="s">
        <v>545</v>
      </c>
      <c r="P183" s="17" t="s">
        <v>20</v>
      </c>
      <c r="Q183" s="17" t="s">
        <v>59</v>
      </c>
      <c r="R183" s="17" t="s">
        <v>20</v>
      </c>
      <c r="S183" s="17" t="s">
        <v>59</v>
      </c>
      <c r="T183" s="17">
        <v>0</v>
      </c>
      <c r="U183" s="18">
        <v>0</v>
      </c>
      <c r="V183" s="17" t="s">
        <v>993</v>
      </c>
      <c r="W183" s="17" t="s">
        <v>760</v>
      </c>
      <c r="X183" s="17" t="s">
        <v>60</v>
      </c>
      <c r="Y183" s="17" t="s">
        <v>178</v>
      </c>
      <c r="Z183" s="17" t="s">
        <v>443</v>
      </c>
      <c r="AA183" s="31">
        <v>783284.170836</v>
      </c>
      <c r="AB183" s="31">
        <v>2412257.6262699999</v>
      </c>
    </row>
    <row r="184" spans="1:28">
      <c r="A184" s="30">
        <v>183</v>
      </c>
      <c r="B184" s="17">
        <v>611122</v>
      </c>
      <c r="C184" s="17" t="s">
        <v>331</v>
      </c>
      <c r="D184" s="17" t="s">
        <v>689</v>
      </c>
      <c r="E184" s="17" t="s">
        <v>994</v>
      </c>
      <c r="F184" s="17" t="s">
        <v>1118</v>
      </c>
      <c r="G184" s="17" t="s">
        <v>240</v>
      </c>
      <c r="H184" s="17" t="s">
        <v>94</v>
      </c>
      <c r="I184" s="17">
        <v>20126</v>
      </c>
      <c r="J184" s="17" t="s">
        <v>54</v>
      </c>
      <c r="K184" s="17" t="s">
        <v>63</v>
      </c>
      <c r="L184" s="17" t="s">
        <v>20</v>
      </c>
      <c r="M184" s="17" t="s">
        <v>463</v>
      </c>
      <c r="N184" s="17" t="s">
        <v>20</v>
      </c>
      <c r="O184" s="17" t="s">
        <v>446</v>
      </c>
      <c r="P184" s="17" t="s">
        <v>56</v>
      </c>
      <c r="Q184" s="17" t="s">
        <v>449</v>
      </c>
      <c r="R184" s="17" t="s">
        <v>20</v>
      </c>
      <c r="S184" s="17" t="s">
        <v>651</v>
      </c>
      <c r="T184" s="17">
        <v>0</v>
      </c>
      <c r="U184" s="18">
        <v>0</v>
      </c>
      <c r="X184" s="17" t="s">
        <v>60</v>
      </c>
      <c r="Y184" s="17" t="s">
        <v>336</v>
      </c>
      <c r="Z184" s="17" t="s">
        <v>448</v>
      </c>
      <c r="AA184" s="31">
        <v>782774.61249299999</v>
      </c>
      <c r="AB184" s="31">
        <v>2428241.21245</v>
      </c>
    </row>
    <row r="185" spans="1:28">
      <c r="A185" s="30">
        <v>184</v>
      </c>
      <c r="B185" s="17">
        <v>611122</v>
      </c>
      <c r="C185" s="17" t="s">
        <v>331</v>
      </c>
      <c r="D185" s="17" t="s">
        <v>689</v>
      </c>
      <c r="E185" s="17" t="s">
        <v>995</v>
      </c>
      <c r="F185" s="17" t="s">
        <v>1118</v>
      </c>
      <c r="G185" s="17" t="s">
        <v>996</v>
      </c>
      <c r="H185" s="17" t="s">
        <v>94</v>
      </c>
      <c r="I185" s="17">
        <v>20126</v>
      </c>
      <c r="J185" s="17" t="s">
        <v>54</v>
      </c>
      <c r="K185" s="17" t="s">
        <v>63</v>
      </c>
      <c r="L185" s="17" t="s">
        <v>20</v>
      </c>
      <c r="M185" s="17" t="s">
        <v>463</v>
      </c>
      <c r="N185" s="17" t="s">
        <v>20</v>
      </c>
      <c r="O185" s="17" t="s">
        <v>446</v>
      </c>
      <c r="P185" s="17" t="s">
        <v>56</v>
      </c>
      <c r="Q185" s="17" t="s">
        <v>449</v>
      </c>
      <c r="R185" s="17" t="s">
        <v>20</v>
      </c>
      <c r="S185" s="17" t="s">
        <v>997</v>
      </c>
      <c r="T185" s="17">
        <v>0</v>
      </c>
      <c r="U185" s="18">
        <v>0</v>
      </c>
      <c r="X185" s="17" t="s">
        <v>60</v>
      </c>
      <c r="Y185" s="17" t="s">
        <v>336</v>
      </c>
      <c r="Z185" s="17" t="s">
        <v>448</v>
      </c>
      <c r="AA185" s="31">
        <v>782774.01082800003</v>
      </c>
      <c r="AB185" s="31">
        <v>2428241.5574099999</v>
      </c>
    </row>
    <row r="186" spans="1:28">
      <c r="A186" s="30">
        <v>185</v>
      </c>
      <c r="B186" s="17">
        <v>611122</v>
      </c>
      <c r="C186" s="17" t="s">
        <v>331</v>
      </c>
      <c r="D186" s="17" t="s">
        <v>689</v>
      </c>
      <c r="E186" s="17" t="s">
        <v>998</v>
      </c>
      <c r="F186" s="17" t="s">
        <v>1118</v>
      </c>
      <c r="G186" s="17" t="s">
        <v>999</v>
      </c>
      <c r="H186" s="17" t="s">
        <v>94</v>
      </c>
      <c r="I186" s="17">
        <v>20126</v>
      </c>
      <c r="J186" s="17" t="s">
        <v>54</v>
      </c>
      <c r="K186" s="17" t="s">
        <v>73</v>
      </c>
      <c r="L186" s="17" t="s">
        <v>20</v>
      </c>
      <c r="M186" s="17" t="s">
        <v>456</v>
      </c>
      <c r="N186" s="17" t="s">
        <v>56</v>
      </c>
      <c r="O186" s="17" t="s">
        <v>314</v>
      </c>
      <c r="P186" s="17" t="s">
        <v>20</v>
      </c>
      <c r="Q186" s="17" t="s">
        <v>452</v>
      </c>
      <c r="R186" s="17" t="s">
        <v>20</v>
      </c>
      <c r="S186" s="17" t="s">
        <v>1000</v>
      </c>
      <c r="T186" s="17">
        <v>202</v>
      </c>
      <c r="U186" s="18">
        <v>0</v>
      </c>
      <c r="X186" s="17" t="s">
        <v>64</v>
      </c>
      <c r="Y186" s="17" t="s">
        <v>336</v>
      </c>
      <c r="Z186" s="17" t="s">
        <v>448</v>
      </c>
      <c r="AA186" s="31">
        <v>782918.92389400001</v>
      </c>
      <c r="AB186" s="31">
        <v>2427326.8448000001</v>
      </c>
    </row>
    <row r="187" spans="1:28">
      <c r="A187" s="30">
        <v>186</v>
      </c>
      <c r="B187" s="17">
        <v>611122</v>
      </c>
      <c r="C187" s="17" t="s">
        <v>331</v>
      </c>
      <c r="D187" s="17" t="s">
        <v>689</v>
      </c>
      <c r="E187" s="17" t="s">
        <v>1001</v>
      </c>
      <c r="F187" s="17" t="s">
        <v>1118</v>
      </c>
      <c r="G187" s="17" t="s">
        <v>713</v>
      </c>
      <c r="H187" s="17" t="s">
        <v>94</v>
      </c>
      <c r="I187" s="17">
        <v>20126</v>
      </c>
      <c r="J187" s="17" t="s">
        <v>54</v>
      </c>
      <c r="K187" s="17" t="s">
        <v>73</v>
      </c>
      <c r="L187" s="17" t="s">
        <v>20</v>
      </c>
      <c r="M187" s="17" t="s">
        <v>456</v>
      </c>
      <c r="N187" s="17" t="s">
        <v>56</v>
      </c>
      <c r="O187" s="17" t="s">
        <v>314</v>
      </c>
      <c r="P187" s="17" t="s">
        <v>20</v>
      </c>
      <c r="Q187" s="17" t="s">
        <v>452</v>
      </c>
      <c r="R187" s="17" t="s">
        <v>20</v>
      </c>
      <c r="S187" s="17" t="s">
        <v>1000</v>
      </c>
      <c r="T187" s="17">
        <v>0</v>
      </c>
      <c r="U187" s="18">
        <v>0</v>
      </c>
      <c r="X187" s="17" t="s">
        <v>66</v>
      </c>
      <c r="Y187" s="17" t="s">
        <v>336</v>
      </c>
      <c r="Z187" s="17" t="s">
        <v>448</v>
      </c>
      <c r="AA187" s="31">
        <v>782917.84966599999</v>
      </c>
      <c r="AB187" s="31">
        <v>2427324.9340499998</v>
      </c>
    </row>
    <row r="188" spans="1:28">
      <c r="A188" s="30">
        <v>187</v>
      </c>
      <c r="B188" s="17">
        <v>611122</v>
      </c>
      <c r="C188" s="17" t="s">
        <v>331</v>
      </c>
      <c r="D188" s="17" t="s">
        <v>689</v>
      </c>
      <c r="E188" s="17" t="s">
        <v>1002</v>
      </c>
      <c r="F188" s="17" t="s">
        <v>1118</v>
      </c>
      <c r="G188" s="17" t="s">
        <v>240</v>
      </c>
      <c r="H188" s="17" t="s">
        <v>94</v>
      </c>
      <c r="I188" s="17">
        <v>20126</v>
      </c>
      <c r="J188" s="17" t="s">
        <v>54</v>
      </c>
      <c r="K188" s="17" t="s">
        <v>73</v>
      </c>
      <c r="L188" s="17" t="s">
        <v>20</v>
      </c>
      <c r="M188" s="17" t="s">
        <v>1003</v>
      </c>
      <c r="N188" s="17" t="s">
        <v>20</v>
      </c>
      <c r="O188" s="17" t="s">
        <v>450</v>
      </c>
      <c r="P188" s="17" t="s">
        <v>20</v>
      </c>
      <c r="Q188" s="17" t="s">
        <v>446</v>
      </c>
      <c r="R188" s="17" t="s">
        <v>20</v>
      </c>
      <c r="S188" s="17" t="s">
        <v>447</v>
      </c>
      <c r="T188" s="17">
        <v>0</v>
      </c>
      <c r="U188" s="18">
        <v>4491399595</v>
      </c>
      <c r="X188" s="17" t="s">
        <v>66</v>
      </c>
      <c r="Y188" s="17" t="s">
        <v>336</v>
      </c>
      <c r="Z188" s="17" t="s">
        <v>448</v>
      </c>
      <c r="AA188" s="31">
        <v>782452.98068699997</v>
      </c>
      <c r="AB188" s="31">
        <v>2428010.0548399999</v>
      </c>
    </row>
    <row r="189" spans="1:28">
      <c r="A189" s="30">
        <v>188</v>
      </c>
      <c r="B189" s="17">
        <v>611122</v>
      </c>
      <c r="C189" s="17" t="s">
        <v>331</v>
      </c>
      <c r="D189" s="17" t="s">
        <v>689</v>
      </c>
      <c r="E189" s="17" t="s">
        <v>1004</v>
      </c>
      <c r="F189" s="17" t="s">
        <v>1118</v>
      </c>
      <c r="G189" s="17" t="s">
        <v>240</v>
      </c>
      <c r="H189" s="17" t="s">
        <v>94</v>
      </c>
      <c r="I189" s="17">
        <v>20126</v>
      </c>
      <c r="J189" s="17" t="s">
        <v>54</v>
      </c>
      <c r="K189" s="17" t="s">
        <v>73</v>
      </c>
      <c r="L189" s="17" t="s">
        <v>20</v>
      </c>
      <c r="M189" s="17" t="s">
        <v>1003</v>
      </c>
      <c r="N189" s="17" t="s">
        <v>20</v>
      </c>
      <c r="O189" s="17" t="s">
        <v>450</v>
      </c>
      <c r="P189" s="17" t="s">
        <v>20</v>
      </c>
      <c r="Q189" s="17" t="s">
        <v>446</v>
      </c>
      <c r="R189" s="17" t="s">
        <v>20</v>
      </c>
      <c r="S189" s="17" t="s">
        <v>447</v>
      </c>
      <c r="T189" s="17">
        <v>0</v>
      </c>
      <c r="U189" s="18">
        <v>4491588909</v>
      </c>
      <c r="V189" s="17" t="s">
        <v>1005</v>
      </c>
      <c r="X189" s="17" t="s">
        <v>66</v>
      </c>
      <c r="Y189" s="17" t="s">
        <v>336</v>
      </c>
      <c r="Z189" s="17" t="s">
        <v>448</v>
      </c>
      <c r="AA189" s="31">
        <v>782445.08214199997</v>
      </c>
      <c r="AB189" s="31">
        <v>2427996.1333599999</v>
      </c>
    </row>
    <row r="190" spans="1:28">
      <c r="A190" s="30">
        <v>189</v>
      </c>
      <c r="B190" s="17">
        <v>611122</v>
      </c>
      <c r="C190" s="17" t="s">
        <v>331</v>
      </c>
      <c r="D190" s="17" t="s">
        <v>689</v>
      </c>
      <c r="E190" s="17" t="s">
        <v>1006</v>
      </c>
      <c r="F190" s="17" t="s">
        <v>1118</v>
      </c>
      <c r="G190" s="17" t="s">
        <v>777</v>
      </c>
      <c r="H190" s="17" t="s">
        <v>69</v>
      </c>
      <c r="I190" s="17">
        <v>20172</v>
      </c>
      <c r="J190" s="17" t="s">
        <v>54</v>
      </c>
      <c r="K190" s="17" t="s">
        <v>63</v>
      </c>
      <c r="L190" s="17" t="s">
        <v>20</v>
      </c>
      <c r="M190" s="17" t="s">
        <v>652</v>
      </c>
      <c r="N190" s="17" t="s">
        <v>20</v>
      </c>
      <c r="O190" s="17" t="s">
        <v>652</v>
      </c>
      <c r="P190" s="17" t="s">
        <v>20</v>
      </c>
      <c r="Q190" s="17" t="s">
        <v>1007</v>
      </c>
      <c r="R190" s="17" t="s">
        <v>20</v>
      </c>
      <c r="S190" s="17" t="s">
        <v>1008</v>
      </c>
      <c r="T190" s="17">
        <v>205</v>
      </c>
      <c r="U190" s="18">
        <v>0</v>
      </c>
      <c r="X190" s="17" t="s">
        <v>60</v>
      </c>
      <c r="Y190" s="17" t="s">
        <v>332</v>
      </c>
      <c r="Z190" s="17" t="s">
        <v>448</v>
      </c>
      <c r="AA190" s="31">
        <v>784786.72022799996</v>
      </c>
      <c r="AB190" s="31">
        <v>2427139.2821200001</v>
      </c>
    </row>
    <row r="191" spans="1:28">
      <c r="A191" s="30">
        <v>190</v>
      </c>
      <c r="B191" s="17">
        <v>611122</v>
      </c>
      <c r="C191" s="17" t="s">
        <v>331</v>
      </c>
      <c r="D191" s="17" t="s">
        <v>689</v>
      </c>
      <c r="E191" s="17" t="s">
        <v>1009</v>
      </c>
      <c r="F191" s="17" t="s">
        <v>1118</v>
      </c>
      <c r="G191" s="17" t="s">
        <v>1010</v>
      </c>
      <c r="H191" s="17" t="s">
        <v>69</v>
      </c>
      <c r="I191" s="17">
        <v>20172</v>
      </c>
      <c r="J191" s="17" t="s">
        <v>54</v>
      </c>
      <c r="K191" s="17" t="s">
        <v>55</v>
      </c>
      <c r="L191" s="17" t="s">
        <v>20</v>
      </c>
      <c r="M191" s="17" t="s">
        <v>652</v>
      </c>
      <c r="O191" s="17" t="s">
        <v>1011</v>
      </c>
      <c r="P191" s="17" t="s">
        <v>20</v>
      </c>
      <c r="Q191" s="17" t="s">
        <v>1007</v>
      </c>
      <c r="R191" s="17" t="s">
        <v>20</v>
      </c>
      <c r="S191" s="17" t="s">
        <v>652</v>
      </c>
      <c r="T191" s="17">
        <v>205</v>
      </c>
      <c r="U191" s="18">
        <v>0</v>
      </c>
      <c r="X191" s="17" t="s">
        <v>60</v>
      </c>
      <c r="Y191" s="17" t="s">
        <v>332</v>
      </c>
      <c r="Z191" s="17" t="s">
        <v>448</v>
      </c>
      <c r="AA191" s="31">
        <v>784786.72022799996</v>
      </c>
      <c r="AB191" s="31">
        <v>2427139.2821200001</v>
      </c>
    </row>
    <row r="192" spans="1:28">
      <c r="A192" s="30">
        <v>191</v>
      </c>
      <c r="B192" s="17">
        <v>611122</v>
      </c>
      <c r="C192" s="17" t="s">
        <v>331</v>
      </c>
      <c r="D192" s="17" t="s">
        <v>689</v>
      </c>
      <c r="E192" s="17" t="s">
        <v>1012</v>
      </c>
      <c r="F192" s="17" t="s">
        <v>1118</v>
      </c>
      <c r="G192" s="17" t="s">
        <v>840</v>
      </c>
      <c r="H192" s="17" t="s">
        <v>94</v>
      </c>
      <c r="I192" s="17">
        <v>20172</v>
      </c>
      <c r="J192" s="17" t="s">
        <v>54</v>
      </c>
      <c r="K192" s="17" t="s">
        <v>73</v>
      </c>
      <c r="L192" s="17" t="s">
        <v>20</v>
      </c>
      <c r="M192" s="17" t="s">
        <v>460</v>
      </c>
      <c r="N192" s="17" t="s">
        <v>20</v>
      </c>
      <c r="O192" s="17" t="s">
        <v>268</v>
      </c>
      <c r="P192" s="17" t="s">
        <v>20</v>
      </c>
      <c r="Q192" s="17" t="s">
        <v>457</v>
      </c>
      <c r="R192" s="17" t="s">
        <v>20</v>
      </c>
      <c r="S192" s="17" t="s">
        <v>655</v>
      </c>
      <c r="T192" s="17">
        <v>0</v>
      </c>
      <c r="U192" s="18">
        <v>4499727325</v>
      </c>
      <c r="X192" s="17" t="s">
        <v>66</v>
      </c>
      <c r="Y192" s="17" t="s">
        <v>332</v>
      </c>
      <c r="Z192" s="17" t="s">
        <v>448</v>
      </c>
      <c r="AA192" s="31">
        <v>784102.22412699996</v>
      </c>
      <c r="AB192" s="31">
        <v>2426087.5962700001</v>
      </c>
    </row>
    <row r="193" spans="1:28">
      <c r="A193" s="30">
        <v>192</v>
      </c>
      <c r="B193" s="17">
        <v>611122</v>
      </c>
      <c r="C193" s="17" t="s">
        <v>331</v>
      </c>
      <c r="D193" s="17" t="s">
        <v>689</v>
      </c>
      <c r="E193" s="17" t="s">
        <v>1013</v>
      </c>
      <c r="F193" s="17" t="s">
        <v>1118</v>
      </c>
      <c r="G193" s="17" t="s">
        <v>240</v>
      </c>
      <c r="H193" s="17" t="s">
        <v>94</v>
      </c>
      <c r="I193" s="17">
        <v>20172</v>
      </c>
      <c r="J193" s="17" t="s">
        <v>54</v>
      </c>
      <c r="K193" s="17" t="s">
        <v>73</v>
      </c>
      <c r="L193" s="17" t="s">
        <v>20</v>
      </c>
      <c r="M193" s="17" t="s">
        <v>458</v>
      </c>
      <c r="N193" s="17" t="s">
        <v>20</v>
      </c>
      <c r="O193" s="17" t="s">
        <v>457</v>
      </c>
      <c r="P193" s="17" t="s">
        <v>20</v>
      </c>
      <c r="Q193" s="17" t="s">
        <v>268</v>
      </c>
      <c r="R193" s="17" t="s">
        <v>20</v>
      </c>
      <c r="S193" s="17" t="s">
        <v>654</v>
      </c>
      <c r="T193" s="17">
        <v>0</v>
      </c>
      <c r="U193" s="18">
        <v>0</v>
      </c>
      <c r="X193" s="17" t="s">
        <v>66</v>
      </c>
      <c r="Y193" s="17" t="s">
        <v>332</v>
      </c>
      <c r="Z193" s="17" t="s">
        <v>448</v>
      </c>
      <c r="AA193" s="31">
        <v>784023.89590799995</v>
      </c>
      <c r="AB193" s="31">
        <v>2426008.1465400001</v>
      </c>
    </row>
    <row r="194" spans="1:28">
      <c r="A194" s="30">
        <v>193</v>
      </c>
      <c r="B194" s="17">
        <v>611122</v>
      </c>
      <c r="C194" s="17" t="s">
        <v>331</v>
      </c>
      <c r="D194" s="17" t="s">
        <v>689</v>
      </c>
      <c r="E194" s="17" t="s">
        <v>1014</v>
      </c>
      <c r="F194" s="17" t="s">
        <v>1118</v>
      </c>
      <c r="G194" s="17" t="s">
        <v>240</v>
      </c>
      <c r="H194" s="17" t="s">
        <v>94</v>
      </c>
      <c r="I194" s="17">
        <v>20172</v>
      </c>
      <c r="J194" s="17" t="s">
        <v>54</v>
      </c>
      <c r="K194" s="17" t="s">
        <v>73</v>
      </c>
      <c r="L194" s="17" t="s">
        <v>20</v>
      </c>
      <c r="M194" s="17" t="s">
        <v>460</v>
      </c>
      <c r="N194" s="17" t="s">
        <v>20</v>
      </c>
      <c r="O194" s="17" t="s">
        <v>268</v>
      </c>
      <c r="P194" s="17" t="s">
        <v>20</v>
      </c>
      <c r="Q194" s="17" t="s">
        <v>457</v>
      </c>
      <c r="R194" s="17" t="s">
        <v>20</v>
      </c>
      <c r="S194" s="17" t="s">
        <v>655</v>
      </c>
      <c r="T194" s="17">
        <v>0</v>
      </c>
      <c r="U194" s="18">
        <v>4491588643</v>
      </c>
      <c r="X194" s="17" t="s">
        <v>66</v>
      </c>
      <c r="Y194" s="17" t="s">
        <v>332</v>
      </c>
      <c r="Z194" s="17" t="s">
        <v>448</v>
      </c>
      <c r="AA194" s="31">
        <v>784102.22205900005</v>
      </c>
      <c r="AB194" s="31">
        <v>2426087.5962299998</v>
      </c>
    </row>
    <row r="195" spans="1:28">
      <c r="A195" s="30">
        <v>194</v>
      </c>
      <c r="B195" s="17">
        <v>611122</v>
      </c>
      <c r="C195" s="17" t="s">
        <v>331</v>
      </c>
      <c r="D195" s="17" t="s">
        <v>689</v>
      </c>
      <c r="E195" s="17" t="s">
        <v>1015</v>
      </c>
      <c r="F195" s="17" t="s">
        <v>1118</v>
      </c>
      <c r="G195" s="17" t="s">
        <v>240</v>
      </c>
      <c r="H195" s="17" t="s">
        <v>94</v>
      </c>
      <c r="I195" s="17">
        <v>20172</v>
      </c>
      <c r="J195" s="17" t="s">
        <v>54</v>
      </c>
      <c r="K195" s="17" t="s">
        <v>73</v>
      </c>
      <c r="L195" s="17" t="s">
        <v>20</v>
      </c>
      <c r="M195" s="17" t="s">
        <v>458</v>
      </c>
      <c r="N195" s="17" t="s">
        <v>20</v>
      </c>
      <c r="O195" s="17" t="s">
        <v>457</v>
      </c>
      <c r="P195" s="17" t="s">
        <v>20</v>
      </c>
      <c r="Q195" s="17" t="s">
        <v>268</v>
      </c>
      <c r="R195" s="17" t="s">
        <v>20</v>
      </c>
      <c r="S195" s="17" t="s">
        <v>654</v>
      </c>
      <c r="T195" s="17">
        <v>0</v>
      </c>
      <c r="U195" s="18">
        <v>4499937513</v>
      </c>
      <c r="X195" s="17" t="s">
        <v>66</v>
      </c>
      <c r="Y195" s="17" t="s">
        <v>332</v>
      </c>
      <c r="Z195" s="17" t="s">
        <v>448</v>
      </c>
      <c r="AA195" s="31">
        <v>784022.89328299998</v>
      </c>
      <c r="AB195" s="31">
        <v>2426008.5297099999</v>
      </c>
    </row>
    <row r="196" spans="1:28">
      <c r="A196" s="30">
        <v>195</v>
      </c>
      <c r="B196" s="17">
        <v>611122</v>
      </c>
      <c r="C196" s="17" t="s">
        <v>331</v>
      </c>
      <c r="D196" s="17" t="s">
        <v>689</v>
      </c>
      <c r="E196" s="17" t="s">
        <v>1016</v>
      </c>
      <c r="F196" s="17" t="s">
        <v>1118</v>
      </c>
      <c r="G196" s="17" t="s">
        <v>240</v>
      </c>
      <c r="H196" s="17" t="s">
        <v>94</v>
      </c>
      <c r="I196" s="17">
        <v>20126</v>
      </c>
      <c r="J196" s="17" t="s">
        <v>54</v>
      </c>
      <c r="K196" s="17" t="s">
        <v>73</v>
      </c>
      <c r="L196" s="17" t="s">
        <v>20</v>
      </c>
      <c r="M196" s="17" t="s">
        <v>462</v>
      </c>
      <c r="N196" s="17" t="s">
        <v>20</v>
      </c>
      <c r="O196" s="17" t="s">
        <v>453</v>
      </c>
      <c r="P196" s="17" t="s">
        <v>20</v>
      </c>
      <c r="Q196" s="17" t="s">
        <v>461</v>
      </c>
      <c r="R196" s="17" t="s">
        <v>20</v>
      </c>
      <c r="S196" s="17" t="s">
        <v>661</v>
      </c>
      <c r="T196" s="17">
        <v>301</v>
      </c>
      <c r="U196" s="18">
        <v>0</v>
      </c>
      <c r="X196" s="17" t="s">
        <v>66</v>
      </c>
      <c r="Y196" s="17" t="s">
        <v>332</v>
      </c>
      <c r="Z196" s="17" t="s">
        <v>448</v>
      </c>
      <c r="AA196" s="31">
        <v>783837.41191999998</v>
      </c>
      <c r="AB196" s="31">
        <v>2427796.8572</v>
      </c>
    </row>
    <row r="197" spans="1:28">
      <c r="A197" s="30">
        <v>196</v>
      </c>
      <c r="B197" s="17">
        <v>611122</v>
      </c>
      <c r="C197" s="17" t="s">
        <v>331</v>
      </c>
      <c r="D197" s="17" t="s">
        <v>689</v>
      </c>
      <c r="E197" s="17" t="s">
        <v>1017</v>
      </c>
      <c r="F197" s="17" t="s">
        <v>1118</v>
      </c>
      <c r="G197" s="17" t="s">
        <v>240</v>
      </c>
      <c r="H197" s="17" t="s">
        <v>94</v>
      </c>
      <c r="I197" s="17">
        <v>20126</v>
      </c>
      <c r="J197" s="17" t="s">
        <v>54</v>
      </c>
      <c r="K197" s="17" t="s">
        <v>81</v>
      </c>
      <c r="L197" s="17" t="s">
        <v>20</v>
      </c>
      <c r="M197" s="17" t="s">
        <v>659</v>
      </c>
      <c r="N197" s="17" t="s">
        <v>56</v>
      </c>
      <c r="O197" s="17" t="s">
        <v>455</v>
      </c>
      <c r="P197" s="17" t="s">
        <v>20</v>
      </c>
      <c r="Q197" s="17" t="s">
        <v>451</v>
      </c>
      <c r="R197" s="17" t="s">
        <v>20</v>
      </c>
      <c r="S197" s="17" t="s">
        <v>464</v>
      </c>
      <c r="T197" s="17">
        <v>0</v>
      </c>
      <c r="U197" s="18">
        <v>0</v>
      </c>
      <c r="X197" s="17" t="s">
        <v>64</v>
      </c>
      <c r="Y197" s="17" t="s">
        <v>332</v>
      </c>
      <c r="Z197" s="17" t="s">
        <v>448</v>
      </c>
      <c r="AA197" s="31">
        <v>783471.78325199999</v>
      </c>
      <c r="AB197" s="31">
        <v>2427809.71942</v>
      </c>
    </row>
    <row r="198" spans="1:28">
      <c r="A198" s="30">
        <v>197</v>
      </c>
      <c r="B198" s="17">
        <v>611122</v>
      </c>
      <c r="C198" s="17" t="s">
        <v>331</v>
      </c>
      <c r="D198" s="17" t="s">
        <v>689</v>
      </c>
      <c r="E198" s="17" t="s">
        <v>1018</v>
      </c>
      <c r="F198" s="17" t="s">
        <v>1118</v>
      </c>
      <c r="G198" s="17" t="s">
        <v>240</v>
      </c>
      <c r="H198" s="17" t="s">
        <v>94</v>
      </c>
      <c r="I198" s="17">
        <v>20126</v>
      </c>
      <c r="J198" s="17" t="s">
        <v>54</v>
      </c>
      <c r="K198" s="17" t="s">
        <v>73</v>
      </c>
      <c r="L198" s="17" t="s">
        <v>20</v>
      </c>
      <c r="M198" s="17" t="s">
        <v>462</v>
      </c>
      <c r="N198" s="17" t="s">
        <v>20</v>
      </c>
      <c r="O198" s="17" t="s">
        <v>453</v>
      </c>
      <c r="P198" s="17" t="s">
        <v>20</v>
      </c>
      <c r="Q198" s="17" t="s">
        <v>461</v>
      </c>
      <c r="R198" s="17" t="s">
        <v>20</v>
      </c>
      <c r="S198" s="17" t="s">
        <v>661</v>
      </c>
      <c r="T198" s="17">
        <v>301</v>
      </c>
      <c r="U198" s="18">
        <v>0</v>
      </c>
      <c r="X198" s="17" t="s">
        <v>66</v>
      </c>
      <c r="Y198" s="17" t="s">
        <v>332</v>
      </c>
      <c r="Z198" s="17" t="s">
        <v>448</v>
      </c>
      <c r="AA198" s="31">
        <v>783837.41191999998</v>
      </c>
      <c r="AB198" s="31">
        <v>2427796.8572</v>
      </c>
    </row>
    <row r="199" spans="1:28">
      <c r="A199" s="30">
        <v>198</v>
      </c>
      <c r="B199" s="17">
        <v>611122</v>
      </c>
      <c r="C199" s="17" t="s">
        <v>331</v>
      </c>
      <c r="D199" s="17" t="s">
        <v>689</v>
      </c>
      <c r="E199" s="17" t="s">
        <v>1019</v>
      </c>
      <c r="F199" s="17" t="s">
        <v>1118</v>
      </c>
      <c r="G199" s="17" t="s">
        <v>240</v>
      </c>
      <c r="H199" s="17" t="s">
        <v>94</v>
      </c>
      <c r="I199" s="17">
        <v>20126</v>
      </c>
      <c r="J199" s="17" t="s">
        <v>54</v>
      </c>
      <c r="K199" s="17" t="s">
        <v>81</v>
      </c>
      <c r="L199" s="17" t="s">
        <v>20</v>
      </c>
      <c r="M199" s="17" t="s">
        <v>659</v>
      </c>
      <c r="N199" s="17" t="s">
        <v>56</v>
      </c>
      <c r="O199" s="17" t="s">
        <v>455</v>
      </c>
      <c r="P199" s="17" t="s">
        <v>20</v>
      </c>
      <c r="Q199" s="17" t="s">
        <v>451</v>
      </c>
      <c r="R199" s="17" t="s">
        <v>20</v>
      </c>
      <c r="S199" s="17" t="s">
        <v>464</v>
      </c>
      <c r="T199" s="17">
        <v>0</v>
      </c>
      <c r="U199" s="18">
        <v>0</v>
      </c>
      <c r="X199" s="17" t="s">
        <v>64</v>
      </c>
      <c r="Y199" s="17" t="s">
        <v>332</v>
      </c>
      <c r="Z199" s="17" t="s">
        <v>448</v>
      </c>
      <c r="AA199" s="31">
        <v>783470.80667800002</v>
      </c>
      <c r="AB199" s="31">
        <v>2427810.27152</v>
      </c>
    </row>
    <row r="200" spans="1:28">
      <c r="A200" s="30">
        <v>199</v>
      </c>
      <c r="B200" s="17">
        <v>611122</v>
      </c>
      <c r="C200" s="17" t="s">
        <v>331</v>
      </c>
      <c r="D200" s="17" t="s">
        <v>689</v>
      </c>
      <c r="E200" s="17" t="s">
        <v>1020</v>
      </c>
      <c r="F200" s="17" t="s">
        <v>1118</v>
      </c>
      <c r="G200" s="17" t="s">
        <v>240</v>
      </c>
      <c r="H200" s="17" t="s">
        <v>94</v>
      </c>
      <c r="I200" s="17">
        <v>20126</v>
      </c>
      <c r="J200" s="17" t="s">
        <v>54</v>
      </c>
      <c r="K200" s="17" t="s">
        <v>73</v>
      </c>
      <c r="L200" s="17" t="s">
        <v>20</v>
      </c>
      <c r="M200" s="17" t="s">
        <v>454</v>
      </c>
      <c r="N200" s="17" t="s">
        <v>20</v>
      </c>
      <c r="O200" s="17" t="s">
        <v>446</v>
      </c>
      <c r="P200" s="17" t="s">
        <v>20</v>
      </c>
      <c r="Q200" s="17" t="s">
        <v>459</v>
      </c>
      <c r="R200" s="17" t="s">
        <v>20</v>
      </c>
      <c r="S200" s="17" t="s">
        <v>459</v>
      </c>
      <c r="T200" s="17">
        <v>301</v>
      </c>
      <c r="U200" s="18">
        <v>0</v>
      </c>
      <c r="V200" s="17" t="s">
        <v>1021</v>
      </c>
      <c r="X200" s="17" t="s">
        <v>66</v>
      </c>
      <c r="Y200" s="17" t="s">
        <v>332</v>
      </c>
      <c r="Z200" s="17" t="s">
        <v>448</v>
      </c>
      <c r="AA200" s="31">
        <v>783343.95252499997</v>
      </c>
      <c r="AB200" s="31">
        <v>2428659.08806</v>
      </c>
    </row>
    <row r="201" spans="1:28">
      <c r="A201" s="30">
        <v>200</v>
      </c>
      <c r="B201" s="17">
        <v>611122</v>
      </c>
      <c r="C201" s="17" t="s">
        <v>331</v>
      </c>
      <c r="D201" s="17" t="s">
        <v>689</v>
      </c>
      <c r="E201" s="17" t="s">
        <v>1022</v>
      </c>
      <c r="F201" s="17" t="s">
        <v>1118</v>
      </c>
      <c r="G201" s="17" t="s">
        <v>240</v>
      </c>
      <c r="H201" s="17" t="s">
        <v>94</v>
      </c>
      <c r="I201" s="17">
        <v>20126</v>
      </c>
      <c r="J201" s="17" t="s">
        <v>54</v>
      </c>
      <c r="K201" s="17" t="s">
        <v>73</v>
      </c>
      <c r="L201" s="17" t="s">
        <v>20</v>
      </c>
      <c r="M201" s="17" t="s">
        <v>454</v>
      </c>
      <c r="N201" s="17" t="s">
        <v>20</v>
      </c>
      <c r="O201" s="17" t="s">
        <v>446</v>
      </c>
      <c r="P201" s="17" t="s">
        <v>20</v>
      </c>
      <c r="Q201" s="17" t="s">
        <v>459</v>
      </c>
      <c r="R201" s="17" t="s">
        <v>20</v>
      </c>
      <c r="S201" s="17" t="s">
        <v>660</v>
      </c>
      <c r="T201" s="17">
        <v>301</v>
      </c>
      <c r="U201" s="18">
        <v>4499725618</v>
      </c>
      <c r="V201" s="17" t="s">
        <v>1023</v>
      </c>
      <c r="X201" s="17" t="s">
        <v>66</v>
      </c>
      <c r="Y201" s="17" t="s">
        <v>332</v>
      </c>
      <c r="Z201" s="17" t="s">
        <v>448</v>
      </c>
      <c r="AA201" s="31">
        <v>783377.69426400005</v>
      </c>
      <c r="AB201" s="31">
        <v>2428614.7752700001</v>
      </c>
    </row>
    <row r="202" spans="1:28">
      <c r="A202" s="30">
        <v>201</v>
      </c>
      <c r="B202" s="17">
        <v>611121</v>
      </c>
      <c r="C202" s="17" t="s">
        <v>331</v>
      </c>
      <c r="D202" s="17" t="s">
        <v>52</v>
      </c>
      <c r="E202" s="17" t="s">
        <v>1024</v>
      </c>
      <c r="F202" s="17" t="s">
        <v>1117</v>
      </c>
      <c r="G202" s="17" t="s">
        <v>240</v>
      </c>
      <c r="H202" s="17" t="s">
        <v>94</v>
      </c>
      <c r="I202" s="17">
        <v>0</v>
      </c>
      <c r="J202" s="17" t="s">
        <v>54</v>
      </c>
      <c r="K202" s="17" t="s">
        <v>63</v>
      </c>
      <c r="L202" s="17" t="s">
        <v>20</v>
      </c>
      <c r="M202" s="17" t="s">
        <v>656</v>
      </c>
      <c r="N202" s="17" t="s">
        <v>20</v>
      </c>
      <c r="O202" s="17" t="s">
        <v>653</v>
      </c>
      <c r="P202" s="17" t="s">
        <v>20</v>
      </c>
      <c r="Q202" s="17" t="s">
        <v>657</v>
      </c>
      <c r="R202" s="17" t="s">
        <v>20</v>
      </c>
      <c r="S202" s="17" t="s">
        <v>658</v>
      </c>
      <c r="T202" s="17">
        <v>0</v>
      </c>
      <c r="U202" s="18">
        <v>0</v>
      </c>
      <c r="X202" s="17" t="s">
        <v>175</v>
      </c>
      <c r="Y202" s="17" t="s">
        <v>332</v>
      </c>
      <c r="Z202" s="17" t="s">
        <v>448</v>
      </c>
      <c r="AA202" s="31">
        <v>783958.55706599995</v>
      </c>
      <c r="AB202" s="31">
        <v>2427151.95799</v>
      </c>
    </row>
    <row r="203" spans="1:28">
      <c r="A203" s="30">
        <v>202</v>
      </c>
      <c r="B203" s="17">
        <v>611122</v>
      </c>
      <c r="C203" s="17" t="s">
        <v>331</v>
      </c>
      <c r="D203" s="17" t="s">
        <v>689</v>
      </c>
      <c r="E203" s="17" t="s">
        <v>1025</v>
      </c>
      <c r="F203" s="17" t="s">
        <v>1118</v>
      </c>
      <c r="G203" s="17" t="s">
        <v>240</v>
      </c>
      <c r="H203" s="17" t="s">
        <v>94</v>
      </c>
      <c r="I203" s="17">
        <v>20264</v>
      </c>
      <c r="J203" s="17" t="s">
        <v>54</v>
      </c>
      <c r="K203" s="17" t="s">
        <v>73</v>
      </c>
      <c r="L203" s="17" t="s">
        <v>20</v>
      </c>
      <c r="M203" s="17" t="s">
        <v>467</v>
      </c>
      <c r="N203" s="17" t="s">
        <v>20</v>
      </c>
      <c r="O203" s="17" t="s">
        <v>662</v>
      </c>
      <c r="P203" s="17" t="s">
        <v>119</v>
      </c>
      <c r="Q203" s="17" t="s">
        <v>468</v>
      </c>
      <c r="R203" s="17" t="s">
        <v>20</v>
      </c>
      <c r="S203" s="17" t="s">
        <v>466</v>
      </c>
      <c r="T203" s="17">
        <v>0</v>
      </c>
      <c r="U203" s="18">
        <v>0</v>
      </c>
      <c r="V203" s="17" t="s">
        <v>1026</v>
      </c>
      <c r="X203" s="17" t="s">
        <v>66</v>
      </c>
      <c r="Y203" s="17" t="s">
        <v>310</v>
      </c>
      <c r="Z203" s="17" t="s">
        <v>465</v>
      </c>
      <c r="AA203" s="31">
        <v>785175.14320799999</v>
      </c>
      <c r="AB203" s="31">
        <v>2420249.2845600001</v>
      </c>
    </row>
    <row r="204" spans="1:28">
      <c r="A204" s="30">
        <v>203</v>
      </c>
      <c r="B204" s="17">
        <v>611122</v>
      </c>
      <c r="C204" s="17" t="s">
        <v>331</v>
      </c>
      <c r="D204" s="17" t="s">
        <v>689</v>
      </c>
      <c r="E204" s="17" t="s">
        <v>1027</v>
      </c>
      <c r="F204" s="17" t="s">
        <v>1118</v>
      </c>
      <c r="G204" s="17" t="s">
        <v>240</v>
      </c>
      <c r="H204" s="17" t="s">
        <v>94</v>
      </c>
      <c r="I204" s="17">
        <v>20264</v>
      </c>
      <c r="J204" s="17" t="s">
        <v>54</v>
      </c>
      <c r="K204" s="17" t="s">
        <v>73</v>
      </c>
      <c r="L204" s="17" t="s">
        <v>20</v>
      </c>
      <c r="M204" s="17" t="s">
        <v>467</v>
      </c>
      <c r="N204" s="17" t="s">
        <v>20</v>
      </c>
      <c r="O204" s="17" t="s">
        <v>662</v>
      </c>
      <c r="P204" s="17" t="s">
        <v>119</v>
      </c>
      <c r="Q204" s="17" t="s">
        <v>468</v>
      </c>
      <c r="R204" s="17" t="s">
        <v>20</v>
      </c>
      <c r="S204" s="17" t="s">
        <v>466</v>
      </c>
      <c r="T204" s="17">
        <v>0</v>
      </c>
      <c r="U204" s="18">
        <v>0</v>
      </c>
      <c r="V204" s="17" t="s">
        <v>1028</v>
      </c>
      <c r="X204" s="17" t="s">
        <v>66</v>
      </c>
      <c r="Y204" s="17" t="s">
        <v>310</v>
      </c>
      <c r="Z204" s="17" t="s">
        <v>465</v>
      </c>
      <c r="AA204" s="31">
        <v>785164.44489000004</v>
      </c>
      <c r="AB204" s="31">
        <v>2420238.5375799998</v>
      </c>
    </row>
    <row r="205" spans="1:28">
      <c r="A205" s="30">
        <v>204</v>
      </c>
      <c r="B205" s="17">
        <v>611122</v>
      </c>
      <c r="C205" s="17" t="s">
        <v>331</v>
      </c>
      <c r="D205" s="17" t="s">
        <v>689</v>
      </c>
      <c r="E205" s="17" t="s">
        <v>1029</v>
      </c>
      <c r="F205" s="17" t="s">
        <v>1118</v>
      </c>
      <c r="G205" s="17" t="s">
        <v>606</v>
      </c>
      <c r="H205" s="17" t="s">
        <v>91</v>
      </c>
      <c r="I205" s="17">
        <v>20263</v>
      </c>
      <c r="J205" s="17" t="s">
        <v>54</v>
      </c>
      <c r="K205" s="17" t="s">
        <v>63</v>
      </c>
      <c r="L205" s="17" t="s">
        <v>20</v>
      </c>
      <c r="M205" s="17" t="s">
        <v>1030</v>
      </c>
      <c r="N205" s="17" t="s">
        <v>20</v>
      </c>
      <c r="O205" s="17" t="s">
        <v>247</v>
      </c>
      <c r="Q205" s="17" t="s">
        <v>59</v>
      </c>
      <c r="R205" s="17" t="s">
        <v>20</v>
      </c>
      <c r="S205" s="17" t="s">
        <v>59</v>
      </c>
      <c r="T205" s="17">
        <v>115</v>
      </c>
      <c r="U205" s="18">
        <v>4491974647</v>
      </c>
      <c r="V205" s="17" t="s">
        <v>1031</v>
      </c>
      <c r="X205" s="17" t="s">
        <v>64</v>
      </c>
      <c r="Y205" s="17" t="s">
        <v>310</v>
      </c>
      <c r="Z205" s="17" t="s">
        <v>465</v>
      </c>
      <c r="AA205" s="31">
        <v>785538.00581300003</v>
      </c>
      <c r="AB205" s="31">
        <v>2419668.6304100002</v>
      </c>
    </row>
    <row r="206" spans="1:28">
      <c r="A206" s="30">
        <v>205</v>
      </c>
      <c r="B206" s="17">
        <v>611122</v>
      </c>
      <c r="C206" s="17" t="s">
        <v>331</v>
      </c>
      <c r="D206" s="17" t="s">
        <v>689</v>
      </c>
      <c r="E206" s="17" t="s">
        <v>1032</v>
      </c>
      <c r="F206" s="17" t="s">
        <v>1118</v>
      </c>
      <c r="G206" s="17" t="s">
        <v>713</v>
      </c>
      <c r="H206" s="17" t="s">
        <v>94</v>
      </c>
      <c r="I206" s="17">
        <v>20299</v>
      </c>
      <c r="J206" s="17" t="s">
        <v>54</v>
      </c>
      <c r="K206" s="17" t="s">
        <v>73</v>
      </c>
      <c r="L206" s="17" t="s">
        <v>119</v>
      </c>
      <c r="M206" s="17" t="s">
        <v>470</v>
      </c>
      <c r="N206" s="17" t="s">
        <v>119</v>
      </c>
      <c r="O206" s="17" t="s">
        <v>471</v>
      </c>
      <c r="P206" s="17" t="s">
        <v>119</v>
      </c>
      <c r="Q206" s="17" t="s">
        <v>123</v>
      </c>
      <c r="R206" s="17" t="s">
        <v>119</v>
      </c>
      <c r="S206" s="17" t="s">
        <v>123</v>
      </c>
      <c r="T206" s="17">
        <v>0</v>
      </c>
      <c r="U206" s="18">
        <v>4499294590</v>
      </c>
      <c r="X206" s="17" t="s">
        <v>66</v>
      </c>
      <c r="Y206" s="17" t="s">
        <v>178</v>
      </c>
      <c r="Z206" s="17" t="s">
        <v>465</v>
      </c>
      <c r="AA206" s="31">
        <v>784409.50588700001</v>
      </c>
      <c r="AB206" s="31">
        <v>2418073.0133199999</v>
      </c>
    </row>
    <row r="207" spans="1:28">
      <c r="A207" s="30">
        <v>206</v>
      </c>
      <c r="B207" s="17">
        <v>611122</v>
      </c>
      <c r="C207" s="17" t="s">
        <v>331</v>
      </c>
      <c r="D207" s="17" t="s">
        <v>689</v>
      </c>
      <c r="E207" s="17" t="s">
        <v>1033</v>
      </c>
      <c r="F207" s="17" t="s">
        <v>1118</v>
      </c>
      <c r="G207" s="17" t="s">
        <v>713</v>
      </c>
      <c r="H207" s="17" t="s">
        <v>94</v>
      </c>
      <c r="I207" s="17">
        <v>20299</v>
      </c>
      <c r="J207" s="17" t="s">
        <v>54</v>
      </c>
      <c r="K207" s="17" t="s">
        <v>73</v>
      </c>
      <c r="L207" s="17" t="s">
        <v>119</v>
      </c>
      <c r="M207" s="17" t="s">
        <v>470</v>
      </c>
      <c r="N207" s="17" t="s">
        <v>119</v>
      </c>
      <c r="O207" s="17" t="s">
        <v>471</v>
      </c>
      <c r="P207" s="17" t="s">
        <v>119</v>
      </c>
      <c r="Q207" s="17" t="s">
        <v>123</v>
      </c>
      <c r="R207" s="17" t="s">
        <v>119</v>
      </c>
      <c r="S207" s="17" t="s">
        <v>123</v>
      </c>
      <c r="T207" s="17">
        <v>0</v>
      </c>
      <c r="U207" s="18">
        <v>4494902104</v>
      </c>
      <c r="V207" s="17" t="s">
        <v>1034</v>
      </c>
      <c r="X207" s="17" t="s">
        <v>66</v>
      </c>
      <c r="Y207" s="17" t="s">
        <v>178</v>
      </c>
      <c r="Z207" s="17" t="s">
        <v>465</v>
      </c>
      <c r="AA207" s="31">
        <v>784410.65056400001</v>
      </c>
      <c r="AB207" s="31">
        <v>2418072.9285200001</v>
      </c>
    </row>
    <row r="208" spans="1:28">
      <c r="A208" s="30">
        <v>207</v>
      </c>
      <c r="B208" s="17">
        <v>611122</v>
      </c>
      <c r="C208" s="17" t="s">
        <v>331</v>
      </c>
      <c r="D208" s="17" t="s">
        <v>689</v>
      </c>
      <c r="E208" s="17" t="s">
        <v>1035</v>
      </c>
      <c r="F208" s="17" t="s">
        <v>1118</v>
      </c>
      <c r="G208" s="17" t="s">
        <v>713</v>
      </c>
      <c r="H208" s="17" t="s">
        <v>94</v>
      </c>
      <c r="I208" s="17">
        <v>20196</v>
      </c>
      <c r="J208" s="17" t="s">
        <v>54</v>
      </c>
      <c r="K208" s="17" t="s">
        <v>81</v>
      </c>
      <c r="L208" s="17" t="s">
        <v>20</v>
      </c>
      <c r="M208" s="17" t="s">
        <v>478</v>
      </c>
      <c r="N208" s="17" t="s">
        <v>20</v>
      </c>
      <c r="O208" s="17" t="s">
        <v>480</v>
      </c>
      <c r="P208" s="17" t="s">
        <v>56</v>
      </c>
      <c r="Q208" s="17" t="s">
        <v>475</v>
      </c>
      <c r="R208" s="17" t="s">
        <v>20</v>
      </c>
      <c r="S208" s="17" t="s">
        <v>663</v>
      </c>
      <c r="T208" s="17">
        <v>105</v>
      </c>
      <c r="U208" s="18">
        <v>0</v>
      </c>
      <c r="V208" s="17" t="s">
        <v>1036</v>
      </c>
      <c r="X208" s="17" t="s">
        <v>64</v>
      </c>
      <c r="Y208" s="17" t="s">
        <v>310</v>
      </c>
      <c r="Z208" s="17" t="s">
        <v>477</v>
      </c>
      <c r="AA208" s="31">
        <v>784613.86678799998</v>
      </c>
      <c r="AB208" s="31">
        <v>2423031.4984800001</v>
      </c>
    </row>
    <row r="209" spans="1:28">
      <c r="A209" s="30">
        <v>208</v>
      </c>
      <c r="B209" s="17">
        <v>611122</v>
      </c>
      <c r="C209" s="17" t="s">
        <v>331</v>
      </c>
      <c r="D209" s="17" t="s">
        <v>689</v>
      </c>
      <c r="E209" s="17" t="s">
        <v>1037</v>
      </c>
      <c r="F209" s="17" t="s">
        <v>1118</v>
      </c>
      <c r="G209" s="17" t="s">
        <v>240</v>
      </c>
      <c r="H209" s="17" t="s">
        <v>94</v>
      </c>
      <c r="I209" s="17">
        <v>20196</v>
      </c>
      <c r="J209" s="17" t="s">
        <v>54</v>
      </c>
      <c r="K209" s="17" t="s">
        <v>81</v>
      </c>
      <c r="L209" s="17" t="s">
        <v>20</v>
      </c>
      <c r="M209" s="17" t="s">
        <v>478</v>
      </c>
      <c r="N209" s="17" t="s">
        <v>20</v>
      </c>
      <c r="O209" s="17" t="s">
        <v>480</v>
      </c>
      <c r="P209" s="17" t="s">
        <v>56</v>
      </c>
      <c r="Q209" s="17" t="s">
        <v>475</v>
      </c>
      <c r="R209" s="17" t="s">
        <v>20</v>
      </c>
      <c r="S209" s="17" t="s">
        <v>663</v>
      </c>
      <c r="T209" s="17">
        <v>0</v>
      </c>
      <c r="U209" s="18">
        <v>0</v>
      </c>
      <c r="V209" s="17" t="s">
        <v>1036</v>
      </c>
      <c r="X209" s="17" t="s">
        <v>66</v>
      </c>
      <c r="Y209" s="17" t="s">
        <v>310</v>
      </c>
      <c r="Z209" s="17" t="s">
        <v>477</v>
      </c>
      <c r="AA209" s="31">
        <v>784614.070374</v>
      </c>
      <c r="AB209" s="31">
        <v>2423030.75746</v>
      </c>
    </row>
    <row r="210" spans="1:28">
      <c r="A210" s="30">
        <v>209</v>
      </c>
      <c r="B210" s="17">
        <v>611121</v>
      </c>
      <c r="C210" s="17" t="s">
        <v>331</v>
      </c>
      <c r="D210" s="17" t="s">
        <v>52</v>
      </c>
      <c r="E210" s="17" t="s">
        <v>1038</v>
      </c>
      <c r="F210" s="17" t="s">
        <v>1117</v>
      </c>
      <c r="G210" s="17" t="s">
        <v>910</v>
      </c>
      <c r="H210" s="17" t="s">
        <v>94</v>
      </c>
      <c r="I210" s="17">
        <v>20196</v>
      </c>
      <c r="J210" s="17" t="s">
        <v>54</v>
      </c>
      <c r="K210" s="17" t="s">
        <v>73</v>
      </c>
      <c r="L210" s="17" t="s">
        <v>56</v>
      </c>
      <c r="M210" s="17" t="s">
        <v>475</v>
      </c>
      <c r="N210" s="17" t="s">
        <v>20</v>
      </c>
      <c r="O210" s="17" t="s">
        <v>478</v>
      </c>
      <c r="P210" s="17" t="s">
        <v>20</v>
      </c>
      <c r="Q210" s="17" t="s">
        <v>479</v>
      </c>
      <c r="R210" s="17" t="s">
        <v>20</v>
      </c>
      <c r="S210" s="17" t="s">
        <v>664</v>
      </c>
      <c r="T210" s="17">
        <v>245</v>
      </c>
      <c r="U210" s="18">
        <v>4499716221</v>
      </c>
      <c r="V210" s="17" t="s">
        <v>1039</v>
      </c>
      <c r="X210" s="17" t="s">
        <v>66</v>
      </c>
      <c r="Y210" s="17" t="s">
        <v>310</v>
      </c>
      <c r="Z210" s="17" t="s">
        <v>477</v>
      </c>
      <c r="AA210" s="31">
        <v>784570.55859999999</v>
      </c>
      <c r="AB210" s="31">
        <v>2423085.84907</v>
      </c>
    </row>
    <row r="211" spans="1:28">
      <c r="A211" s="30">
        <v>210</v>
      </c>
      <c r="B211" s="17">
        <v>611122</v>
      </c>
      <c r="C211" s="17" t="s">
        <v>331</v>
      </c>
      <c r="D211" s="17" t="s">
        <v>689</v>
      </c>
      <c r="E211" s="17" t="s">
        <v>1040</v>
      </c>
      <c r="F211" s="17" t="s">
        <v>1118</v>
      </c>
      <c r="G211" s="17" t="s">
        <v>240</v>
      </c>
      <c r="H211" s="17" t="s">
        <v>94</v>
      </c>
      <c r="I211" s="17">
        <v>20299</v>
      </c>
      <c r="J211" s="17" t="s">
        <v>54</v>
      </c>
      <c r="K211" s="17" t="s">
        <v>73</v>
      </c>
      <c r="L211" s="17" t="s">
        <v>20</v>
      </c>
      <c r="M211" s="17" t="s">
        <v>473</v>
      </c>
      <c r="N211" s="17" t="s">
        <v>20</v>
      </c>
      <c r="O211" s="17" t="s">
        <v>470</v>
      </c>
      <c r="P211" s="17" t="s">
        <v>56</v>
      </c>
      <c r="Q211" s="17" t="s">
        <v>474</v>
      </c>
      <c r="R211" s="17" t="s">
        <v>20</v>
      </c>
      <c r="S211" s="17" t="s">
        <v>666</v>
      </c>
      <c r="T211" s="17">
        <v>0</v>
      </c>
      <c r="U211" s="18">
        <v>0</v>
      </c>
      <c r="X211" s="17" t="s">
        <v>66</v>
      </c>
      <c r="Y211" s="17" t="s">
        <v>178</v>
      </c>
      <c r="Z211" s="17" t="s">
        <v>477</v>
      </c>
      <c r="AA211" s="31">
        <v>783810.16349099996</v>
      </c>
      <c r="AB211" s="31">
        <v>2418059.1066100001</v>
      </c>
    </row>
    <row r="212" spans="1:28">
      <c r="A212" s="30">
        <v>211</v>
      </c>
      <c r="B212" s="17">
        <v>611122</v>
      </c>
      <c r="C212" s="17" t="s">
        <v>331</v>
      </c>
      <c r="D212" s="17" t="s">
        <v>689</v>
      </c>
      <c r="E212" s="17" t="s">
        <v>1041</v>
      </c>
      <c r="F212" s="17" t="s">
        <v>1118</v>
      </c>
      <c r="G212" s="17" t="s">
        <v>713</v>
      </c>
      <c r="H212" s="17" t="s">
        <v>94</v>
      </c>
      <c r="I212" s="17">
        <v>20299</v>
      </c>
      <c r="J212" s="17" t="s">
        <v>54</v>
      </c>
      <c r="K212" s="17" t="s">
        <v>73</v>
      </c>
      <c r="L212" s="17" t="s">
        <v>20</v>
      </c>
      <c r="M212" s="17" t="s">
        <v>473</v>
      </c>
      <c r="N212" s="17" t="s">
        <v>20</v>
      </c>
      <c r="O212" s="17" t="s">
        <v>470</v>
      </c>
      <c r="P212" s="17" t="s">
        <v>56</v>
      </c>
      <c r="Q212" s="17" t="s">
        <v>474</v>
      </c>
      <c r="R212" s="17" t="s">
        <v>20</v>
      </c>
      <c r="S212" s="17" t="s">
        <v>666</v>
      </c>
      <c r="T212" s="17">
        <v>0</v>
      </c>
      <c r="U212" s="18">
        <v>0</v>
      </c>
      <c r="X212" s="17" t="s">
        <v>66</v>
      </c>
      <c r="Y212" s="17" t="s">
        <v>178</v>
      </c>
      <c r="Z212" s="17" t="s">
        <v>477</v>
      </c>
      <c r="AA212" s="31">
        <v>783808.47219300002</v>
      </c>
      <c r="AB212" s="31">
        <v>2418060.14133</v>
      </c>
    </row>
    <row r="213" spans="1:28">
      <c r="A213" s="30">
        <v>212</v>
      </c>
      <c r="B213" s="17">
        <v>611122</v>
      </c>
      <c r="C213" s="17" t="s">
        <v>331</v>
      </c>
      <c r="D213" s="17" t="s">
        <v>689</v>
      </c>
      <c r="E213" s="17" t="s">
        <v>1042</v>
      </c>
      <c r="F213" s="17" t="s">
        <v>1118</v>
      </c>
      <c r="G213" s="17" t="s">
        <v>240</v>
      </c>
      <c r="H213" s="17" t="s">
        <v>94</v>
      </c>
      <c r="I213" s="17">
        <v>20299</v>
      </c>
      <c r="J213" s="17" t="s">
        <v>54</v>
      </c>
      <c r="K213" s="17" t="s">
        <v>73</v>
      </c>
      <c r="L213" s="17" t="s">
        <v>20</v>
      </c>
      <c r="M213" s="17" t="s">
        <v>483</v>
      </c>
      <c r="N213" s="17" t="s">
        <v>20</v>
      </c>
      <c r="O213" s="17" t="s">
        <v>665</v>
      </c>
      <c r="P213" s="17" t="s">
        <v>20</v>
      </c>
      <c r="Q213" s="17" t="s">
        <v>667</v>
      </c>
      <c r="R213" s="17" t="s">
        <v>20</v>
      </c>
      <c r="S213" s="17" t="s">
        <v>667</v>
      </c>
      <c r="T213" s="17">
        <v>0</v>
      </c>
      <c r="U213" s="18">
        <v>4491901085</v>
      </c>
      <c r="X213" s="17" t="s">
        <v>66</v>
      </c>
      <c r="Y213" s="17" t="s">
        <v>178</v>
      </c>
      <c r="Z213" s="17" t="s">
        <v>477</v>
      </c>
      <c r="AA213" s="31">
        <v>783325.86488799995</v>
      </c>
      <c r="AB213" s="31">
        <v>2418510.8728999998</v>
      </c>
    </row>
    <row r="214" spans="1:28">
      <c r="A214" s="30">
        <v>213</v>
      </c>
      <c r="B214" s="17">
        <v>611122</v>
      </c>
      <c r="C214" s="17" t="s">
        <v>331</v>
      </c>
      <c r="D214" s="17" t="s">
        <v>689</v>
      </c>
      <c r="E214" s="17" t="s">
        <v>1043</v>
      </c>
      <c r="F214" s="17" t="s">
        <v>1118</v>
      </c>
      <c r="G214" s="17" t="s">
        <v>240</v>
      </c>
      <c r="H214" s="17" t="s">
        <v>94</v>
      </c>
      <c r="I214" s="17">
        <v>20299</v>
      </c>
      <c r="J214" s="17" t="s">
        <v>54</v>
      </c>
      <c r="K214" s="17" t="s">
        <v>73</v>
      </c>
      <c r="L214" s="17" t="s">
        <v>20</v>
      </c>
      <c r="M214" s="17" t="s">
        <v>483</v>
      </c>
      <c r="N214" s="17" t="s">
        <v>20</v>
      </c>
      <c r="O214" s="17" t="s">
        <v>665</v>
      </c>
      <c r="P214" s="17" t="s">
        <v>20</v>
      </c>
      <c r="Q214" s="17" t="s">
        <v>667</v>
      </c>
      <c r="R214" s="17" t="s">
        <v>20</v>
      </c>
      <c r="S214" s="17" t="s">
        <v>667</v>
      </c>
      <c r="T214" s="17">
        <v>0</v>
      </c>
      <c r="U214" s="18">
        <v>4491901085</v>
      </c>
      <c r="V214" s="17" t="s">
        <v>1044</v>
      </c>
      <c r="X214" s="17" t="s">
        <v>66</v>
      </c>
      <c r="Y214" s="17" t="s">
        <v>178</v>
      </c>
      <c r="Z214" s="17" t="s">
        <v>477</v>
      </c>
      <c r="AA214" s="31">
        <v>783325.89648400003</v>
      </c>
      <c r="AB214" s="31">
        <v>2418509.2157299998</v>
      </c>
    </row>
    <row r="215" spans="1:28">
      <c r="A215" s="30">
        <v>214</v>
      </c>
      <c r="B215" s="17">
        <v>611122</v>
      </c>
      <c r="C215" s="17" t="s">
        <v>331</v>
      </c>
      <c r="D215" s="17" t="s">
        <v>689</v>
      </c>
      <c r="E215" s="17" t="s">
        <v>1045</v>
      </c>
      <c r="F215" s="17" t="s">
        <v>1118</v>
      </c>
      <c r="G215" s="17" t="s">
        <v>688</v>
      </c>
      <c r="H215" s="17" t="s">
        <v>94</v>
      </c>
      <c r="I215" s="17">
        <v>20299</v>
      </c>
      <c r="J215" s="17" t="s">
        <v>54</v>
      </c>
      <c r="K215" s="17" t="s">
        <v>73</v>
      </c>
      <c r="L215" s="17" t="s">
        <v>20</v>
      </c>
      <c r="M215" s="17" t="s">
        <v>484</v>
      </c>
      <c r="N215" s="17" t="s">
        <v>20</v>
      </c>
      <c r="O215" s="17" t="s">
        <v>482</v>
      </c>
      <c r="P215" s="17" t="s">
        <v>119</v>
      </c>
      <c r="Q215" s="17" t="s">
        <v>383</v>
      </c>
      <c r="R215" s="17" t="s">
        <v>20</v>
      </c>
      <c r="S215" s="17" t="s">
        <v>482</v>
      </c>
      <c r="T215" s="17">
        <v>102</v>
      </c>
      <c r="U215" s="18">
        <v>0</v>
      </c>
      <c r="V215" s="17" t="s">
        <v>1046</v>
      </c>
      <c r="X215" s="17" t="s">
        <v>66</v>
      </c>
      <c r="Y215" s="17" t="s">
        <v>178</v>
      </c>
      <c r="Z215" s="17" t="s">
        <v>477</v>
      </c>
      <c r="AA215" s="31">
        <v>784237.50913100003</v>
      </c>
      <c r="AB215" s="31">
        <v>2418649.61466</v>
      </c>
    </row>
    <row r="216" spans="1:28">
      <c r="A216" s="30">
        <v>215</v>
      </c>
      <c r="B216" s="17">
        <v>611122</v>
      </c>
      <c r="C216" s="17" t="s">
        <v>331</v>
      </c>
      <c r="D216" s="17" t="s">
        <v>689</v>
      </c>
      <c r="E216" s="17" t="s">
        <v>1047</v>
      </c>
      <c r="F216" s="17" t="s">
        <v>1118</v>
      </c>
      <c r="G216" s="17" t="s">
        <v>240</v>
      </c>
      <c r="H216" s="17" t="s">
        <v>94</v>
      </c>
      <c r="I216" s="17">
        <v>20299</v>
      </c>
      <c r="J216" s="17" t="s">
        <v>54</v>
      </c>
      <c r="K216" s="17" t="s">
        <v>73</v>
      </c>
      <c r="L216" s="17" t="s">
        <v>20</v>
      </c>
      <c r="M216" s="17" t="s">
        <v>484</v>
      </c>
      <c r="N216" s="17" t="s">
        <v>20</v>
      </c>
      <c r="O216" s="17" t="s">
        <v>482</v>
      </c>
      <c r="P216" s="17" t="s">
        <v>119</v>
      </c>
      <c r="Q216" s="17" t="s">
        <v>383</v>
      </c>
      <c r="R216" s="17" t="s">
        <v>20</v>
      </c>
      <c r="S216" s="17" t="s">
        <v>482</v>
      </c>
      <c r="T216" s="17">
        <v>0</v>
      </c>
      <c r="U216" s="18">
        <v>0</v>
      </c>
      <c r="V216" s="17" t="s">
        <v>1048</v>
      </c>
      <c r="X216" s="17" t="s">
        <v>66</v>
      </c>
      <c r="Y216" s="17" t="s">
        <v>178</v>
      </c>
      <c r="Z216" s="17" t="s">
        <v>477</v>
      </c>
      <c r="AA216" s="31">
        <v>784238.21157299995</v>
      </c>
      <c r="AB216" s="31">
        <v>2418647.3566800002</v>
      </c>
    </row>
    <row r="217" spans="1:28">
      <c r="A217" s="30">
        <v>216</v>
      </c>
      <c r="B217" s="17">
        <v>611122</v>
      </c>
      <c r="C217" s="17" t="s">
        <v>331</v>
      </c>
      <c r="D217" s="17" t="s">
        <v>689</v>
      </c>
      <c r="E217" s="17" t="s">
        <v>1050</v>
      </c>
      <c r="F217" s="17" t="s">
        <v>1118</v>
      </c>
      <c r="G217" s="17" t="s">
        <v>240</v>
      </c>
      <c r="H217" s="17" t="s">
        <v>69</v>
      </c>
      <c r="I217" s="17">
        <v>20265</v>
      </c>
      <c r="J217" s="17" t="s">
        <v>54</v>
      </c>
      <c r="K217" s="17" t="s">
        <v>73</v>
      </c>
      <c r="L217" s="17" t="s">
        <v>20</v>
      </c>
      <c r="M217" s="17" t="s">
        <v>670</v>
      </c>
      <c r="N217" s="17" t="s">
        <v>20</v>
      </c>
      <c r="O217" s="17" t="s">
        <v>497</v>
      </c>
      <c r="P217" s="17" t="s">
        <v>56</v>
      </c>
      <c r="Q217" s="17" t="s">
        <v>156</v>
      </c>
      <c r="R217" s="17" t="s">
        <v>20</v>
      </c>
      <c r="S217" s="17" t="s">
        <v>669</v>
      </c>
      <c r="T217" s="17">
        <v>111</v>
      </c>
      <c r="U217" s="18">
        <v>0</v>
      </c>
      <c r="V217" s="17" t="s">
        <v>1051</v>
      </c>
      <c r="X217" s="17" t="s">
        <v>66</v>
      </c>
      <c r="Y217" s="17" t="s">
        <v>328</v>
      </c>
      <c r="Z217" s="17" t="s">
        <v>477</v>
      </c>
      <c r="AA217" s="31">
        <v>784235.31406899996</v>
      </c>
      <c r="AB217" s="31">
        <v>2419686.2352999998</v>
      </c>
    </row>
    <row r="218" spans="1:28">
      <c r="A218" s="30">
        <v>217</v>
      </c>
      <c r="B218" s="17">
        <v>611122</v>
      </c>
      <c r="C218" s="17" t="s">
        <v>331</v>
      </c>
      <c r="D218" s="17" t="s">
        <v>689</v>
      </c>
      <c r="E218" s="17" t="s">
        <v>1052</v>
      </c>
      <c r="F218" s="17" t="s">
        <v>1118</v>
      </c>
      <c r="G218" s="17" t="s">
        <v>240</v>
      </c>
      <c r="H218" s="17" t="s">
        <v>78</v>
      </c>
      <c r="I218" s="17">
        <v>20263</v>
      </c>
      <c r="J218" s="17" t="s">
        <v>54</v>
      </c>
      <c r="K218" s="17" t="s">
        <v>63</v>
      </c>
      <c r="L218" s="17" t="s">
        <v>20</v>
      </c>
      <c r="M218" s="17" t="s">
        <v>494</v>
      </c>
      <c r="N218" s="17" t="s">
        <v>20</v>
      </c>
      <c r="O218" s="17" t="s">
        <v>72</v>
      </c>
      <c r="P218" s="17" t="s">
        <v>20</v>
      </c>
      <c r="Q218" s="17" t="s">
        <v>169</v>
      </c>
      <c r="R218" s="17" t="s">
        <v>20</v>
      </c>
      <c r="S218" s="17" t="s">
        <v>72</v>
      </c>
      <c r="T218" s="17">
        <v>0</v>
      </c>
      <c r="U218" s="18">
        <v>0</v>
      </c>
      <c r="X218" s="17" t="s">
        <v>66</v>
      </c>
      <c r="Y218" s="17" t="s">
        <v>328</v>
      </c>
      <c r="Z218" s="17" t="s">
        <v>477</v>
      </c>
      <c r="AA218" s="31">
        <v>784520.810619</v>
      </c>
      <c r="AB218" s="31">
        <v>2420709.4763099998</v>
      </c>
    </row>
    <row r="219" spans="1:28">
      <c r="A219" s="30">
        <v>218</v>
      </c>
      <c r="B219" s="17">
        <v>611122</v>
      </c>
      <c r="C219" s="17" t="s">
        <v>331</v>
      </c>
      <c r="D219" s="17" t="s">
        <v>689</v>
      </c>
      <c r="E219" s="17" t="s">
        <v>1053</v>
      </c>
      <c r="F219" s="17" t="s">
        <v>1118</v>
      </c>
      <c r="G219" s="17" t="s">
        <v>240</v>
      </c>
      <c r="H219" s="17" t="s">
        <v>78</v>
      </c>
      <c r="I219" s="17">
        <v>20263</v>
      </c>
      <c r="J219" s="17" t="s">
        <v>54</v>
      </c>
      <c r="K219" s="17" t="s">
        <v>73</v>
      </c>
      <c r="L219" s="17" t="s">
        <v>20</v>
      </c>
      <c r="M219" s="17" t="s">
        <v>494</v>
      </c>
      <c r="N219" s="17" t="s">
        <v>20</v>
      </c>
      <c r="O219" s="17" t="s">
        <v>72</v>
      </c>
      <c r="P219" s="17" t="s">
        <v>20</v>
      </c>
      <c r="Q219" s="17" t="s">
        <v>169</v>
      </c>
      <c r="R219" s="17" t="s">
        <v>20</v>
      </c>
      <c r="S219" s="17" t="s">
        <v>72</v>
      </c>
      <c r="T219" s="17">
        <v>0</v>
      </c>
      <c r="U219" s="18">
        <v>0</v>
      </c>
      <c r="X219" s="17" t="s">
        <v>66</v>
      </c>
      <c r="Y219" s="17" t="s">
        <v>328</v>
      </c>
      <c r="Z219" s="17" t="s">
        <v>477</v>
      </c>
      <c r="AA219" s="31">
        <v>784524.34228600003</v>
      </c>
      <c r="AB219" s="31">
        <v>2420707.20474</v>
      </c>
    </row>
    <row r="220" spans="1:28">
      <c r="A220" s="30">
        <v>219</v>
      </c>
      <c r="B220" s="17">
        <v>611122</v>
      </c>
      <c r="C220" s="17" t="s">
        <v>331</v>
      </c>
      <c r="D220" s="17" t="s">
        <v>689</v>
      </c>
      <c r="E220" s="17" t="s">
        <v>1054</v>
      </c>
      <c r="F220" s="17" t="s">
        <v>1118</v>
      </c>
      <c r="G220" s="17" t="s">
        <v>1055</v>
      </c>
      <c r="H220" s="17" t="s">
        <v>326</v>
      </c>
      <c r="I220" s="17">
        <v>20196</v>
      </c>
      <c r="J220" s="17" t="s">
        <v>54</v>
      </c>
      <c r="K220" s="17" t="s">
        <v>73</v>
      </c>
      <c r="L220" s="17" t="s">
        <v>20</v>
      </c>
      <c r="M220" s="17" t="s">
        <v>327</v>
      </c>
      <c r="N220" s="17" t="s">
        <v>56</v>
      </c>
      <c r="O220" s="17" t="s">
        <v>156</v>
      </c>
      <c r="P220" s="17" t="s">
        <v>20</v>
      </c>
      <c r="Q220" s="17" t="s">
        <v>319</v>
      </c>
      <c r="R220" s="17" t="s">
        <v>20</v>
      </c>
      <c r="S220" s="17" t="s">
        <v>313</v>
      </c>
      <c r="T220" s="17">
        <v>0</v>
      </c>
      <c r="U220" s="18">
        <v>4491506921</v>
      </c>
      <c r="X220" s="17" t="s">
        <v>66</v>
      </c>
      <c r="Y220" s="17" t="s">
        <v>328</v>
      </c>
      <c r="Z220" s="17" t="s">
        <v>477</v>
      </c>
      <c r="AA220" s="31">
        <v>784629.590539</v>
      </c>
      <c r="AB220" s="31">
        <v>2421019.8028199999</v>
      </c>
    </row>
    <row r="221" spans="1:28">
      <c r="A221" s="30">
        <v>220</v>
      </c>
      <c r="B221" s="17">
        <v>611122</v>
      </c>
      <c r="C221" s="17" t="s">
        <v>331</v>
      </c>
      <c r="D221" s="17" t="s">
        <v>689</v>
      </c>
      <c r="E221" s="17" t="s">
        <v>1056</v>
      </c>
      <c r="F221" s="17" t="s">
        <v>1118</v>
      </c>
      <c r="G221" s="17" t="s">
        <v>240</v>
      </c>
      <c r="H221" s="17" t="s">
        <v>94</v>
      </c>
      <c r="I221" s="17">
        <v>20263</v>
      </c>
      <c r="J221" s="17" t="s">
        <v>54</v>
      </c>
      <c r="K221" s="17" t="s">
        <v>63</v>
      </c>
      <c r="L221" s="17" t="s">
        <v>20</v>
      </c>
      <c r="M221" s="17" t="s">
        <v>672</v>
      </c>
      <c r="N221" s="17" t="s">
        <v>20</v>
      </c>
      <c r="O221" s="17" t="s">
        <v>671</v>
      </c>
      <c r="P221" s="17" t="s">
        <v>20</v>
      </c>
      <c r="Q221" s="17" t="s">
        <v>495</v>
      </c>
      <c r="R221" s="17" t="s">
        <v>20</v>
      </c>
      <c r="S221" s="17" t="s">
        <v>677</v>
      </c>
      <c r="T221" s="17">
        <v>0</v>
      </c>
      <c r="U221" s="18">
        <v>0</v>
      </c>
      <c r="X221" s="17" t="s">
        <v>66</v>
      </c>
      <c r="Y221" s="17" t="s">
        <v>328</v>
      </c>
      <c r="Z221" s="17" t="s">
        <v>477</v>
      </c>
      <c r="AA221" s="31">
        <v>784215.68257499998</v>
      </c>
      <c r="AB221" s="31">
        <v>2420163.0942899999</v>
      </c>
    </row>
    <row r="222" spans="1:28">
      <c r="A222" s="30">
        <v>221</v>
      </c>
      <c r="B222" s="17">
        <v>611122</v>
      </c>
      <c r="C222" s="17" t="s">
        <v>331</v>
      </c>
      <c r="D222" s="17" t="s">
        <v>689</v>
      </c>
      <c r="E222" s="17" t="s">
        <v>1057</v>
      </c>
      <c r="F222" s="17" t="s">
        <v>1118</v>
      </c>
      <c r="G222" s="17" t="s">
        <v>240</v>
      </c>
      <c r="H222" s="17" t="s">
        <v>94</v>
      </c>
      <c r="I222" s="17">
        <v>20263</v>
      </c>
      <c r="J222" s="17" t="s">
        <v>54</v>
      </c>
      <c r="K222" s="17" t="s">
        <v>73</v>
      </c>
      <c r="L222" s="17" t="s">
        <v>20</v>
      </c>
      <c r="M222" s="17" t="s">
        <v>675</v>
      </c>
      <c r="N222" s="17" t="s">
        <v>56</v>
      </c>
      <c r="O222" s="17" t="s">
        <v>156</v>
      </c>
      <c r="P222" s="17" t="s">
        <v>20</v>
      </c>
      <c r="Q222" s="17" t="s">
        <v>678</v>
      </c>
      <c r="R222" s="17" t="s">
        <v>20</v>
      </c>
      <c r="S222" s="17" t="s">
        <v>397</v>
      </c>
      <c r="T222" s="17">
        <v>0</v>
      </c>
      <c r="U222" s="18">
        <v>0</v>
      </c>
      <c r="X222" s="17" t="s">
        <v>66</v>
      </c>
      <c r="Y222" s="17" t="s">
        <v>328</v>
      </c>
      <c r="Z222" s="17" t="s">
        <v>477</v>
      </c>
      <c r="AA222" s="31">
        <v>784161.50424599997</v>
      </c>
      <c r="AB222" s="31">
        <v>2419850.3758700001</v>
      </c>
    </row>
    <row r="223" spans="1:28">
      <c r="A223" s="30">
        <v>222</v>
      </c>
      <c r="B223" s="17">
        <v>611122</v>
      </c>
      <c r="C223" s="17" t="s">
        <v>331</v>
      </c>
      <c r="D223" s="17" t="s">
        <v>689</v>
      </c>
      <c r="E223" s="17" t="s">
        <v>1058</v>
      </c>
      <c r="F223" s="17" t="s">
        <v>1118</v>
      </c>
      <c r="G223" s="17" t="s">
        <v>240</v>
      </c>
      <c r="H223" s="17" t="s">
        <v>94</v>
      </c>
      <c r="I223" s="17">
        <v>20263</v>
      </c>
      <c r="J223" s="17" t="s">
        <v>54</v>
      </c>
      <c r="K223" s="17" t="s">
        <v>73</v>
      </c>
      <c r="L223" s="17" t="s">
        <v>20</v>
      </c>
      <c r="M223" s="17" t="s">
        <v>675</v>
      </c>
      <c r="N223" s="17" t="s">
        <v>56</v>
      </c>
      <c r="O223" s="17" t="s">
        <v>156</v>
      </c>
      <c r="P223" s="17" t="s">
        <v>20</v>
      </c>
      <c r="Q223" s="17" t="s">
        <v>678</v>
      </c>
      <c r="R223" s="17" t="s">
        <v>20</v>
      </c>
      <c r="S223" s="17" t="s">
        <v>397</v>
      </c>
      <c r="T223" s="17">
        <v>0</v>
      </c>
      <c r="U223" s="18">
        <v>4491400870</v>
      </c>
      <c r="X223" s="17" t="s">
        <v>66</v>
      </c>
      <c r="Y223" s="17" t="s">
        <v>328</v>
      </c>
      <c r="Z223" s="17" t="s">
        <v>477</v>
      </c>
      <c r="AA223" s="31">
        <v>784162.39884899999</v>
      </c>
      <c r="AB223" s="31">
        <v>2419850.3852200001</v>
      </c>
    </row>
    <row r="224" spans="1:28">
      <c r="A224" s="30">
        <v>223</v>
      </c>
      <c r="B224" s="17">
        <v>611122</v>
      </c>
      <c r="C224" s="17" t="s">
        <v>331</v>
      </c>
      <c r="D224" s="17" t="s">
        <v>689</v>
      </c>
      <c r="E224" s="17" t="s">
        <v>1059</v>
      </c>
      <c r="F224" s="17" t="s">
        <v>1118</v>
      </c>
      <c r="G224" s="17" t="s">
        <v>240</v>
      </c>
      <c r="H224" s="17" t="s">
        <v>94</v>
      </c>
      <c r="I224" s="17">
        <v>20263</v>
      </c>
      <c r="J224" s="17" t="s">
        <v>54</v>
      </c>
      <c r="K224" s="17" t="s">
        <v>73</v>
      </c>
      <c r="L224" s="17" t="s">
        <v>20</v>
      </c>
      <c r="M224" s="17" t="s">
        <v>487</v>
      </c>
      <c r="N224" s="17" t="s">
        <v>20</v>
      </c>
      <c r="O224" s="17" t="s">
        <v>493</v>
      </c>
      <c r="P224" s="17" t="s">
        <v>20</v>
      </c>
      <c r="Q224" s="17" t="s">
        <v>469</v>
      </c>
      <c r="R224" s="17" t="s">
        <v>20</v>
      </c>
      <c r="S224" s="17" t="s">
        <v>493</v>
      </c>
      <c r="T224" s="17">
        <v>0</v>
      </c>
      <c r="U224" s="18">
        <v>0</v>
      </c>
      <c r="V224" s="17" t="s">
        <v>1060</v>
      </c>
      <c r="X224" s="17" t="s">
        <v>66</v>
      </c>
      <c r="Y224" s="17" t="s">
        <v>328</v>
      </c>
      <c r="Z224" s="17" t="s">
        <v>477</v>
      </c>
      <c r="AA224" s="31">
        <v>784702.49797999999</v>
      </c>
      <c r="AB224" s="31">
        <v>2419481.5767600001</v>
      </c>
    </row>
    <row r="225" spans="1:28">
      <c r="A225" s="30">
        <v>224</v>
      </c>
      <c r="B225" s="17">
        <v>611122</v>
      </c>
      <c r="C225" s="17" t="s">
        <v>331</v>
      </c>
      <c r="D225" s="17" t="s">
        <v>689</v>
      </c>
      <c r="E225" s="17" t="s">
        <v>1059</v>
      </c>
      <c r="F225" s="17" t="s">
        <v>1118</v>
      </c>
      <c r="G225" s="17" t="s">
        <v>803</v>
      </c>
      <c r="H225" s="17" t="s">
        <v>94</v>
      </c>
      <c r="I225" s="17">
        <v>20263</v>
      </c>
      <c r="J225" s="17" t="s">
        <v>54</v>
      </c>
      <c r="K225" s="17" t="s">
        <v>63</v>
      </c>
      <c r="L225" s="17" t="s">
        <v>20</v>
      </c>
      <c r="M225" s="17" t="s">
        <v>487</v>
      </c>
      <c r="N225" s="17" t="s">
        <v>20</v>
      </c>
      <c r="O225" s="17" t="s">
        <v>493</v>
      </c>
      <c r="P225" s="17" t="s">
        <v>20</v>
      </c>
      <c r="Q225" s="17" t="s">
        <v>469</v>
      </c>
      <c r="R225" s="17" t="s">
        <v>20</v>
      </c>
      <c r="S225" s="17" t="s">
        <v>493</v>
      </c>
      <c r="T225" s="17">
        <v>0</v>
      </c>
      <c r="U225" s="18">
        <v>0</v>
      </c>
      <c r="V225" s="17" t="s">
        <v>1061</v>
      </c>
      <c r="X225" s="17" t="s">
        <v>66</v>
      </c>
      <c r="Y225" s="17" t="s">
        <v>328</v>
      </c>
      <c r="Z225" s="17" t="s">
        <v>477</v>
      </c>
      <c r="AA225" s="31">
        <v>784702.40551299998</v>
      </c>
      <c r="AB225" s="31">
        <v>2419483.2738600001</v>
      </c>
    </row>
    <row r="226" spans="1:28">
      <c r="A226" s="30">
        <v>225</v>
      </c>
      <c r="B226" s="17">
        <v>611122</v>
      </c>
      <c r="C226" s="17" t="s">
        <v>331</v>
      </c>
      <c r="D226" s="17" t="s">
        <v>689</v>
      </c>
      <c r="E226" s="17" t="s">
        <v>1062</v>
      </c>
      <c r="F226" s="17" t="s">
        <v>1118</v>
      </c>
      <c r="G226" s="17" t="s">
        <v>240</v>
      </c>
      <c r="H226" s="17" t="s">
        <v>94</v>
      </c>
      <c r="I226" s="17">
        <v>20196</v>
      </c>
      <c r="J226" s="17" t="s">
        <v>54</v>
      </c>
      <c r="K226" s="17" t="s">
        <v>63</v>
      </c>
      <c r="L226" s="17" t="s">
        <v>20</v>
      </c>
      <c r="M226" s="17" t="s">
        <v>316</v>
      </c>
      <c r="N226" s="17" t="s">
        <v>20</v>
      </c>
      <c r="O226" s="17" t="s">
        <v>329</v>
      </c>
      <c r="P226" s="17" t="s">
        <v>20</v>
      </c>
      <c r="Q226" s="17" t="s">
        <v>330</v>
      </c>
      <c r="R226" s="17" t="s">
        <v>20</v>
      </c>
      <c r="S226" s="17" t="s">
        <v>488</v>
      </c>
      <c r="T226" s="17">
        <v>0</v>
      </c>
      <c r="U226" s="18">
        <v>0</v>
      </c>
      <c r="X226" s="17" t="s">
        <v>66</v>
      </c>
      <c r="Y226" s="17" t="s">
        <v>328</v>
      </c>
      <c r="Z226" s="17" t="s">
        <v>477</v>
      </c>
      <c r="AA226" s="31">
        <v>784767.25980200002</v>
      </c>
      <c r="AB226" s="31">
        <v>2421686.2556599998</v>
      </c>
    </row>
    <row r="227" spans="1:28">
      <c r="A227" s="30">
        <v>226</v>
      </c>
      <c r="B227" s="17">
        <v>611122</v>
      </c>
      <c r="C227" s="17" t="s">
        <v>331</v>
      </c>
      <c r="D227" s="17" t="s">
        <v>689</v>
      </c>
      <c r="E227" s="17" t="s">
        <v>1063</v>
      </c>
      <c r="F227" s="17" t="s">
        <v>1118</v>
      </c>
      <c r="G227" s="17" t="s">
        <v>240</v>
      </c>
      <c r="H227" s="17" t="s">
        <v>94</v>
      </c>
      <c r="I227" s="17">
        <v>20196</v>
      </c>
      <c r="J227" s="17" t="s">
        <v>54</v>
      </c>
      <c r="K227" s="17" t="s">
        <v>73</v>
      </c>
      <c r="L227" s="17" t="s">
        <v>20</v>
      </c>
      <c r="M227" s="17" t="s">
        <v>316</v>
      </c>
      <c r="N227" s="17" t="s">
        <v>20</v>
      </c>
      <c r="O227" s="17" t="s">
        <v>329</v>
      </c>
      <c r="P227" s="17" t="s">
        <v>20</v>
      </c>
      <c r="Q227" s="17" t="s">
        <v>330</v>
      </c>
      <c r="R227" s="17" t="s">
        <v>20</v>
      </c>
      <c r="S227" s="17" t="s">
        <v>488</v>
      </c>
      <c r="T227" s="17">
        <v>0</v>
      </c>
      <c r="U227" s="18">
        <v>0</v>
      </c>
      <c r="X227" s="17" t="s">
        <v>66</v>
      </c>
      <c r="Y227" s="17" t="s">
        <v>328</v>
      </c>
      <c r="Z227" s="17" t="s">
        <v>477</v>
      </c>
      <c r="AA227" s="31">
        <v>784767.24184699997</v>
      </c>
      <c r="AB227" s="31">
        <v>2421684.9499599999</v>
      </c>
    </row>
    <row r="228" spans="1:28">
      <c r="A228" s="30">
        <v>227</v>
      </c>
      <c r="B228" s="17">
        <v>611122</v>
      </c>
      <c r="C228" s="17" t="s">
        <v>331</v>
      </c>
      <c r="D228" s="17" t="s">
        <v>689</v>
      </c>
      <c r="E228" s="17" t="s">
        <v>1064</v>
      </c>
      <c r="F228" s="17" t="s">
        <v>1118</v>
      </c>
      <c r="G228" s="17" t="s">
        <v>240</v>
      </c>
      <c r="H228" s="17" t="s">
        <v>94</v>
      </c>
      <c r="I228" s="17">
        <v>20190</v>
      </c>
      <c r="J228" s="17" t="s">
        <v>54</v>
      </c>
      <c r="K228" s="17" t="s">
        <v>73</v>
      </c>
      <c r="L228" s="17" t="s">
        <v>20</v>
      </c>
      <c r="M228" s="17" t="s">
        <v>496</v>
      </c>
      <c r="N228" s="17" t="s">
        <v>20</v>
      </c>
      <c r="O228" s="17" t="s">
        <v>485</v>
      </c>
      <c r="P228" s="17" t="s">
        <v>20</v>
      </c>
      <c r="Q228" s="17" t="s">
        <v>491</v>
      </c>
      <c r="R228" s="17" t="s">
        <v>20</v>
      </c>
      <c r="S228" s="17" t="s">
        <v>491</v>
      </c>
      <c r="T228" s="17">
        <v>0</v>
      </c>
      <c r="U228" s="18">
        <v>4491711593</v>
      </c>
      <c r="X228" s="17" t="s">
        <v>66</v>
      </c>
      <c r="Y228" s="17" t="s">
        <v>328</v>
      </c>
      <c r="Z228" s="17" t="s">
        <v>477</v>
      </c>
      <c r="AA228" s="31">
        <v>784021.15000499994</v>
      </c>
      <c r="AB228" s="31">
        <v>2422441.3245100002</v>
      </c>
    </row>
    <row r="229" spans="1:28">
      <c r="A229" s="30">
        <v>228</v>
      </c>
      <c r="B229" s="17">
        <v>611122</v>
      </c>
      <c r="C229" s="17" t="s">
        <v>331</v>
      </c>
      <c r="D229" s="17" t="s">
        <v>689</v>
      </c>
      <c r="E229" s="17" t="s">
        <v>1065</v>
      </c>
      <c r="F229" s="17" t="s">
        <v>1118</v>
      </c>
      <c r="G229" s="17" t="s">
        <v>240</v>
      </c>
      <c r="H229" s="17" t="s">
        <v>94</v>
      </c>
      <c r="I229" s="17">
        <v>20190</v>
      </c>
      <c r="J229" s="17" t="s">
        <v>54</v>
      </c>
      <c r="K229" s="17" t="s">
        <v>73</v>
      </c>
      <c r="L229" s="17" t="s">
        <v>20</v>
      </c>
      <c r="M229" s="17" t="s">
        <v>496</v>
      </c>
      <c r="N229" s="17" t="s">
        <v>20</v>
      </c>
      <c r="O229" s="17" t="s">
        <v>485</v>
      </c>
      <c r="P229" s="17" t="s">
        <v>20</v>
      </c>
      <c r="Q229" s="17" t="s">
        <v>491</v>
      </c>
      <c r="R229" s="17" t="s">
        <v>20</v>
      </c>
      <c r="S229" s="17" t="s">
        <v>491</v>
      </c>
      <c r="T229" s="17">
        <v>0</v>
      </c>
      <c r="U229" s="18">
        <v>4491711593</v>
      </c>
      <c r="X229" s="17" t="s">
        <v>66</v>
      </c>
      <c r="Y229" s="17" t="s">
        <v>328</v>
      </c>
      <c r="Z229" s="17" t="s">
        <v>477</v>
      </c>
      <c r="AA229" s="31">
        <v>784022.52349000005</v>
      </c>
      <c r="AB229" s="31">
        <v>2422441.84442</v>
      </c>
    </row>
    <row r="230" spans="1:28">
      <c r="A230" s="30">
        <v>229</v>
      </c>
      <c r="B230" s="17">
        <v>611122</v>
      </c>
      <c r="C230" s="17" t="s">
        <v>331</v>
      </c>
      <c r="D230" s="17" t="s">
        <v>689</v>
      </c>
      <c r="E230" s="17" t="s">
        <v>1066</v>
      </c>
      <c r="F230" s="17" t="s">
        <v>1118</v>
      </c>
      <c r="G230" s="17" t="s">
        <v>240</v>
      </c>
      <c r="H230" s="17" t="s">
        <v>94</v>
      </c>
      <c r="I230" s="17">
        <v>20196</v>
      </c>
      <c r="J230" s="17" t="s">
        <v>54</v>
      </c>
      <c r="K230" s="17" t="s">
        <v>73</v>
      </c>
      <c r="L230" s="17" t="s">
        <v>20</v>
      </c>
      <c r="M230" s="17" t="s">
        <v>481</v>
      </c>
      <c r="N230" s="17" t="s">
        <v>20</v>
      </c>
      <c r="O230" s="17" t="s">
        <v>1049</v>
      </c>
      <c r="P230" s="17" t="s">
        <v>20</v>
      </c>
      <c r="Q230" s="17" t="s">
        <v>476</v>
      </c>
      <c r="R230" s="17" t="s">
        <v>20</v>
      </c>
      <c r="S230" s="17" t="s">
        <v>676</v>
      </c>
      <c r="T230" s="17">
        <v>110</v>
      </c>
      <c r="U230" s="18">
        <v>4491012195</v>
      </c>
      <c r="V230" s="17" t="s">
        <v>1067</v>
      </c>
      <c r="W230" s="17" t="s">
        <v>1068</v>
      </c>
      <c r="X230" s="17" t="s">
        <v>66</v>
      </c>
      <c r="Y230" s="17" t="s">
        <v>328</v>
      </c>
      <c r="Z230" s="17" t="s">
        <v>477</v>
      </c>
      <c r="AA230" s="31">
        <v>784466.08347700001</v>
      </c>
      <c r="AB230" s="31">
        <v>2422413.7723099999</v>
      </c>
    </row>
    <row r="231" spans="1:28">
      <c r="A231" s="30">
        <v>230</v>
      </c>
      <c r="B231" s="17">
        <v>611122</v>
      </c>
      <c r="C231" s="17" t="s">
        <v>331</v>
      </c>
      <c r="D231" s="17" t="s">
        <v>689</v>
      </c>
      <c r="E231" s="17" t="s">
        <v>1069</v>
      </c>
      <c r="F231" s="17" t="s">
        <v>1118</v>
      </c>
      <c r="G231" s="17" t="s">
        <v>240</v>
      </c>
      <c r="H231" s="17" t="s">
        <v>94</v>
      </c>
      <c r="I231" s="17">
        <v>20196</v>
      </c>
      <c r="J231" s="17" t="s">
        <v>54</v>
      </c>
      <c r="K231" s="17" t="s">
        <v>73</v>
      </c>
      <c r="L231" s="17" t="s">
        <v>20</v>
      </c>
      <c r="M231" s="17" t="s">
        <v>481</v>
      </c>
      <c r="N231" s="17" t="s">
        <v>20</v>
      </c>
      <c r="O231" s="17" t="s">
        <v>1049</v>
      </c>
      <c r="P231" s="17" t="s">
        <v>20</v>
      </c>
      <c r="Q231" s="17" t="s">
        <v>476</v>
      </c>
      <c r="R231" s="17" t="s">
        <v>20</v>
      </c>
      <c r="S231" s="17" t="s">
        <v>676</v>
      </c>
      <c r="T231" s="17">
        <v>110</v>
      </c>
      <c r="U231" s="18">
        <v>4491012195</v>
      </c>
      <c r="V231" s="17" t="s">
        <v>1070</v>
      </c>
      <c r="X231" s="17" t="s">
        <v>64</v>
      </c>
      <c r="Y231" s="17" t="s">
        <v>328</v>
      </c>
      <c r="Z231" s="17" t="s">
        <v>477</v>
      </c>
      <c r="AA231" s="31">
        <v>784466.08347700001</v>
      </c>
      <c r="AB231" s="31">
        <v>2422413.7723099999</v>
      </c>
    </row>
    <row r="232" spans="1:28">
      <c r="A232" s="30">
        <v>231</v>
      </c>
      <c r="B232" s="17">
        <v>611122</v>
      </c>
      <c r="C232" s="17" t="s">
        <v>331</v>
      </c>
      <c r="D232" s="17" t="s">
        <v>689</v>
      </c>
      <c r="E232" s="17" t="s">
        <v>1071</v>
      </c>
      <c r="F232" s="17" t="s">
        <v>1118</v>
      </c>
      <c r="G232" s="17" t="s">
        <v>1072</v>
      </c>
      <c r="H232" s="17" t="s">
        <v>94</v>
      </c>
      <c r="I232" s="17">
        <v>20190</v>
      </c>
      <c r="J232" s="17" t="s">
        <v>54</v>
      </c>
      <c r="K232" s="17" t="s">
        <v>73</v>
      </c>
      <c r="L232" s="17" t="s">
        <v>20</v>
      </c>
      <c r="M232" s="17" t="s">
        <v>498</v>
      </c>
      <c r="N232" s="17" t="s">
        <v>20</v>
      </c>
      <c r="O232" s="17" t="s">
        <v>155</v>
      </c>
      <c r="P232" s="17" t="s">
        <v>119</v>
      </c>
      <c r="Q232" s="17" t="s">
        <v>280</v>
      </c>
      <c r="R232" s="17" t="s">
        <v>20</v>
      </c>
      <c r="S232" s="17" t="s">
        <v>486</v>
      </c>
      <c r="T232" s="17">
        <v>0</v>
      </c>
      <c r="U232" s="18">
        <v>4499702998</v>
      </c>
      <c r="X232" s="17" t="s">
        <v>66</v>
      </c>
      <c r="Y232" s="17" t="s">
        <v>328</v>
      </c>
      <c r="Z232" s="17" t="s">
        <v>477</v>
      </c>
      <c r="AA232" s="31">
        <v>783229.55556799995</v>
      </c>
      <c r="AB232" s="31">
        <v>2423122.9352199999</v>
      </c>
    </row>
    <row r="233" spans="1:28">
      <c r="A233" s="30">
        <v>232</v>
      </c>
      <c r="B233" s="17">
        <v>611122</v>
      </c>
      <c r="C233" s="17" t="s">
        <v>331</v>
      </c>
      <c r="D233" s="17" t="s">
        <v>689</v>
      </c>
      <c r="E233" s="17" t="s">
        <v>1073</v>
      </c>
      <c r="F233" s="17" t="s">
        <v>1118</v>
      </c>
      <c r="G233" s="17" t="s">
        <v>240</v>
      </c>
      <c r="H233" s="17" t="s">
        <v>94</v>
      </c>
      <c r="I233" s="17">
        <v>20190</v>
      </c>
      <c r="J233" s="17" t="s">
        <v>54</v>
      </c>
      <c r="K233" s="17" t="s">
        <v>63</v>
      </c>
      <c r="L233" s="17" t="s">
        <v>20</v>
      </c>
      <c r="M233" s="17" t="s">
        <v>498</v>
      </c>
      <c r="N233" s="17" t="s">
        <v>20</v>
      </c>
      <c r="O233" s="17" t="s">
        <v>155</v>
      </c>
      <c r="P233" s="17" t="s">
        <v>119</v>
      </c>
      <c r="Q233" s="17" t="s">
        <v>280</v>
      </c>
      <c r="R233" s="17" t="s">
        <v>20</v>
      </c>
      <c r="S233" s="17" t="s">
        <v>486</v>
      </c>
      <c r="T233" s="17">
        <v>0</v>
      </c>
      <c r="U233" s="18">
        <v>4499701968</v>
      </c>
      <c r="X233" s="17" t="s">
        <v>66</v>
      </c>
      <c r="Y233" s="17" t="s">
        <v>328</v>
      </c>
      <c r="Z233" s="17" t="s">
        <v>477</v>
      </c>
      <c r="AA233" s="31">
        <v>783229.49929599999</v>
      </c>
      <c r="AB233" s="31">
        <v>2423124.2916600001</v>
      </c>
    </row>
    <row r="234" spans="1:28">
      <c r="A234" s="30">
        <v>233</v>
      </c>
      <c r="B234" s="17">
        <v>611122</v>
      </c>
      <c r="C234" s="17" t="s">
        <v>331</v>
      </c>
      <c r="D234" s="17" t="s">
        <v>689</v>
      </c>
      <c r="E234" s="17" t="s">
        <v>1074</v>
      </c>
      <c r="F234" s="17" t="s">
        <v>1118</v>
      </c>
      <c r="G234" s="17" t="s">
        <v>240</v>
      </c>
      <c r="H234" s="17" t="s">
        <v>94</v>
      </c>
      <c r="I234" s="17">
        <v>20196</v>
      </c>
      <c r="J234" s="17" t="s">
        <v>54</v>
      </c>
      <c r="K234" s="17" t="s">
        <v>73</v>
      </c>
      <c r="L234" s="17" t="s">
        <v>20</v>
      </c>
      <c r="M234" s="17" t="s">
        <v>668</v>
      </c>
      <c r="N234" s="17" t="s">
        <v>20</v>
      </c>
      <c r="O234" s="17" t="s">
        <v>489</v>
      </c>
      <c r="P234" s="17" t="s">
        <v>20</v>
      </c>
      <c r="Q234" s="17" t="s">
        <v>673</v>
      </c>
      <c r="R234" s="17" t="s">
        <v>20</v>
      </c>
      <c r="S234" s="17" t="s">
        <v>489</v>
      </c>
      <c r="T234" s="17">
        <v>102</v>
      </c>
      <c r="U234" s="18">
        <v>0</v>
      </c>
      <c r="V234" s="17" t="s">
        <v>1075</v>
      </c>
      <c r="X234" s="17" t="s">
        <v>66</v>
      </c>
      <c r="Y234" s="17" t="s">
        <v>328</v>
      </c>
      <c r="Z234" s="17" t="s">
        <v>477</v>
      </c>
      <c r="AA234" s="31">
        <v>784187.17157899996</v>
      </c>
      <c r="AB234" s="31">
        <v>2421398.4899800001</v>
      </c>
    </row>
    <row r="235" spans="1:28">
      <c r="A235" s="30">
        <v>234</v>
      </c>
      <c r="B235" s="17">
        <v>611122</v>
      </c>
      <c r="C235" s="17" t="s">
        <v>331</v>
      </c>
      <c r="D235" s="17" t="s">
        <v>689</v>
      </c>
      <c r="E235" s="17" t="s">
        <v>1076</v>
      </c>
      <c r="F235" s="17" t="s">
        <v>1118</v>
      </c>
      <c r="G235" s="17" t="s">
        <v>240</v>
      </c>
      <c r="H235" s="17" t="s">
        <v>94</v>
      </c>
      <c r="I235" s="17">
        <v>20299</v>
      </c>
      <c r="J235" s="17" t="s">
        <v>54</v>
      </c>
      <c r="K235" s="17" t="s">
        <v>73</v>
      </c>
      <c r="L235" s="17" t="s">
        <v>20</v>
      </c>
      <c r="M235" s="17" t="s">
        <v>471</v>
      </c>
      <c r="N235" s="17" t="s">
        <v>20</v>
      </c>
      <c r="O235" s="17" t="s">
        <v>490</v>
      </c>
      <c r="P235" s="17" t="s">
        <v>20</v>
      </c>
      <c r="Q235" s="17" t="s">
        <v>472</v>
      </c>
      <c r="R235" s="17" t="s">
        <v>20</v>
      </c>
      <c r="S235" s="17" t="s">
        <v>490</v>
      </c>
      <c r="T235" s="17">
        <v>107</v>
      </c>
      <c r="U235" s="18">
        <v>4492141960</v>
      </c>
      <c r="V235" s="17" t="s">
        <v>1077</v>
      </c>
      <c r="X235" s="17" t="s">
        <v>66</v>
      </c>
      <c r="Y235" s="17" t="s">
        <v>328</v>
      </c>
      <c r="Z235" s="17" t="s">
        <v>477</v>
      </c>
      <c r="AA235" s="31">
        <v>784186.81885699998</v>
      </c>
      <c r="AB235" s="31">
        <v>2419148.4139299998</v>
      </c>
    </row>
    <row r="236" spans="1:28">
      <c r="A236" s="30">
        <v>235</v>
      </c>
      <c r="B236" s="17">
        <v>611122</v>
      </c>
      <c r="C236" s="17" t="s">
        <v>331</v>
      </c>
      <c r="D236" s="17" t="s">
        <v>689</v>
      </c>
      <c r="E236" s="17" t="s">
        <v>1078</v>
      </c>
      <c r="F236" s="17" t="s">
        <v>1118</v>
      </c>
      <c r="G236" s="17" t="s">
        <v>240</v>
      </c>
      <c r="H236" s="17" t="s">
        <v>94</v>
      </c>
      <c r="I236" s="17">
        <v>20299</v>
      </c>
      <c r="J236" s="17" t="s">
        <v>54</v>
      </c>
      <c r="K236" s="17" t="s">
        <v>63</v>
      </c>
      <c r="L236" s="17" t="s">
        <v>20</v>
      </c>
      <c r="M236" s="17" t="s">
        <v>471</v>
      </c>
      <c r="N236" s="17" t="s">
        <v>20</v>
      </c>
      <c r="O236" s="17" t="s">
        <v>490</v>
      </c>
      <c r="P236" s="17" t="s">
        <v>20</v>
      </c>
      <c r="Q236" s="17" t="s">
        <v>472</v>
      </c>
      <c r="R236" s="17" t="s">
        <v>20</v>
      </c>
      <c r="S236" s="17" t="s">
        <v>490</v>
      </c>
      <c r="T236" s="17">
        <v>107</v>
      </c>
      <c r="U236" s="18">
        <v>0</v>
      </c>
      <c r="V236" s="17" t="s">
        <v>1079</v>
      </c>
      <c r="X236" s="17" t="s">
        <v>66</v>
      </c>
      <c r="Y236" s="17" t="s">
        <v>328</v>
      </c>
      <c r="Z236" s="17" t="s">
        <v>477</v>
      </c>
      <c r="AA236" s="31">
        <v>784183.15573999996</v>
      </c>
      <c r="AB236" s="31">
        <v>2419159.9338699998</v>
      </c>
    </row>
    <row r="237" spans="1:28">
      <c r="A237" s="30">
        <v>236</v>
      </c>
      <c r="B237" s="17">
        <v>611122</v>
      </c>
      <c r="C237" s="17" t="s">
        <v>331</v>
      </c>
      <c r="D237" s="17" t="s">
        <v>689</v>
      </c>
      <c r="E237" s="17" t="s">
        <v>1080</v>
      </c>
      <c r="F237" s="17" t="s">
        <v>1118</v>
      </c>
      <c r="G237" s="17" t="s">
        <v>240</v>
      </c>
      <c r="H237" s="17" t="s">
        <v>94</v>
      </c>
      <c r="I237" s="17">
        <v>20263</v>
      </c>
      <c r="J237" s="17" t="s">
        <v>54</v>
      </c>
      <c r="K237" s="17" t="s">
        <v>63</v>
      </c>
      <c r="L237" s="17" t="s">
        <v>20</v>
      </c>
      <c r="M237" s="17" t="s">
        <v>674</v>
      </c>
      <c r="N237" s="17" t="s">
        <v>56</v>
      </c>
      <c r="O237" s="17" t="s">
        <v>156</v>
      </c>
      <c r="P237" s="17" t="s">
        <v>20</v>
      </c>
      <c r="Q237" s="17" t="s">
        <v>492</v>
      </c>
      <c r="R237" s="17" t="s">
        <v>56</v>
      </c>
      <c r="S237" s="17" t="s">
        <v>156</v>
      </c>
      <c r="T237" s="17">
        <v>0</v>
      </c>
      <c r="U237" s="18">
        <v>4491401453</v>
      </c>
      <c r="X237" s="17" t="s">
        <v>66</v>
      </c>
      <c r="Y237" s="17" t="s">
        <v>328</v>
      </c>
      <c r="Z237" s="17" t="s">
        <v>477</v>
      </c>
      <c r="AA237" s="31">
        <v>784675.04023799999</v>
      </c>
      <c r="AB237" s="31">
        <v>2420485.36454</v>
      </c>
    </row>
    <row r="238" spans="1:28">
      <c r="A238" s="30">
        <v>237</v>
      </c>
      <c r="B238" s="17">
        <v>611122</v>
      </c>
      <c r="C238" s="17" t="s">
        <v>331</v>
      </c>
      <c r="D238" s="17" t="s">
        <v>689</v>
      </c>
      <c r="E238" s="17" t="s">
        <v>1081</v>
      </c>
      <c r="F238" s="17" t="s">
        <v>1118</v>
      </c>
      <c r="G238" s="17" t="s">
        <v>240</v>
      </c>
      <c r="H238" s="17" t="s">
        <v>94</v>
      </c>
      <c r="I238" s="17">
        <v>20263</v>
      </c>
      <c r="J238" s="17" t="s">
        <v>54</v>
      </c>
      <c r="K238" s="17" t="s">
        <v>73</v>
      </c>
      <c r="L238" s="17" t="s">
        <v>20</v>
      </c>
      <c r="M238" s="17" t="s">
        <v>674</v>
      </c>
      <c r="N238" s="17" t="s">
        <v>56</v>
      </c>
      <c r="O238" s="17" t="s">
        <v>156</v>
      </c>
      <c r="P238" s="17" t="s">
        <v>20</v>
      </c>
      <c r="Q238" s="17" t="s">
        <v>492</v>
      </c>
      <c r="R238" s="17" t="s">
        <v>56</v>
      </c>
      <c r="S238" s="17" t="s">
        <v>156</v>
      </c>
      <c r="T238" s="17">
        <v>0</v>
      </c>
      <c r="U238" s="18">
        <v>0</v>
      </c>
      <c r="X238" s="17" t="s">
        <v>66</v>
      </c>
      <c r="Y238" s="17" t="s">
        <v>328</v>
      </c>
      <c r="Z238" s="17" t="s">
        <v>477</v>
      </c>
      <c r="AA238" s="31">
        <v>784676.44447999995</v>
      </c>
      <c r="AB238" s="31">
        <v>2420489.2570699998</v>
      </c>
    </row>
    <row r="239" spans="1:28">
      <c r="A239" s="30">
        <v>238</v>
      </c>
      <c r="B239" s="17">
        <v>611122</v>
      </c>
      <c r="C239" s="17" t="s">
        <v>331</v>
      </c>
      <c r="D239" s="17" t="s">
        <v>689</v>
      </c>
      <c r="E239" s="17" t="s">
        <v>1082</v>
      </c>
      <c r="F239" s="17" t="s">
        <v>1118</v>
      </c>
      <c r="G239" s="17" t="s">
        <v>240</v>
      </c>
      <c r="H239" s="17" t="s">
        <v>94</v>
      </c>
      <c r="I239" s="17">
        <v>20326</v>
      </c>
      <c r="J239" s="17" t="s">
        <v>54</v>
      </c>
      <c r="K239" s="17" t="s">
        <v>73</v>
      </c>
      <c r="L239" s="17" t="s">
        <v>20</v>
      </c>
      <c r="M239" s="17" t="s">
        <v>503</v>
      </c>
      <c r="N239" s="17" t="s">
        <v>20</v>
      </c>
      <c r="O239" s="17" t="s">
        <v>502</v>
      </c>
      <c r="P239" s="17" t="s">
        <v>58</v>
      </c>
      <c r="Q239" s="17" t="s">
        <v>503</v>
      </c>
      <c r="R239" s="17" t="s">
        <v>20</v>
      </c>
      <c r="S239" s="17" t="s">
        <v>504</v>
      </c>
      <c r="T239" s="17">
        <v>0</v>
      </c>
      <c r="U239" s="18">
        <v>0</v>
      </c>
      <c r="V239" s="17" t="s">
        <v>1083</v>
      </c>
      <c r="X239" s="17" t="s">
        <v>66</v>
      </c>
      <c r="Y239" s="17" t="s">
        <v>180</v>
      </c>
      <c r="Z239" s="17" t="s">
        <v>500</v>
      </c>
      <c r="AA239" s="31">
        <v>775425.62318500003</v>
      </c>
      <c r="AB239" s="31">
        <v>2422323.7010499998</v>
      </c>
    </row>
    <row r="240" spans="1:28">
      <c r="A240" s="30">
        <v>239</v>
      </c>
      <c r="B240" s="17">
        <v>611122</v>
      </c>
      <c r="C240" s="17" t="s">
        <v>331</v>
      </c>
      <c r="D240" s="17" t="s">
        <v>689</v>
      </c>
      <c r="E240" s="17" t="s">
        <v>1084</v>
      </c>
      <c r="F240" s="17" t="s">
        <v>1118</v>
      </c>
      <c r="G240" s="17" t="s">
        <v>240</v>
      </c>
      <c r="H240" s="17" t="s">
        <v>94</v>
      </c>
      <c r="I240" s="17">
        <v>20326</v>
      </c>
      <c r="J240" s="17" t="s">
        <v>54</v>
      </c>
      <c r="K240" s="17" t="s">
        <v>63</v>
      </c>
      <c r="L240" s="17" t="s">
        <v>20</v>
      </c>
      <c r="M240" s="17" t="s">
        <v>503</v>
      </c>
      <c r="N240" s="17" t="s">
        <v>20</v>
      </c>
      <c r="O240" s="17" t="s">
        <v>502</v>
      </c>
      <c r="P240" s="17" t="s">
        <v>58</v>
      </c>
      <c r="Q240" s="17" t="s">
        <v>503</v>
      </c>
      <c r="R240" s="17" t="s">
        <v>20</v>
      </c>
      <c r="S240" s="17" t="s">
        <v>504</v>
      </c>
      <c r="T240" s="17">
        <v>0</v>
      </c>
      <c r="U240" s="18">
        <v>0</v>
      </c>
      <c r="V240" s="17" t="s">
        <v>1085</v>
      </c>
      <c r="X240" s="17" t="s">
        <v>66</v>
      </c>
      <c r="Y240" s="17" t="s">
        <v>180</v>
      </c>
      <c r="Z240" s="17" t="s">
        <v>500</v>
      </c>
      <c r="AA240" s="31">
        <v>775434.98854499997</v>
      </c>
      <c r="AB240" s="31">
        <v>2422324.6613599998</v>
      </c>
    </row>
    <row r="241" spans="1:28">
      <c r="A241" s="30">
        <v>240</v>
      </c>
      <c r="B241" s="17">
        <v>611122</v>
      </c>
      <c r="C241" s="17" t="s">
        <v>331</v>
      </c>
      <c r="D241" s="17" t="s">
        <v>689</v>
      </c>
      <c r="E241" s="17" t="s">
        <v>1086</v>
      </c>
      <c r="F241" s="17" t="s">
        <v>1118</v>
      </c>
      <c r="G241" s="17" t="s">
        <v>1087</v>
      </c>
      <c r="H241" s="17" t="s">
        <v>69</v>
      </c>
      <c r="I241" s="17">
        <v>20018</v>
      </c>
      <c r="J241" s="17" t="s">
        <v>54</v>
      </c>
      <c r="K241" s="17" t="s">
        <v>73</v>
      </c>
      <c r="L241" s="17" t="s">
        <v>20</v>
      </c>
      <c r="M241" s="17" t="s">
        <v>507</v>
      </c>
      <c r="N241" s="17" t="s">
        <v>58</v>
      </c>
      <c r="O241" s="17" t="s">
        <v>507</v>
      </c>
      <c r="P241" s="17" t="s">
        <v>132</v>
      </c>
      <c r="Q241" s="17" t="s">
        <v>506</v>
      </c>
      <c r="R241" s="17" t="s">
        <v>132</v>
      </c>
      <c r="S241" s="17" t="s">
        <v>506</v>
      </c>
      <c r="T241" s="17">
        <v>136</v>
      </c>
      <c r="U241" s="18">
        <v>0</v>
      </c>
      <c r="X241" s="17" t="s">
        <v>64</v>
      </c>
      <c r="Y241" s="17" t="s">
        <v>180</v>
      </c>
      <c r="Z241" s="17" t="s">
        <v>505</v>
      </c>
      <c r="AA241" s="31">
        <v>776411.88840199995</v>
      </c>
      <c r="AB241" s="31">
        <v>2420921.1378799998</v>
      </c>
    </row>
    <row r="242" spans="1:28">
      <c r="A242" s="30">
        <v>241</v>
      </c>
      <c r="B242" s="17">
        <v>611122</v>
      </c>
      <c r="C242" s="17" t="s">
        <v>331</v>
      </c>
      <c r="D242" s="17" t="s">
        <v>689</v>
      </c>
      <c r="E242" s="17" t="s">
        <v>1088</v>
      </c>
      <c r="F242" s="17" t="s">
        <v>1118</v>
      </c>
      <c r="G242" s="17" t="s">
        <v>240</v>
      </c>
      <c r="H242" s="17" t="s">
        <v>94</v>
      </c>
      <c r="I242" s="17">
        <v>20200</v>
      </c>
      <c r="J242" s="17" t="s">
        <v>54</v>
      </c>
      <c r="K242" s="17" t="s">
        <v>73</v>
      </c>
      <c r="L242" s="17" t="s">
        <v>20</v>
      </c>
      <c r="M242" s="17" t="s">
        <v>509</v>
      </c>
      <c r="N242" s="17" t="s">
        <v>20</v>
      </c>
      <c r="O242" s="17" t="s">
        <v>510</v>
      </c>
      <c r="P242" s="17" t="s">
        <v>20</v>
      </c>
      <c r="Q242" s="17" t="s">
        <v>508</v>
      </c>
      <c r="R242" s="17" t="s">
        <v>20</v>
      </c>
      <c r="S242" s="17" t="s">
        <v>679</v>
      </c>
      <c r="T242" s="17">
        <v>0</v>
      </c>
      <c r="U242" s="18">
        <v>0</v>
      </c>
      <c r="V242" s="17" t="s">
        <v>1089</v>
      </c>
      <c r="X242" s="17" t="s">
        <v>66</v>
      </c>
      <c r="Y242" s="17" t="s">
        <v>180</v>
      </c>
      <c r="Z242" s="17" t="s">
        <v>505</v>
      </c>
      <c r="AA242" s="31">
        <v>774807.86419400002</v>
      </c>
      <c r="AB242" s="31">
        <v>2418840.62769</v>
      </c>
    </row>
    <row r="243" spans="1:28">
      <c r="A243" s="30">
        <v>242</v>
      </c>
      <c r="B243" s="17">
        <v>611121</v>
      </c>
      <c r="C243" s="17" t="s">
        <v>331</v>
      </c>
      <c r="D243" s="17" t="s">
        <v>52</v>
      </c>
      <c r="E243" s="17" t="s">
        <v>1092</v>
      </c>
      <c r="F243" s="17" t="s">
        <v>1117</v>
      </c>
      <c r="G243" s="17" t="s">
        <v>1090</v>
      </c>
      <c r="H243" s="17" t="s">
        <v>94</v>
      </c>
      <c r="I243" s="17">
        <v>20207</v>
      </c>
      <c r="J243" s="17" t="s">
        <v>54</v>
      </c>
      <c r="K243" s="17" t="s">
        <v>73</v>
      </c>
      <c r="L243" s="17" t="s">
        <v>20</v>
      </c>
      <c r="M243" s="17" t="s">
        <v>1091</v>
      </c>
      <c r="N243" s="17" t="s">
        <v>56</v>
      </c>
      <c r="O243" s="17" t="s">
        <v>680</v>
      </c>
      <c r="P243" s="17" t="s">
        <v>56</v>
      </c>
      <c r="Q243" s="17" t="s">
        <v>1093</v>
      </c>
      <c r="S243" s="17" t="s">
        <v>59</v>
      </c>
      <c r="T243" s="17">
        <v>402</v>
      </c>
      <c r="U243" s="18">
        <v>0</v>
      </c>
      <c r="X243" s="17" t="s">
        <v>60</v>
      </c>
      <c r="Y243" s="17" t="s">
        <v>180</v>
      </c>
      <c r="Z243" s="17" t="s">
        <v>505</v>
      </c>
      <c r="AA243" s="31">
        <v>776624.79683899996</v>
      </c>
      <c r="AB243" s="31">
        <v>2420429.60947</v>
      </c>
    </row>
    <row r="244" spans="1:28">
      <c r="A244" s="30">
        <v>243</v>
      </c>
      <c r="B244" s="17">
        <v>611122</v>
      </c>
      <c r="C244" s="17" t="s">
        <v>331</v>
      </c>
      <c r="D244" s="17" t="s">
        <v>689</v>
      </c>
      <c r="E244" s="17" t="s">
        <v>1094</v>
      </c>
      <c r="F244" s="17" t="s">
        <v>1118</v>
      </c>
      <c r="G244" s="17" t="s">
        <v>240</v>
      </c>
      <c r="H244" s="17" t="s">
        <v>69</v>
      </c>
      <c r="I244" s="17">
        <v>20130</v>
      </c>
      <c r="J244" s="17" t="s">
        <v>54</v>
      </c>
      <c r="K244" s="17" t="s">
        <v>73</v>
      </c>
      <c r="L244" s="17" t="s">
        <v>20</v>
      </c>
      <c r="M244" s="17" t="s">
        <v>514</v>
      </c>
      <c r="N244" s="17" t="s">
        <v>20</v>
      </c>
      <c r="O244" s="17" t="s">
        <v>501</v>
      </c>
      <c r="P244" s="17" t="s">
        <v>20</v>
      </c>
      <c r="Q244" s="17" t="s">
        <v>520</v>
      </c>
      <c r="R244" s="17" t="s">
        <v>20</v>
      </c>
      <c r="S244" s="17" t="s">
        <v>521</v>
      </c>
      <c r="T244" s="17">
        <v>0</v>
      </c>
      <c r="U244" s="18">
        <v>4491746515</v>
      </c>
      <c r="V244" s="17" t="s">
        <v>1095</v>
      </c>
      <c r="X244" s="17" t="s">
        <v>66</v>
      </c>
      <c r="Y244" s="17" t="s">
        <v>164</v>
      </c>
      <c r="Z244" s="17" t="s">
        <v>516</v>
      </c>
      <c r="AA244" s="31">
        <v>778531.10176800005</v>
      </c>
      <c r="AB244" s="31">
        <v>2425284.8968799999</v>
      </c>
    </row>
    <row r="245" spans="1:28">
      <c r="A245" s="30">
        <v>244</v>
      </c>
      <c r="B245" s="17">
        <v>611122</v>
      </c>
      <c r="C245" s="17" t="s">
        <v>331</v>
      </c>
      <c r="D245" s="17" t="s">
        <v>689</v>
      </c>
      <c r="E245" s="17" t="s">
        <v>1096</v>
      </c>
      <c r="F245" s="17" t="s">
        <v>1118</v>
      </c>
      <c r="G245" s="17" t="s">
        <v>240</v>
      </c>
      <c r="H245" s="17" t="s">
        <v>69</v>
      </c>
      <c r="I245" s="17">
        <v>20130</v>
      </c>
      <c r="J245" s="17" t="s">
        <v>54</v>
      </c>
      <c r="K245" s="17" t="s">
        <v>63</v>
      </c>
      <c r="L245" s="17" t="s">
        <v>119</v>
      </c>
      <c r="M245" s="17" t="s">
        <v>528</v>
      </c>
      <c r="N245" s="17" t="s">
        <v>20</v>
      </c>
      <c r="O245" s="17" t="s">
        <v>224</v>
      </c>
      <c r="P245" s="17" t="s">
        <v>20</v>
      </c>
      <c r="Q245" s="17" t="s">
        <v>513</v>
      </c>
      <c r="R245" s="17" t="s">
        <v>119</v>
      </c>
      <c r="S245" s="17" t="s">
        <v>190</v>
      </c>
      <c r="T245" s="17">
        <v>2423</v>
      </c>
      <c r="U245" s="18">
        <v>0</v>
      </c>
      <c r="V245" s="17" t="s">
        <v>1097</v>
      </c>
      <c r="X245" s="17" t="s">
        <v>66</v>
      </c>
      <c r="Y245" s="17" t="s">
        <v>164</v>
      </c>
      <c r="Z245" s="17" t="s">
        <v>516</v>
      </c>
      <c r="AA245" s="31">
        <v>778765.21242899995</v>
      </c>
      <c r="AB245" s="31">
        <v>2424977.1158699999</v>
      </c>
    </row>
    <row r="246" spans="1:28">
      <c r="A246" s="30">
        <v>245</v>
      </c>
      <c r="B246" s="17">
        <v>611122</v>
      </c>
      <c r="C246" s="17" t="s">
        <v>331</v>
      </c>
      <c r="D246" s="17" t="s">
        <v>689</v>
      </c>
      <c r="E246" s="17" t="s">
        <v>1098</v>
      </c>
      <c r="F246" s="17" t="s">
        <v>1118</v>
      </c>
      <c r="G246" s="17" t="s">
        <v>713</v>
      </c>
      <c r="H246" s="17" t="s">
        <v>78</v>
      </c>
      <c r="I246" s="17">
        <v>20328</v>
      </c>
      <c r="J246" s="17" t="s">
        <v>54</v>
      </c>
      <c r="K246" s="17" t="s">
        <v>73</v>
      </c>
      <c r="L246" s="17" t="s">
        <v>20</v>
      </c>
      <c r="M246" s="17" t="s">
        <v>90</v>
      </c>
      <c r="N246" s="17" t="s">
        <v>58</v>
      </c>
      <c r="O246" s="17" t="s">
        <v>682</v>
      </c>
      <c r="P246" s="17" t="s">
        <v>20</v>
      </c>
      <c r="Q246" s="17" t="s">
        <v>526</v>
      </c>
      <c r="R246" s="17" t="s">
        <v>20</v>
      </c>
      <c r="S246" s="17" t="s">
        <v>683</v>
      </c>
      <c r="T246" s="17">
        <v>0</v>
      </c>
      <c r="U246" s="18">
        <v>4499636431</v>
      </c>
      <c r="X246" s="17" t="s">
        <v>66</v>
      </c>
      <c r="Y246" s="17" t="s">
        <v>164</v>
      </c>
      <c r="Z246" s="17" t="s">
        <v>516</v>
      </c>
      <c r="AA246" s="31">
        <v>775671.28109099995</v>
      </c>
      <c r="AB246" s="31">
        <v>2426690.5128799998</v>
      </c>
    </row>
    <row r="247" spans="1:28">
      <c r="A247" s="30">
        <v>246</v>
      </c>
      <c r="B247" s="17">
        <v>611122</v>
      </c>
      <c r="C247" s="17" t="s">
        <v>331</v>
      </c>
      <c r="D247" s="17" t="s">
        <v>689</v>
      </c>
      <c r="E247" s="17" t="s">
        <v>1099</v>
      </c>
      <c r="F247" s="17" t="s">
        <v>1118</v>
      </c>
      <c r="G247" s="17" t="s">
        <v>1099</v>
      </c>
      <c r="H247" s="17" t="s">
        <v>94</v>
      </c>
      <c r="I247" s="17">
        <v>20120</v>
      </c>
      <c r="J247" s="17" t="s">
        <v>54</v>
      </c>
      <c r="K247" s="17" t="s">
        <v>73</v>
      </c>
      <c r="L247" s="17" t="s">
        <v>20</v>
      </c>
      <c r="M247" s="17" t="s">
        <v>685</v>
      </c>
      <c r="N247" s="17" t="s">
        <v>20</v>
      </c>
      <c r="O247" s="17" t="s">
        <v>512</v>
      </c>
      <c r="P247" s="17" t="s">
        <v>20</v>
      </c>
      <c r="Q247" s="17" t="s">
        <v>517</v>
      </c>
      <c r="R247" s="17" t="s">
        <v>20</v>
      </c>
      <c r="S247" s="17" t="s">
        <v>525</v>
      </c>
      <c r="T247" s="17">
        <v>0</v>
      </c>
      <c r="U247" s="18">
        <v>4499121457</v>
      </c>
      <c r="V247" s="17" t="s">
        <v>1100</v>
      </c>
      <c r="X247" s="17" t="s">
        <v>66</v>
      </c>
      <c r="Y247" s="17" t="s">
        <v>164</v>
      </c>
      <c r="Z247" s="17" t="s">
        <v>516</v>
      </c>
      <c r="AA247" s="31">
        <v>777647.75738600001</v>
      </c>
      <c r="AB247" s="31">
        <v>2426718.83561</v>
      </c>
    </row>
    <row r="248" spans="1:28">
      <c r="A248" s="30">
        <v>247</v>
      </c>
      <c r="B248" s="17">
        <v>611122</v>
      </c>
      <c r="C248" s="17" t="s">
        <v>331</v>
      </c>
      <c r="D248" s="17" t="s">
        <v>689</v>
      </c>
      <c r="E248" s="17" t="s">
        <v>1101</v>
      </c>
      <c r="F248" s="17" t="s">
        <v>1118</v>
      </c>
      <c r="G248" s="17" t="s">
        <v>240</v>
      </c>
      <c r="H248" s="17" t="s">
        <v>94</v>
      </c>
      <c r="I248" s="17">
        <v>20120</v>
      </c>
      <c r="J248" s="17" t="s">
        <v>54</v>
      </c>
      <c r="K248" s="17" t="s">
        <v>73</v>
      </c>
      <c r="L248" s="17" t="s">
        <v>20</v>
      </c>
      <c r="M248" s="17" t="s">
        <v>685</v>
      </c>
      <c r="N248" s="17" t="s">
        <v>20</v>
      </c>
      <c r="O248" s="17" t="s">
        <v>512</v>
      </c>
      <c r="P248" s="17" t="s">
        <v>20</v>
      </c>
      <c r="Q248" s="17" t="s">
        <v>517</v>
      </c>
      <c r="R248" s="17" t="s">
        <v>20</v>
      </c>
      <c r="S248" s="17" t="s">
        <v>525</v>
      </c>
      <c r="T248" s="17">
        <v>0</v>
      </c>
      <c r="U248" s="18">
        <v>4499127783</v>
      </c>
      <c r="V248" s="17" t="s">
        <v>1100</v>
      </c>
      <c r="X248" s="17" t="s">
        <v>66</v>
      </c>
      <c r="Y248" s="17" t="s">
        <v>164</v>
      </c>
      <c r="Z248" s="17" t="s">
        <v>516</v>
      </c>
      <c r="AA248" s="31">
        <v>777647.42283199995</v>
      </c>
      <c r="AB248" s="31">
        <v>2426718.81091</v>
      </c>
    </row>
    <row r="249" spans="1:28">
      <c r="A249" s="30">
        <v>248</v>
      </c>
      <c r="B249" s="17">
        <v>611121</v>
      </c>
      <c r="C249" s="17" t="s">
        <v>331</v>
      </c>
      <c r="D249" s="17" t="s">
        <v>52</v>
      </c>
      <c r="E249" s="17" t="s">
        <v>1107</v>
      </c>
      <c r="F249" s="17" t="s">
        <v>1117</v>
      </c>
      <c r="G249" s="17" t="s">
        <v>1108</v>
      </c>
      <c r="H249" s="17" t="s">
        <v>69</v>
      </c>
      <c r="I249" s="17">
        <v>20130</v>
      </c>
      <c r="J249" s="17" t="s">
        <v>54</v>
      </c>
      <c r="K249" s="17" t="s">
        <v>63</v>
      </c>
      <c r="L249" s="17" t="s">
        <v>20</v>
      </c>
      <c r="M249" s="17" t="s">
        <v>515</v>
      </c>
      <c r="N249" s="17" t="s">
        <v>20</v>
      </c>
      <c r="O249" s="17" t="s">
        <v>224</v>
      </c>
      <c r="P249" s="17" t="s">
        <v>20</v>
      </c>
      <c r="Q249" s="17" t="s">
        <v>513</v>
      </c>
      <c r="R249" s="17" t="s">
        <v>20</v>
      </c>
      <c r="S249" s="17" t="s">
        <v>512</v>
      </c>
      <c r="T249" s="17">
        <v>0</v>
      </c>
      <c r="U249" s="18">
        <v>4499930014</v>
      </c>
      <c r="V249" s="17" t="s">
        <v>1109</v>
      </c>
      <c r="W249" s="17" t="s">
        <v>1110</v>
      </c>
      <c r="X249" s="17" t="s">
        <v>66</v>
      </c>
      <c r="Y249" s="17" t="s">
        <v>164</v>
      </c>
      <c r="Z249" s="17" t="s">
        <v>516</v>
      </c>
      <c r="AA249" s="31">
        <v>778249.54411500006</v>
      </c>
      <c r="AB249" s="31">
        <v>2424994.8227200001</v>
      </c>
    </row>
    <row r="250" spans="1:28">
      <c r="A250" s="30">
        <v>249</v>
      </c>
      <c r="B250" s="17">
        <v>611121</v>
      </c>
      <c r="C250" s="17" t="s">
        <v>331</v>
      </c>
      <c r="D250" s="17" t="s">
        <v>52</v>
      </c>
      <c r="E250" s="17" t="s">
        <v>1111</v>
      </c>
      <c r="F250" s="17" t="s">
        <v>1117</v>
      </c>
      <c r="G250" s="17" t="s">
        <v>1102</v>
      </c>
      <c r="H250" s="17" t="s">
        <v>94</v>
      </c>
      <c r="I250" s="17">
        <v>20328</v>
      </c>
      <c r="J250" s="17" t="s">
        <v>54</v>
      </c>
      <c r="K250" s="17" t="s">
        <v>73</v>
      </c>
      <c r="L250" s="17" t="s">
        <v>56</v>
      </c>
      <c r="M250" s="17" t="s">
        <v>499</v>
      </c>
      <c r="N250" s="17" t="s">
        <v>20</v>
      </c>
      <c r="O250" s="17" t="s">
        <v>527</v>
      </c>
      <c r="P250" s="17" t="s">
        <v>20</v>
      </c>
      <c r="Q250" s="17" t="s">
        <v>68</v>
      </c>
      <c r="R250" s="17" t="s">
        <v>20</v>
      </c>
      <c r="S250" s="17" t="s">
        <v>524</v>
      </c>
      <c r="T250" s="17">
        <v>900</v>
      </c>
      <c r="U250" s="18">
        <v>0</v>
      </c>
      <c r="V250" s="17" t="s">
        <v>1112</v>
      </c>
      <c r="X250" s="17" t="s">
        <v>64</v>
      </c>
      <c r="Y250" s="17" t="s">
        <v>164</v>
      </c>
      <c r="Z250" s="17" t="s">
        <v>516</v>
      </c>
      <c r="AA250" s="31">
        <v>774949.08513599995</v>
      </c>
      <c r="AB250" s="31">
        <v>2427050.5516300001</v>
      </c>
    </row>
    <row r="251" spans="1:28">
      <c r="A251" s="30">
        <v>250</v>
      </c>
      <c r="B251" s="17">
        <v>611121</v>
      </c>
      <c r="C251" s="17" t="s">
        <v>331</v>
      </c>
      <c r="D251" s="17" t="s">
        <v>52</v>
      </c>
      <c r="E251" s="17" t="s">
        <v>1103</v>
      </c>
      <c r="F251" s="17" t="s">
        <v>1117</v>
      </c>
      <c r="G251" s="17" t="s">
        <v>1104</v>
      </c>
      <c r="H251" s="17" t="s">
        <v>94</v>
      </c>
      <c r="I251" s="17">
        <v>20115</v>
      </c>
      <c r="J251" s="17" t="s">
        <v>54</v>
      </c>
      <c r="K251" s="17" t="s">
        <v>114</v>
      </c>
      <c r="L251" s="17" t="s">
        <v>119</v>
      </c>
      <c r="M251" s="17" t="s">
        <v>190</v>
      </c>
      <c r="N251" s="17" t="s">
        <v>20</v>
      </c>
      <c r="O251" s="17" t="s">
        <v>687</v>
      </c>
      <c r="P251" s="17" t="s">
        <v>20</v>
      </c>
      <c r="Q251" s="17" t="s">
        <v>681</v>
      </c>
      <c r="R251" s="17" t="s">
        <v>20</v>
      </c>
      <c r="S251" s="17" t="s">
        <v>686</v>
      </c>
      <c r="T251" s="17">
        <v>218</v>
      </c>
      <c r="U251" s="18">
        <v>0</v>
      </c>
      <c r="V251" s="17" t="s">
        <v>1105</v>
      </c>
      <c r="W251" s="17" t="s">
        <v>1106</v>
      </c>
      <c r="X251" s="17" t="s">
        <v>66</v>
      </c>
      <c r="Y251" s="17" t="s">
        <v>164</v>
      </c>
      <c r="Z251" s="17" t="s">
        <v>516</v>
      </c>
      <c r="AA251" s="31">
        <v>778411.15654600004</v>
      </c>
      <c r="AB251" s="31">
        <v>2427136.3856100002</v>
      </c>
    </row>
    <row r="252" spans="1:28">
      <c r="A252" s="30">
        <v>251</v>
      </c>
      <c r="B252" s="17">
        <v>611121</v>
      </c>
      <c r="C252" s="17" t="s">
        <v>331</v>
      </c>
      <c r="D252" s="17" t="s">
        <v>52</v>
      </c>
      <c r="E252" s="17" t="s">
        <v>1113</v>
      </c>
      <c r="F252" s="17" t="s">
        <v>1117</v>
      </c>
      <c r="G252" s="17" t="s">
        <v>1114</v>
      </c>
      <c r="H252" s="17" t="s">
        <v>94</v>
      </c>
      <c r="I252" s="17">
        <v>20120</v>
      </c>
      <c r="J252" s="17" t="s">
        <v>54</v>
      </c>
      <c r="K252" s="17" t="s">
        <v>114</v>
      </c>
      <c r="M252" s="17" t="s">
        <v>95</v>
      </c>
      <c r="N252" s="17" t="s">
        <v>20</v>
      </c>
      <c r="O252" s="17" t="s">
        <v>518</v>
      </c>
      <c r="P252" s="17" t="s">
        <v>20</v>
      </c>
      <c r="Q252" s="17" t="s">
        <v>519</v>
      </c>
      <c r="R252" s="17" t="s">
        <v>58</v>
      </c>
      <c r="S252" s="17" t="s">
        <v>684</v>
      </c>
      <c r="T252" s="17">
        <v>1912</v>
      </c>
      <c r="U252" s="18">
        <v>0</v>
      </c>
      <c r="X252" s="17" t="s">
        <v>66</v>
      </c>
      <c r="Y252" s="17" t="s">
        <v>164</v>
      </c>
      <c r="Z252" s="17" t="s">
        <v>516</v>
      </c>
      <c r="AA252" s="31">
        <v>779069.84324199997</v>
      </c>
      <c r="AB252" s="31">
        <v>2427247.6780699999</v>
      </c>
    </row>
    <row r="253" spans="1:28">
      <c r="A253" s="30">
        <v>252</v>
      </c>
      <c r="B253" s="17">
        <v>611121</v>
      </c>
      <c r="C253" s="17" t="s">
        <v>331</v>
      </c>
      <c r="D253" s="17" t="s">
        <v>52</v>
      </c>
      <c r="E253" s="17" t="s">
        <v>1115</v>
      </c>
      <c r="F253" s="17" t="s">
        <v>1117</v>
      </c>
      <c r="G253" s="17" t="s">
        <v>1116</v>
      </c>
      <c r="H253" s="17" t="s">
        <v>99</v>
      </c>
      <c r="I253" s="17">
        <v>20328</v>
      </c>
      <c r="J253" s="17" t="s">
        <v>54</v>
      </c>
      <c r="K253" s="17" t="s">
        <v>63</v>
      </c>
      <c r="L253" s="17" t="s">
        <v>20</v>
      </c>
      <c r="M253" s="17" t="s">
        <v>523</v>
      </c>
      <c r="N253" s="17" t="s">
        <v>56</v>
      </c>
      <c r="O253" s="17" t="s">
        <v>499</v>
      </c>
      <c r="P253" s="17" t="s">
        <v>82</v>
      </c>
      <c r="Q253" s="17" t="s">
        <v>59</v>
      </c>
      <c r="R253" s="17" t="s">
        <v>56</v>
      </c>
      <c r="S253" s="17" t="s">
        <v>499</v>
      </c>
      <c r="T253" s="17">
        <v>102</v>
      </c>
      <c r="U253" s="18">
        <v>0</v>
      </c>
      <c r="X253" s="17" t="s">
        <v>83</v>
      </c>
      <c r="Y253" s="17" t="s">
        <v>164</v>
      </c>
      <c r="Z253" s="17" t="s">
        <v>516</v>
      </c>
      <c r="AA253" s="31">
        <v>775578.81370399997</v>
      </c>
      <c r="AB253" s="31">
        <v>2426067.51633</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24EU_EDU_PRIMARIA</vt:lpstr>
      <vt:lpstr>BASE DE DATOS_EDU_PRIMARIA</vt:lpstr>
      <vt:lpstr>'24EU_EDU_PRIMARIA'!Área_de_impresión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2025-08-13T15:06:16Z</dcterms:modified>
</cp:coreProperties>
</file>