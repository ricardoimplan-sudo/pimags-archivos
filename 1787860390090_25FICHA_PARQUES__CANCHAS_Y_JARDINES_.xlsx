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EQUIPAMIENTO URBANO_CLASIFICADO POR DELEGACION, ZUFO,REFOM\24PARQUES, CANCHAS Y JARDINES\"/>
    </mc:Choice>
  </mc:AlternateContent>
  <bookViews>
    <workbookView xWindow="0" yWindow="0" windowWidth="28800" windowHeight="11535"/>
  </bookViews>
  <sheets>
    <sheet name="24EU_PAR_CAN_JAR" sheetId="1" r:id="rId1"/>
    <sheet name="BASE DE DATOS_PAR_CAN_JAR" sheetId="2" r:id="rId2"/>
  </sheets>
  <definedNames>
    <definedName name="_xlnm.Print_Area" localSheetId="0">'24EU_PAR_CAN_JAR'!$A$1:$C$27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C25" i="1"/>
  <c r="C26" i="1"/>
  <c r="C23" i="1"/>
  <c r="C22" i="1"/>
  <c r="C20" i="1"/>
  <c r="C19" i="1"/>
</calcChain>
</file>

<file path=xl/sharedStrings.xml><?xml version="1.0" encoding="utf-8"?>
<sst xmlns="http://schemas.openxmlformats.org/spreadsheetml/2006/main" count="2053" uniqueCount="383">
  <si>
    <t>FICHA TÉCNICA</t>
  </si>
  <si>
    <t>INSTITUTO MUNICIPAL DE PLANEACIÓN  Y EVALUACIÓN DE AGUASCALIENTES (IMPLAN) 2024</t>
  </si>
  <si>
    <t>NOMBRE DEL ARCHIVO:</t>
  </si>
  <si>
    <t>FUENTE:</t>
  </si>
  <si>
    <t>FORMATO:</t>
  </si>
  <si>
    <t>SHAPE FILE</t>
  </si>
  <si>
    <t>REPRESENACIÓN DE ELEMENTOS:</t>
  </si>
  <si>
    <t>PUNTOS</t>
  </si>
  <si>
    <t>PROYECCIÓN CARTOGRÁFICA:</t>
  </si>
  <si>
    <t>DÁTUM:</t>
  </si>
  <si>
    <t>ÁMBITO TERRITORIAL:</t>
  </si>
  <si>
    <t>MUNICIPAL</t>
  </si>
  <si>
    <t>INFORMACIÓN TÉCNICA:</t>
  </si>
  <si>
    <t>DESCRIPCIÓN DEL CAMPO</t>
  </si>
  <si>
    <t>CAMPO</t>
  </si>
  <si>
    <t>DESCRIPCIÓN</t>
  </si>
  <si>
    <t>ESTADO</t>
  </si>
  <si>
    <t>MUNICIPIO</t>
  </si>
  <si>
    <t>DELEGACIÓN</t>
  </si>
  <si>
    <t>X_COORD</t>
  </si>
  <si>
    <t>Y_COORD</t>
  </si>
  <si>
    <t>DELEGACION</t>
  </si>
  <si>
    <t>CALVILLITO</t>
  </si>
  <si>
    <t>SALTO DE LOS SALADO</t>
  </si>
  <si>
    <t>CENTRO PONIENTE</t>
  </si>
  <si>
    <t>INSURGENTES</t>
  </si>
  <si>
    <t>POCITOS</t>
  </si>
  <si>
    <t>MORELOS</t>
  </si>
  <si>
    <t>MUJERES ILUSTRES</t>
  </si>
  <si>
    <t>SAN MARCOS</t>
  </si>
  <si>
    <t>CENTRO ORIENTE</t>
  </si>
  <si>
    <t>SANTA ANITA</t>
  </si>
  <si>
    <t>GUADALUPE PERALTA</t>
  </si>
  <si>
    <t>OJOCALIENTE</t>
  </si>
  <si>
    <t>VILLAS</t>
  </si>
  <si>
    <t>POZO BRAVO</t>
  </si>
  <si>
    <t>AGUASCALIENTES</t>
  </si>
  <si>
    <t>(ZUFO)-INDUSTRIAL</t>
  </si>
  <si>
    <t>CVE</t>
  </si>
  <si>
    <t>WGS_1984</t>
  </si>
  <si>
    <t>UTM ZONA 13 NORTE</t>
  </si>
  <si>
    <t>REFOM_ZUFO</t>
  </si>
  <si>
    <t>NOMBRE ESTABLECIMIENTO</t>
  </si>
  <si>
    <t>TIPO DE ACTIVIDAD</t>
  </si>
  <si>
    <t>CAÑADA HONDA</t>
  </si>
  <si>
    <t>PEÑUELAS</t>
  </si>
  <si>
    <t>DELIM_PDU</t>
  </si>
  <si>
    <t>POINT_X</t>
  </si>
  <si>
    <t>POINT_Y</t>
  </si>
  <si>
    <t>CVE_PAR_IM</t>
  </si>
  <si>
    <t>NOMBRE</t>
  </si>
  <si>
    <t>AREA_VERD</t>
  </si>
  <si>
    <t>UNIDAD</t>
  </si>
  <si>
    <t>ZUFO_UNIVERSIDAD</t>
  </si>
  <si>
    <t>Parque Paraiso</t>
  </si>
  <si>
    <t>M2</t>
  </si>
  <si>
    <t>ZUFO_CENTRO</t>
  </si>
  <si>
    <t>Parque del Lago</t>
  </si>
  <si>
    <t>Parque Hidalgo</t>
  </si>
  <si>
    <t>Jardin de la Estacion</t>
  </si>
  <si>
    <t>Jardin del Estudiante</t>
  </si>
  <si>
    <t>Jardin San Diego</t>
  </si>
  <si>
    <t>Jardin de Exedra (Plaza Principal)</t>
  </si>
  <si>
    <t>Jardin de Los Arquitectos</t>
  </si>
  <si>
    <t>Jardin Carpio</t>
  </si>
  <si>
    <t>ZUFO_FERROCARRIL</t>
  </si>
  <si>
    <t>Parque Parras</t>
  </si>
  <si>
    <t>ZUFO_EL CEDAZO</t>
  </si>
  <si>
    <t>Bosque Urbano Cerrito de la Cruz</t>
  </si>
  <si>
    <t>ZUFO_ARELLANO</t>
  </si>
  <si>
    <t>Canchas Paisaje</t>
  </si>
  <si>
    <t>ZUFO_SAN FRANCISCO</t>
  </si>
  <si>
    <t>Parque Casasolida</t>
  </si>
  <si>
    <t>ZUFO_INDUSTRIAL</t>
  </si>
  <si>
    <t>Parque San Francisco  del Arenal</t>
  </si>
  <si>
    <t>ZUFO_AYUNTAMIENTO</t>
  </si>
  <si>
    <t>Parque de Convivencia Canina</t>
  </si>
  <si>
    <t>Parque Lopez Portillo</t>
  </si>
  <si>
    <t>ZUFO_SAN PEDRO SUR</t>
  </si>
  <si>
    <t>Parque Los Negritos</t>
  </si>
  <si>
    <t>ZUFO_OJOCALIENTE</t>
  </si>
  <si>
    <t>Jardin Pzla S</t>
  </si>
  <si>
    <t>REFOM_SALTO DE LOS SALADO</t>
  </si>
  <si>
    <t>Campo de beisbol Tanque de los Jimenez</t>
  </si>
  <si>
    <t>Jaridin Benito Montoya</t>
  </si>
  <si>
    <t>Parque Salto de Los Salado (Plaza)</t>
  </si>
  <si>
    <t>Jardin de Jaltomate</t>
  </si>
  <si>
    <t>Jardin Ladera</t>
  </si>
  <si>
    <t>Parque de Las Misiones</t>
  </si>
  <si>
    <t>Parque La Troje</t>
  </si>
  <si>
    <t>Parque Pilar Blanco</t>
  </si>
  <si>
    <t>Parque Granjas Campestre</t>
  </si>
  <si>
    <t>Parque Villas de San Nicolas</t>
  </si>
  <si>
    <t>Parque  El Niagara</t>
  </si>
  <si>
    <t>Cancha Cotorina</t>
  </si>
  <si>
    <t>Jardin Montoro</t>
  </si>
  <si>
    <t>Canchas  Colinas del Rio</t>
  </si>
  <si>
    <t>ZUFO_DON PASCUAL ORIENTE</t>
  </si>
  <si>
    <t>Parque Valle de los Cactus</t>
  </si>
  <si>
    <t>Parque IV Centenario</t>
  </si>
  <si>
    <t>Parque Mision del Campanario</t>
  </si>
  <si>
    <t>Parque Pocitos</t>
  </si>
  <si>
    <t>Parque Lomas del Campestre</t>
  </si>
  <si>
    <t>Parque  Talamantes  Ponce</t>
  </si>
  <si>
    <t>Parque Bosques</t>
  </si>
  <si>
    <t>ZUFO_DON PASCUAL PONIENTE</t>
  </si>
  <si>
    <t>Parque Fidel Velazquez</t>
  </si>
  <si>
    <t>REFOM_NORIAS-CALVILLITO</t>
  </si>
  <si>
    <t>Jardin Calvillito</t>
  </si>
  <si>
    <t>Jardin Santa Maria de Gallardo</t>
  </si>
  <si>
    <t>Parque de Jaltomate</t>
  </si>
  <si>
    <t>Parque Cartagena</t>
  </si>
  <si>
    <t>Parque Valle del Campestre</t>
  </si>
  <si>
    <t>Plaza Principal</t>
  </si>
  <si>
    <t>Parque Vistas de Oriente</t>
  </si>
  <si>
    <t>Parque Santa Maria de Gallardo</t>
  </si>
  <si>
    <t>ZUFO_LOS PARGA</t>
  </si>
  <si>
    <t>Parque de Villasur</t>
  </si>
  <si>
    <t>Jardin Viento</t>
  </si>
  <si>
    <t>Parque Fundadores</t>
  </si>
  <si>
    <t>Parque Ex Pension Municipal</t>
  </si>
  <si>
    <t>Parque Villas de La Loma</t>
  </si>
  <si>
    <t>Bordo Santa Elena</t>
  </si>
  <si>
    <t>ZUFO_SAN PEDRO NORTE</t>
  </si>
  <si>
    <t>Parque Los Olivos</t>
  </si>
  <si>
    <t>Jardin Jesus Teran</t>
  </si>
  <si>
    <t>Jardin Lindavista</t>
  </si>
  <si>
    <t>Parque Tabachin</t>
  </si>
  <si>
    <t>Parque Morelos</t>
  </si>
  <si>
    <t>Parque Bogota</t>
  </si>
  <si>
    <t>Parque Vivienda Popular</t>
  </si>
  <si>
    <t>Jardin Hospital Hidalgo</t>
  </si>
  <si>
    <t>Parque Barranca de Guadalupe</t>
  </si>
  <si>
    <t>Parque Versalles 1a. Seccion</t>
  </si>
  <si>
    <t>Parque El Dorado -  Parque Juan Pablo II (El Dorado)</t>
  </si>
  <si>
    <t>ZUFO_LA HACIENDA</t>
  </si>
  <si>
    <t>Parque V.N.S.A. Sector Estacion</t>
  </si>
  <si>
    <t>Cancha Refugio Cardona</t>
  </si>
  <si>
    <t>Parque Cerro Alto</t>
  </si>
  <si>
    <t>Canchas Jose Becerra</t>
  </si>
  <si>
    <t>Parque Fonapo Morelos</t>
  </si>
  <si>
    <t>Plaza Civica Morelos</t>
  </si>
  <si>
    <t>Parque Vistas del Sol</t>
  </si>
  <si>
    <t>Parque Villas de Nuestra Selora de La  Asuncion III - Sector  Encino</t>
  </si>
  <si>
    <t>Vista del Sol III</t>
  </si>
  <si>
    <t>Parque Haciendas III</t>
  </si>
  <si>
    <t>Parque de Lomas de Oriente</t>
  </si>
  <si>
    <t>Parque Cri Cri</t>
  </si>
  <si>
    <t>Parque Haciendas de Aguascalientes I</t>
  </si>
  <si>
    <t>Parque Villas de Nuestra Selora de La  Asuncion I  - Sector San Marcos</t>
  </si>
  <si>
    <t>Parque Ojocaliente  III</t>
  </si>
  <si>
    <t>Parque C.N.O.P.</t>
  </si>
  <si>
    <t>Parque Ejido Cumbres</t>
  </si>
  <si>
    <t>Canchas Mexico Libre</t>
  </si>
  <si>
    <t>Parque Mexico Libre</t>
  </si>
  <si>
    <t>Parque Haciendas de Aguascalientes II</t>
  </si>
  <si>
    <t>Parque Santa Lucia</t>
  </si>
  <si>
    <t>Parque Villas de La Universidad</t>
  </si>
  <si>
    <t>Jardin Rancho Nuevo</t>
  </si>
  <si>
    <t>Jardin El Colorado</t>
  </si>
  <si>
    <t>Parque Ojocaliente  II</t>
  </si>
  <si>
    <t>Villerias</t>
  </si>
  <si>
    <t>Parque Casa Blanca</t>
  </si>
  <si>
    <t>Parque Ojocaliente 1 (uno)</t>
  </si>
  <si>
    <t>Parque Jardin de Casa Blanca</t>
  </si>
  <si>
    <t>Parque Solidaridad I</t>
  </si>
  <si>
    <t>Parque Real del Sol</t>
  </si>
  <si>
    <t>Parque Fatima</t>
  </si>
  <si>
    <t>Parque CECADI</t>
  </si>
  <si>
    <t>Jesus Teran</t>
  </si>
  <si>
    <t>Cancha INEGI</t>
  </si>
  <si>
    <t>Parque Rodolfo Landeros</t>
  </si>
  <si>
    <t>Parque Azul V. de Landeros</t>
  </si>
  <si>
    <t>PARQUE RECREATIVO RODOLFO LANDEROS</t>
  </si>
  <si>
    <t>Parque Horizontal del  Valle</t>
  </si>
  <si>
    <t>Parque Municipio Libre</t>
  </si>
  <si>
    <t>Parque Colinas del Rio</t>
  </si>
  <si>
    <t>Parque Rinconada</t>
  </si>
  <si>
    <t>Parque Insurgentes II</t>
  </si>
  <si>
    <t>Parque Insurgentes 1</t>
  </si>
  <si>
    <t>Parque San Marcos</t>
  </si>
  <si>
    <t>Parque Vicente Guerrero</t>
  </si>
  <si>
    <t>Plaza Cultural Los Bosques</t>
  </si>
  <si>
    <t>Parque Tierra Buena</t>
  </si>
  <si>
    <t>Parque Emiliano Zapata</t>
  </si>
  <si>
    <t>Parque Nueva Generacion</t>
  </si>
  <si>
    <t>Parque Boulevares I</t>
  </si>
  <si>
    <t>Del Rey</t>
  </si>
  <si>
    <t>Parque Lomas del Ajedrez</t>
  </si>
  <si>
    <t>Parque Los Sauces</t>
  </si>
  <si>
    <t>Jardin Paseo del Rio</t>
  </si>
  <si>
    <t>Fuente Sierra de Laurel</t>
  </si>
  <si>
    <t>Parque Boulevares II</t>
  </si>
  <si>
    <t>Villa Teresa</t>
  </si>
  <si>
    <t>Parque El Rosedal</t>
  </si>
  <si>
    <t>Parque Prados del Sur</t>
  </si>
  <si>
    <t>Jardin Martinez Dominguez</t>
  </si>
  <si>
    <t>Parque Prados de Villasuncion</t>
  </si>
  <si>
    <t>Parque Trojes del Sur</t>
  </si>
  <si>
    <t>Parque Recreativo Rodolfo Landeros Gallegos</t>
  </si>
  <si>
    <t>Parque Industrial</t>
  </si>
  <si>
    <t>Parque San Jorge</t>
  </si>
  <si>
    <t>Parque Soberana Convencion Revolucionaria II</t>
  </si>
  <si>
    <t>Parque Palma Bambu</t>
  </si>
  <si>
    <t>Parque Libertad</t>
  </si>
  <si>
    <t>Canchas Col. Constitucion</t>
  </si>
  <si>
    <t>Parque Colosio</t>
  </si>
  <si>
    <t>Jardin Reyes Heroles</t>
  </si>
  <si>
    <t>Bosque Urbano</t>
  </si>
  <si>
    <t>Parque Educacion Alamos</t>
  </si>
  <si>
    <t>Parque La Herradura</t>
  </si>
  <si>
    <t>Parque Canteras de San Jose</t>
  </si>
  <si>
    <t>Parque Panorama</t>
  </si>
  <si>
    <t>Parque Comunidad Los Arellano</t>
  </si>
  <si>
    <t>Parque Lic. Gomez Morin</t>
  </si>
  <si>
    <t>Parque Villas de la Cantera</t>
  </si>
  <si>
    <t>Parque Canteras de San Javier</t>
  </si>
  <si>
    <t>Parque Benjamin de La Mora</t>
  </si>
  <si>
    <t>Parque Juarez</t>
  </si>
  <si>
    <t>Parque Gomez Portugal</t>
  </si>
  <si>
    <t>Parque Moderno</t>
  </si>
  <si>
    <t>Parque Bicentenario</t>
  </si>
  <si>
    <t>Parque Santa Anita</t>
  </si>
  <si>
    <t>Parque S.T.E.M.A.</t>
  </si>
  <si>
    <t>Jardin de Las Fuentes</t>
  </si>
  <si>
    <t>Parque Bosques del Prado Oriente</t>
  </si>
  <si>
    <t>Parque Mexico Ecologico (Presa de los Gringos)</t>
  </si>
  <si>
    <t>Bosque Urbano Cumbres</t>
  </si>
  <si>
    <t>Parque Santa Anita  IV</t>
  </si>
  <si>
    <t>Parque Santa Cecilia</t>
  </si>
  <si>
    <t>Jardin Plaza de la Republica (Patio Jesus F. Contreras)</t>
  </si>
  <si>
    <t>Jardin Plaza de la Republica (Patio de las Jacarandas)</t>
  </si>
  <si>
    <t>Parque Lomas de Santa Anita</t>
  </si>
  <si>
    <t>Parque La Estancia</t>
  </si>
  <si>
    <t>Parque Santa Anita  III</t>
  </si>
  <si>
    <t>Parque Independencia</t>
  </si>
  <si>
    <t>Parque  Altavista</t>
  </si>
  <si>
    <t>IDEA</t>
  </si>
  <si>
    <t>Parque del Carmen</t>
  </si>
  <si>
    <t>Jardin Primavera</t>
  </si>
  <si>
    <t>Parque Gremial</t>
  </si>
  <si>
    <t>Parque Lombardo Toledano</t>
  </si>
  <si>
    <t>Jardin  Alvaro Obregon (de Cholula)</t>
  </si>
  <si>
    <t>Parque Arrollo El Molino</t>
  </si>
  <si>
    <t>Jardin de Zaragoza</t>
  </si>
  <si>
    <t>Parque Guadalupe  Posada</t>
  </si>
  <si>
    <t>Jardin San Jose</t>
  </si>
  <si>
    <t>Parque Salto de Ojocaliente</t>
  </si>
  <si>
    <t>Parque La Concepcion 2a. Seccion</t>
  </si>
  <si>
    <t>Parque La Concepcion 1a. Seccion</t>
  </si>
  <si>
    <t>Parque Mexico Natural</t>
  </si>
  <si>
    <t>Parque La Soledad</t>
  </si>
  <si>
    <t>Unidad Deportiva Modelo</t>
  </si>
  <si>
    <t>Parque Ejido San Ignacio</t>
  </si>
  <si>
    <t>Jardin de Jose Marti</t>
  </si>
  <si>
    <t>Parque Deportivo Fracc. Trojes de Oriente</t>
  </si>
  <si>
    <t>Jardin de La Salud</t>
  </si>
  <si>
    <t>Patio Jose Guadalupe Posada</t>
  </si>
  <si>
    <t>Jardin de Guadalupe</t>
  </si>
  <si>
    <t>Jardin del Llanito</t>
  </si>
  <si>
    <t>Jardin del Encino</t>
  </si>
  <si>
    <t>Jardin Mina</t>
  </si>
  <si>
    <t>Parque La Pona</t>
  </si>
  <si>
    <t>Parque La Casita</t>
  </si>
  <si>
    <t>Jardin de Los Palacios</t>
  </si>
  <si>
    <t>Parque ecologico El Cedazo</t>
  </si>
  <si>
    <t>Parque Infonavit Pirules</t>
  </si>
  <si>
    <t>Parque Residencial Rio San Pedro</t>
  </si>
  <si>
    <t>Parque Paseos del Sur</t>
  </si>
  <si>
    <t>Parque Haciendas IV</t>
  </si>
  <si>
    <t>Parque Villas de San Jose</t>
  </si>
  <si>
    <t>Parque Ambrosia</t>
  </si>
  <si>
    <t>Parque Santa Barbara</t>
  </si>
  <si>
    <t>Parque Villa Canto</t>
  </si>
  <si>
    <t>Jardin Jose Maria Morelo y Pavon</t>
  </si>
  <si>
    <t>Canchas</t>
  </si>
  <si>
    <t>Parque La Troje II</t>
  </si>
  <si>
    <t>Campo de beisbol</t>
  </si>
  <si>
    <t>Parque  Cedros</t>
  </si>
  <si>
    <t>Plaza de La Juventud</t>
  </si>
  <si>
    <t>Jardin C.I.M.</t>
  </si>
  <si>
    <t>Jardin Centro de Estacion de Transferencia</t>
  </si>
  <si>
    <t>Parque San Cayetano</t>
  </si>
  <si>
    <t>Canchas Parroquia de Colinas</t>
  </si>
  <si>
    <t>Parque Versalles 2a. Seccion</t>
  </si>
  <si>
    <t>Parque Loma Bonita Skatorama</t>
  </si>
  <si>
    <t>Parque Loma Bonita</t>
  </si>
  <si>
    <t>Fuente Mina</t>
  </si>
  <si>
    <t>Parque Guadalupe Peralta</t>
  </si>
  <si>
    <t>Parque INEGI</t>
  </si>
  <si>
    <t>Plaza INEGI</t>
  </si>
  <si>
    <t>Parque Ojocaliente  I</t>
  </si>
  <si>
    <t>Canchas Fracc. Mexico</t>
  </si>
  <si>
    <t>Jardin El Obraje</t>
  </si>
  <si>
    <t>Jardin Lanceros</t>
  </si>
  <si>
    <t>Parque Potreros del Oeste</t>
  </si>
  <si>
    <t>Parque Faisan</t>
  </si>
  <si>
    <t>Parque Periodista</t>
  </si>
  <si>
    <t>Parque Solidaridad II</t>
  </si>
  <si>
    <t>Parque Ojocaliente  IV</t>
  </si>
  <si>
    <t>Parque Santa Anita  II</t>
  </si>
  <si>
    <t>Parque Centenario</t>
  </si>
  <si>
    <t>Av. Parque Via</t>
  </si>
  <si>
    <t>Glorieta S.T.E.M.A.</t>
  </si>
  <si>
    <t>Jardin F. Elizondo</t>
  </si>
  <si>
    <t>Parque El Niagara II</t>
  </si>
  <si>
    <t>Parque Calvillito</t>
  </si>
  <si>
    <t>Glorieta Purisima</t>
  </si>
  <si>
    <t>Av. Alameda</t>
  </si>
  <si>
    <t>Jardin de Plaza Principal</t>
  </si>
  <si>
    <t>Jardin de San Marcos</t>
  </si>
  <si>
    <t>Plaza Fundadores</t>
  </si>
  <si>
    <t>Jardin Sindicato Ferrocarrilero</t>
  </si>
  <si>
    <t>Fuente Canal Interceptor</t>
  </si>
  <si>
    <t>Triangulo Canal Interceptor III</t>
  </si>
  <si>
    <t>Bosque Urbano Heroes Mexicanos</t>
  </si>
  <si>
    <t>Parque Villa de las Palmas</t>
  </si>
  <si>
    <t>Parque Constitucion</t>
  </si>
  <si>
    <t>Parque Soberana Convencion I</t>
  </si>
  <si>
    <t>Glorieta Benito Juarez</t>
  </si>
  <si>
    <t>Av. Ayuntamiento I</t>
  </si>
  <si>
    <t>Av. Ayuntamiento</t>
  </si>
  <si>
    <t>Jardin San Leonardo Murialdo</t>
  </si>
  <si>
    <t>Jardin Pzla P</t>
  </si>
  <si>
    <t>Jardin Pzla O</t>
  </si>
  <si>
    <t>Cancha Pzla R</t>
  </si>
  <si>
    <t>Parque Infonavit V.N.S.A. Sector Estacion</t>
  </si>
  <si>
    <t>Parque Colinas de San Patricio</t>
  </si>
  <si>
    <t>Cancha Duraznillo</t>
  </si>
  <si>
    <t>Parque Palomino DENA</t>
  </si>
  <si>
    <t>Parque Gomez Portugal II</t>
  </si>
  <si>
    <t>Parque Ojo de Agua</t>
  </si>
  <si>
    <t>Canchas Calvillito</t>
  </si>
  <si>
    <t>Linea Verde</t>
  </si>
  <si>
    <t>Mirador Real de Haciendas</t>
  </si>
  <si>
    <t>Parque Ayuntamiento</t>
  </si>
  <si>
    <t>Jardin Juan de Montoro</t>
  </si>
  <si>
    <t>Jardin de La Alameda</t>
  </si>
  <si>
    <t>Jardin Plaza de la Republica</t>
  </si>
  <si>
    <t>Ignacio T. chavez</t>
  </si>
  <si>
    <t>Bosque Urbano Tres Centurias</t>
  </si>
  <si>
    <t>Fuente Av.  Ayuntamiento</t>
  </si>
  <si>
    <t>Parque Bonampak</t>
  </si>
  <si>
    <t>Parque Lomas del Sur</t>
  </si>
  <si>
    <t>Parque San Sebastian</t>
  </si>
  <si>
    <t>Parque Lineal de Las Presas</t>
  </si>
  <si>
    <t>Ex. Ejido Ojocaliente  "La Rinconada"</t>
  </si>
  <si>
    <t>Parque de la Lagartija</t>
  </si>
  <si>
    <t>Area Recreativa Ojocaliente</t>
  </si>
  <si>
    <t>Av. Aglaya II</t>
  </si>
  <si>
    <t>Parque Aglaya</t>
  </si>
  <si>
    <t>Av. Aglaya I</t>
  </si>
  <si>
    <t>Parque Canal Interceptor</t>
  </si>
  <si>
    <t>Parque Montebello</t>
  </si>
  <si>
    <t>Jardin Cieneguilla</t>
  </si>
  <si>
    <t>Complejo Deportivo Miravalle</t>
  </si>
  <si>
    <t>Glorieta Canteras de San Javier</t>
  </si>
  <si>
    <t>Parque Santanita</t>
  </si>
  <si>
    <t>Parque INDECO</t>
  </si>
  <si>
    <t>Parque Via</t>
  </si>
  <si>
    <t>Cancha Refugio de Peñuelas I</t>
  </si>
  <si>
    <t>Parque Bolaños</t>
  </si>
  <si>
    <t>Parque San Antonio de Peñuelas</t>
  </si>
  <si>
    <t>Parque Las Cañadas</t>
  </si>
  <si>
    <t>Jardin Cañada Honda</t>
  </si>
  <si>
    <t>Canchas Peñuelas</t>
  </si>
  <si>
    <t>Parque Villas de Nuestra Señora de La  Asuncion II - Sector Alameda</t>
  </si>
  <si>
    <t>Villa de Nuestra Señora de La Asuncion - Sector Encino</t>
  </si>
  <si>
    <t>Parque Central Viñedos del Sur</t>
  </si>
  <si>
    <t>Cancha Refugio de Peñuelas II</t>
  </si>
  <si>
    <t>Parque Proceres de la Enseñanza</t>
  </si>
  <si>
    <t>AREA_TOTA</t>
  </si>
  <si>
    <t>REFOM_PEÑUELAS</t>
  </si>
  <si>
    <t>REFOM_OCOTE-LOS CAÑOS</t>
  </si>
  <si>
    <t>REFOM_CAÑADA</t>
  </si>
  <si>
    <t>Columna1</t>
  </si>
  <si>
    <t>TIPO</t>
  </si>
  <si>
    <t>RECREACION</t>
  </si>
  <si>
    <t>UBICACIÓN SITIOS PARA LA RECREACIÓN</t>
  </si>
  <si>
    <t>EU_RECREACIÓN</t>
  </si>
  <si>
    <t>LA CLASIFICACIÓN DE ELEMENTOS ESTÁ BASADA EN EL SISTEMA NORMATIVO DE EQUIPAMIENTO URBANO DE LA SEDESOL FEDERAL, SUBSISTEMA RECREACIÓN. LA INTEGRACIÓN FUE REALIZADA POR EL IMPLAN.</t>
  </si>
  <si>
    <t>CVE (1-320)</t>
  </si>
  <si>
    <t>SUPERFICIE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</si>
</sst>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000"/>
    <numFmt numFmtId="165" formatCode="0.0000"/>
  </numFmts>
  <fonts count="10">
    <font>
      <sz val="11"/>
      <color theme="1"/>
      <name val="Calibri"/>
      <family val="2"/>
      <scheme val="minor"/>
    </font>
    <font>
      <b/>
      <sz val="10"/>
      <color theme="1"/>
      <name val="Arial Nova"/>
      <family val="2"/>
    </font>
    <font>
      <sz val="10"/>
      <color theme="1"/>
      <name val="Bahnschrift Light SemiCondensed"/>
      <family val="2"/>
    </font>
    <font>
      <sz val="11"/>
      <color theme="1"/>
      <name val="Bahnschrift Light SemiCondensed"/>
      <family val="2"/>
    </font>
    <font>
      <b/>
      <sz val="10"/>
      <color theme="1"/>
      <name val="Bahnschrift Light SemiCondensed"/>
      <family val="2"/>
    </font>
    <font>
      <b/>
      <sz val="14"/>
      <color theme="1"/>
      <name val="Bahnschrift Light SemiCondensed"/>
      <family val="2"/>
    </font>
    <font>
      <b/>
      <sz val="14"/>
      <name val="Bahnschrift Light SemiCondensed"/>
      <family val="2"/>
    </font>
    <font>
      <b/>
      <sz val="12"/>
      <color theme="1"/>
      <name val="Bahnschrift Light SemiCondensed"/>
      <family val="2"/>
    </font>
    <font>
      <sz val="11"/>
      <color rgb="FFFF0000"/>
      <name val="Calibri"/>
      <family val="2"/>
      <scheme val="minor"/>
    </font>
    <font>
      <b/>
      <sz val="16"/>
      <color theme="1" tint="4.9989318521683403E-2"/>
      <name val="Bahnschrift Light SemiCondensed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2" borderId="6" xfId="0" applyFont="1" applyFill="1" applyBorder="1"/>
    <xf numFmtId="0" fontId="2" fillId="3" borderId="7" xfId="0" applyFont="1" applyFill="1" applyBorder="1"/>
    <xf numFmtId="0" fontId="0" fillId="0" borderId="0" xfId="0" applyBorder="1"/>
    <xf numFmtId="0" fontId="3" fillId="0" borderId="0" xfId="0" applyFont="1" applyBorder="1"/>
    <xf numFmtId="0" fontId="1" fillId="0" borderId="0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vertic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0" borderId="0" xfId="0" applyFill="1" applyBorder="1"/>
    <xf numFmtId="1" fontId="0" fillId="0" borderId="0" xfId="0" applyNumberFormat="1"/>
    <xf numFmtId="0" fontId="2" fillId="2" borderId="6" xfId="0" applyFont="1" applyFill="1" applyBorder="1" applyAlignment="1">
      <alignment horizontal="center"/>
    </xf>
    <xf numFmtId="0" fontId="8" fillId="0" borderId="0" xfId="0" applyFont="1" applyFill="1" applyBorder="1"/>
    <xf numFmtId="1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/>
    <xf numFmtId="0" fontId="9" fillId="6" borderId="5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165" fontId="0" fillId="0" borderId="0" xfId="0" applyNumberFormat="1"/>
    <xf numFmtId="1" fontId="0" fillId="0" borderId="0" xfId="0" applyNumberFormat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/>
    </xf>
    <xf numFmtId="2" fontId="0" fillId="0" borderId="0" xfId="0" applyNumberFormat="1"/>
    <xf numFmtId="2" fontId="2" fillId="2" borderId="6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1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5" formatCode="0.0000"/>
    </dxf>
    <dxf>
      <numFmt numFmtId="165" formatCode="0.0000"/>
    </dxf>
    <dxf>
      <numFmt numFmtId="1" formatCode="0"/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89647</xdr:colOff>
      <xdr:row>0</xdr:row>
      <xdr:rowOff>123265</xdr:rowOff>
    </xdr:from>
    <xdr:to>
      <xdr:col>2</xdr:col>
      <xdr:colOff>5071447</xdr:colOff>
      <xdr:row>1</xdr:row>
      <xdr:rowOff>526678</xdr:rowOff>
    </xdr:to>
    <xdr:grpSp>
      <xdr:nvGrpSpPr>
        <xdr:cNvPr id="3" name="Grupo 2"/>
        <xdr:cNvGrpSpPr/>
      </xdr:nvGrpSpPr>
      <xdr:grpSpPr>
        <a:xfrm>
          <a:off x="235323" y="123265"/>
          <a:ext cx="7088506" cy="1042148"/>
          <a:chOff x="268941" y="179293"/>
          <a:chExt cx="7088506" cy="1042148"/>
        </a:xfrm>
      </xdr:grpSpPr>
      <xdr:pic>
        <xdr:nvPicPr>
          <xdr:cNvPr id="4" name="Imagen 3" descr="D:\DIRECCION INFORMACION ESTRATEGICA\LOGOS\2025\WhatsApp Image 2025-08-12 at 2.08.50 PM.jpeg"/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8941" y="268942"/>
            <a:ext cx="2066925" cy="5473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Imagen 4" descr="D:\DIRECCION INFORMACION ESTRATEGICA\LOGOS\2025\WhatsApp Image 2025-08-12 at 2.10.00 PM.jpeg"/>
          <xdr:cNvPicPr/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22913" y="179293"/>
            <a:ext cx="3334534" cy="1042148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id="1" name="ABASTO" displayName="ABASTO" ref="A1:L1048576" totalsRowShown="0">
  <autoFilter ref="A1:L1048576"/>
  <tableColumns count="12">
    <tableColumn id="1" name="CVE" dataDxfId="11"/>
    <tableColumn id="2" name="DELIM_PDU" dataDxfId="10"/>
    <tableColumn id="3" name="POINT_X" dataDxfId="9"/>
    <tableColumn id="4" name="POINT_Y" dataDxfId="8"/>
    <tableColumn id="5" name="CVE_PAR_IM" dataDxfId="7"/>
    <tableColumn id="6" name="NOMBRE" dataDxfId="6"/>
    <tableColumn id="7" name="AREA_VERD" dataDxfId="5"/>
    <tableColumn id="8" name="AREA_TOTA" dataDxfId="4"/>
    <tableColumn id="9" name="UNIDAD" dataDxfId="3"/>
    <tableColumn id="10" name="Columna1" dataDxfId="2"/>
    <tableColumn id="11" name="DELEGACION" dataDxfId="1"/>
    <tableColumn id="12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tabSelected="1" view="pageBreakPreview" zoomScale="85" zoomScaleNormal="85" zoomScaleSheetLayoutView="85" workbookViewId="0">
      <selection activeCell="F5" sqref="F5"/>
    </sheetView>
  </sheetViews>
  <sheetFormatPr baseColWidth="10" defaultRowHeight="15"/>
  <cols>
    <col min="1" max="1" width="2.140625" style="5" customWidth="1"/>
    <col min="2" max="2" width="31.5703125" style="5" customWidth="1"/>
    <col min="3" max="3" width="81.42578125" style="5" customWidth="1"/>
    <col min="4" max="4" width="2.7109375" style="5" customWidth="1"/>
    <col min="5" max="16384" width="11.42578125" style="5"/>
  </cols>
  <sheetData>
    <row r="1" spans="2:4" ht="50.25" customHeight="1">
      <c r="B1" s="29"/>
      <c r="C1" s="29"/>
    </row>
    <row r="2" spans="2:4" ht="50.25" customHeight="1" thickBot="1">
      <c r="B2" s="29"/>
      <c r="C2" s="29"/>
    </row>
    <row r="3" spans="2:4" ht="18.75" thickBot="1">
      <c r="B3" s="30" t="s">
        <v>378</v>
      </c>
      <c r="C3" s="31"/>
    </row>
    <row r="4" spans="2:4">
      <c r="B4" s="6"/>
      <c r="C4" s="6"/>
    </row>
    <row r="5" spans="2:4" ht="15.75">
      <c r="B5" s="32" t="s">
        <v>0</v>
      </c>
      <c r="C5" s="32"/>
      <c r="D5" s="7"/>
    </row>
    <row r="6" spans="2:4">
      <c r="B6" s="8" t="s">
        <v>2</v>
      </c>
      <c r="C6" s="9" t="s">
        <v>379</v>
      </c>
    </row>
    <row r="7" spans="2:4" ht="24.75" customHeight="1">
      <c r="B7" s="8" t="s">
        <v>3</v>
      </c>
      <c r="C7" s="10" t="s">
        <v>1</v>
      </c>
    </row>
    <row r="8" spans="2:4">
      <c r="B8" s="8" t="s">
        <v>4</v>
      </c>
      <c r="C8" s="9" t="s">
        <v>5</v>
      </c>
    </row>
    <row r="9" spans="2:4">
      <c r="B9" s="8" t="s">
        <v>6</v>
      </c>
      <c r="C9" s="9" t="s">
        <v>7</v>
      </c>
    </row>
    <row r="10" spans="2:4">
      <c r="B10" s="8" t="s">
        <v>8</v>
      </c>
      <c r="C10" s="9" t="s">
        <v>40</v>
      </c>
    </row>
    <row r="11" spans="2:4">
      <c r="B11" s="8" t="s">
        <v>9</v>
      </c>
      <c r="C11" s="9" t="s">
        <v>39</v>
      </c>
    </row>
    <row r="12" spans="2:4">
      <c r="B12" s="8" t="s">
        <v>10</v>
      </c>
      <c r="C12" s="9" t="s">
        <v>11</v>
      </c>
    </row>
    <row r="13" spans="2:4" ht="26.25">
      <c r="B13" s="11" t="s">
        <v>12</v>
      </c>
      <c r="C13" s="10" t="s">
        <v>380</v>
      </c>
    </row>
    <row r="14" spans="2:4">
      <c r="B14" s="6"/>
      <c r="C14" s="6"/>
    </row>
    <row r="15" spans="2:4" ht="16.5" thickBot="1">
      <c r="B15" s="32" t="s">
        <v>13</v>
      </c>
      <c r="C15" s="32"/>
    </row>
    <row r="16" spans="2:4" ht="18">
      <c r="B16" s="12" t="s">
        <v>14</v>
      </c>
      <c r="C16" s="13" t="s">
        <v>15</v>
      </c>
    </row>
    <row r="17" spans="1:12">
      <c r="B17" s="1" t="s">
        <v>16</v>
      </c>
      <c r="C17" s="2" t="s">
        <v>36</v>
      </c>
    </row>
    <row r="18" spans="1:12">
      <c r="B18" s="1" t="s">
        <v>17</v>
      </c>
      <c r="C18" s="3" t="s">
        <v>36</v>
      </c>
      <c r="G18"/>
      <c r="H18"/>
      <c r="I18"/>
      <c r="J18"/>
      <c r="K18"/>
    </row>
    <row r="19" spans="1:12">
      <c r="B19" s="1" t="s">
        <v>18</v>
      </c>
      <c r="C19" s="3" t="str">
        <f>VLOOKUP($C$21,ABASTO[#All],11,FALSE)</f>
        <v>MORELOS</v>
      </c>
      <c r="G19" s="18"/>
      <c r="H19" s="18"/>
      <c r="I19" s="19"/>
      <c r="J19" s="19"/>
      <c r="K19" s="20"/>
      <c r="L19" s="14"/>
    </row>
    <row r="20" spans="1:12">
      <c r="B20" s="1" t="s">
        <v>41</v>
      </c>
      <c r="C20" s="3" t="str">
        <f>VLOOKUP($C$21,ABASTO[#All],2,FALSE)</f>
        <v>ZUFO_EL CEDAZO</v>
      </c>
      <c r="G20" s="20"/>
      <c r="H20" s="14"/>
      <c r="I20" s="20"/>
      <c r="J20" s="20"/>
      <c r="K20" s="20"/>
      <c r="L20" s="14"/>
    </row>
    <row r="21" spans="1:12" ht="19.5">
      <c r="B21" s="21" t="s">
        <v>381</v>
      </c>
      <c r="C21" s="22">
        <v>320</v>
      </c>
      <c r="G21" s="20"/>
      <c r="H21" s="20"/>
      <c r="I21" s="20"/>
      <c r="J21" s="20"/>
      <c r="K21" s="20"/>
      <c r="L21" s="14"/>
    </row>
    <row r="22" spans="1:12">
      <c r="B22" s="1" t="s">
        <v>42</v>
      </c>
      <c r="C22" s="16" t="str">
        <f>VLOOKUP($C$21,ABASTO[#All],6,FALSE)</f>
        <v>Parque Bonampak</v>
      </c>
      <c r="G22"/>
      <c r="H22"/>
      <c r="I22"/>
      <c r="J22"/>
      <c r="K22"/>
    </row>
    <row r="23" spans="1:12" ht="26.25" customHeight="1">
      <c r="B23" s="26" t="s">
        <v>43</v>
      </c>
      <c r="C23" s="25" t="str">
        <f>VLOOKUP($C$21,ABASTO[#All],12,FALSE)</f>
        <v>RECREACION</v>
      </c>
    </row>
    <row r="24" spans="1:12" ht="26.25" customHeight="1">
      <c r="B24" s="26" t="s">
        <v>382</v>
      </c>
      <c r="C24" s="28">
        <f>VLOOKUP($C$21,ABASTO[#All],8,FALSE)</f>
        <v>15838.4039407</v>
      </c>
    </row>
    <row r="25" spans="1:12">
      <c r="B25" s="1" t="s">
        <v>19</v>
      </c>
      <c r="C25" s="16">
        <f>VLOOKUP($C$21,ABASTO[#All],3,FALSE)</f>
        <v>783449.28188100003</v>
      </c>
    </row>
    <row r="26" spans="1:12" ht="15.75" thickBot="1">
      <c r="B26" s="4" t="s">
        <v>20</v>
      </c>
      <c r="C26" s="16">
        <f>VLOOKUP($C$21,ABASTO[#All],4,FALSE)</f>
        <v>2419997.9179500001</v>
      </c>
    </row>
    <row r="29" spans="1:12">
      <c r="A29" s="14"/>
      <c r="B29" s="14"/>
      <c r="C29" s="14"/>
    </row>
    <row r="30" spans="1:12">
      <c r="A30" s="14"/>
      <c r="B30" s="17"/>
      <c r="C30" s="14"/>
    </row>
    <row r="31" spans="1:12">
      <c r="A31" s="14"/>
      <c r="B31" s="14"/>
      <c r="C31" s="14"/>
    </row>
    <row r="32" spans="1:12">
      <c r="A32" s="14"/>
      <c r="B32" s="14"/>
      <c r="C32" s="14"/>
    </row>
  </sheetData>
  <dataConsolidate/>
  <mergeCells count="4">
    <mergeCell ref="B1:C2"/>
    <mergeCell ref="B3:C3"/>
    <mergeCell ref="B5:C5"/>
    <mergeCell ref="B15:C15"/>
  </mergeCells>
  <pageMargins left="0.7" right="0.7" top="0.75" bottom="0.75" header="0.3" footer="0.3"/>
  <pageSetup scale="7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'BASE DE DATOS_PAR_CAN_JAR'!$A$2:$A$436</xm:f>
          </x14:formula1>
          <xm:sqref>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6"/>
  <sheetViews>
    <sheetView zoomScale="85" zoomScaleNormal="85" workbookViewId="0">
      <selection activeCell="H2" sqref="H2:H1048576"/>
    </sheetView>
  </sheetViews>
  <sheetFormatPr baseColWidth="10" defaultRowHeight="15"/>
  <cols>
    <col min="1" max="1" width="15.5703125" style="24" bestFit="1" customWidth="1"/>
    <col min="2" max="2" width="29.140625" style="15" bestFit="1" customWidth="1"/>
    <col min="3" max="3" width="18.7109375" style="23" bestFit="1" customWidth="1"/>
    <col min="4" max="4" width="19.7109375" style="23" customWidth="1"/>
    <col min="5" max="5" width="14.5703125" style="15" customWidth="1"/>
    <col min="6" max="6" width="63.7109375" style="15" bestFit="1" customWidth="1"/>
    <col min="7" max="7" width="17.7109375" style="27" bestFit="1" customWidth="1"/>
    <col min="8" max="8" width="18.7109375" style="27" bestFit="1" customWidth="1"/>
    <col min="9" max="9" width="10.42578125" style="15" customWidth="1"/>
    <col min="10" max="10" width="12" customWidth="1"/>
    <col min="11" max="11" width="20.7109375" style="15" bestFit="1" customWidth="1"/>
    <col min="12" max="12" width="27.28515625" style="15" customWidth="1"/>
  </cols>
  <sheetData>
    <row r="1" spans="1:12">
      <c r="A1" s="24" t="s">
        <v>38</v>
      </c>
      <c r="B1" s="15" t="s">
        <v>46</v>
      </c>
      <c r="C1" s="23" t="s">
        <v>47</v>
      </c>
      <c r="D1" s="23" t="s">
        <v>48</v>
      </c>
      <c r="E1" s="15" t="s">
        <v>49</v>
      </c>
      <c r="F1" s="15" t="s">
        <v>50</v>
      </c>
      <c r="G1" s="27" t="s">
        <v>51</v>
      </c>
      <c r="H1" s="27" t="s">
        <v>371</v>
      </c>
      <c r="I1" s="15" t="s">
        <v>52</v>
      </c>
      <c r="J1" t="s">
        <v>375</v>
      </c>
      <c r="K1" s="15" t="s">
        <v>21</v>
      </c>
      <c r="L1" t="s">
        <v>376</v>
      </c>
    </row>
    <row r="2" spans="1:12">
      <c r="A2" s="24">
        <v>1</v>
      </c>
      <c r="B2" s="15" t="s">
        <v>53</v>
      </c>
      <c r="C2" s="23">
        <v>776930.90740000003</v>
      </c>
      <c r="D2" s="23">
        <v>2424041.375</v>
      </c>
      <c r="E2" s="15">
        <v>25</v>
      </c>
      <c r="F2" s="15" t="s">
        <v>54</v>
      </c>
      <c r="G2" s="27">
        <v>187.86</v>
      </c>
      <c r="H2" s="27">
        <v>581.08694213599995</v>
      </c>
      <c r="I2" s="15" t="s">
        <v>55</v>
      </c>
      <c r="K2" s="15" t="s">
        <v>26</v>
      </c>
      <c r="L2" s="15" t="s">
        <v>377</v>
      </c>
    </row>
    <row r="3" spans="1:12">
      <c r="A3" s="24">
        <v>2</v>
      </c>
      <c r="B3" s="15" t="s">
        <v>56</v>
      </c>
      <c r="C3" s="23">
        <v>778480.07629999996</v>
      </c>
      <c r="D3" s="23">
        <v>2421456.872</v>
      </c>
      <c r="E3" s="15">
        <v>694</v>
      </c>
      <c r="F3" s="15" t="s">
        <v>57</v>
      </c>
      <c r="G3" s="27">
        <v>0</v>
      </c>
      <c r="H3" s="27">
        <v>28624.538107199998</v>
      </c>
      <c r="K3" s="15" t="s">
        <v>24</v>
      </c>
      <c r="L3" s="15" t="s">
        <v>377</v>
      </c>
    </row>
    <row r="4" spans="1:12">
      <c r="A4" s="24">
        <v>4</v>
      </c>
      <c r="B4" s="15" t="s">
        <v>56</v>
      </c>
      <c r="C4" s="23">
        <v>780714.30020000006</v>
      </c>
      <c r="D4" s="23">
        <v>2422011.5699999998</v>
      </c>
      <c r="E4" s="15">
        <v>534</v>
      </c>
      <c r="F4" s="15" t="s">
        <v>58</v>
      </c>
      <c r="G4" s="27">
        <v>9361.68</v>
      </c>
      <c r="H4" s="27">
        <v>33020.774184800001</v>
      </c>
      <c r="I4" s="15" t="s">
        <v>55</v>
      </c>
      <c r="K4" s="15" t="s">
        <v>30</v>
      </c>
      <c r="L4" s="15" t="s">
        <v>377</v>
      </c>
    </row>
    <row r="5" spans="1:12">
      <c r="A5" s="24">
        <v>5</v>
      </c>
      <c r="B5" s="15" t="s">
        <v>56</v>
      </c>
      <c r="C5" s="23">
        <v>780983.03110000002</v>
      </c>
      <c r="D5" s="23">
        <v>2422468.165</v>
      </c>
      <c r="E5" s="15">
        <v>691</v>
      </c>
      <c r="F5" s="15" t="s">
        <v>59</v>
      </c>
      <c r="G5" s="27">
        <v>0</v>
      </c>
      <c r="H5" s="27">
        <v>9112.0991190900004</v>
      </c>
      <c r="K5" s="15" t="s">
        <v>30</v>
      </c>
      <c r="L5" s="15" t="s">
        <v>377</v>
      </c>
    </row>
    <row r="6" spans="1:12">
      <c r="A6" s="24">
        <v>6</v>
      </c>
      <c r="B6" s="15" t="s">
        <v>56</v>
      </c>
      <c r="C6" s="23">
        <v>779415.36540000001</v>
      </c>
      <c r="D6" s="23">
        <v>2422406.9980000001</v>
      </c>
      <c r="E6" s="15">
        <v>531</v>
      </c>
      <c r="F6" s="15" t="s">
        <v>60</v>
      </c>
      <c r="G6" s="27">
        <v>141.77000000000001</v>
      </c>
      <c r="H6" s="27">
        <v>1284.15237138</v>
      </c>
      <c r="I6" s="15" t="s">
        <v>55</v>
      </c>
      <c r="K6" s="15" t="s">
        <v>30</v>
      </c>
      <c r="L6" s="15" t="s">
        <v>377</v>
      </c>
    </row>
    <row r="7" spans="1:12">
      <c r="A7" s="24">
        <v>7</v>
      </c>
      <c r="B7" s="15" t="s">
        <v>56</v>
      </c>
      <c r="C7" s="23">
        <v>779389.6605</v>
      </c>
      <c r="D7" s="23">
        <v>2422493.1690000002</v>
      </c>
      <c r="E7" s="15">
        <v>532</v>
      </c>
      <c r="F7" s="15" t="s">
        <v>61</v>
      </c>
      <c r="G7" s="27">
        <v>1260.51</v>
      </c>
      <c r="H7" s="27">
        <v>1834.4767470500001</v>
      </c>
      <c r="I7" s="15" t="s">
        <v>55</v>
      </c>
      <c r="K7" s="15" t="s">
        <v>30</v>
      </c>
      <c r="L7" s="15" t="s">
        <v>377</v>
      </c>
    </row>
    <row r="8" spans="1:12">
      <c r="A8" s="24">
        <v>8</v>
      </c>
      <c r="B8" s="15" t="s">
        <v>56</v>
      </c>
      <c r="C8" s="23">
        <v>779387.51899999997</v>
      </c>
      <c r="D8" s="23">
        <v>2422067.0750000002</v>
      </c>
      <c r="E8" s="15">
        <v>617</v>
      </c>
      <c r="F8" s="15" t="s">
        <v>62</v>
      </c>
      <c r="G8" s="27">
        <v>2133.06</v>
      </c>
      <c r="H8" s="27">
        <v>5683.3034756200004</v>
      </c>
      <c r="K8" s="15" t="s">
        <v>24</v>
      </c>
      <c r="L8" s="15" t="s">
        <v>377</v>
      </c>
    </row>
    <row r="9" spans="1:12">
      <c r="A9" s="24">
        <v>9</v>
      </c>
      <c r="B9" s="15" t="s">
        <v>56</v>
      </c>
      <c r="C9" s="23">
        <v>778028.62829999998</v>
      </c>
      <c r="D9" s="23">
        <v>2421427.4980000001</v>
      </c>
      <c r="E9" s="15">
        <v>42</v>
      </c>
      <c r="F9" s="15" t="s">
        <v>63</v>
      </c>
      <c r="G9" s="27">
        <v>2033.66</v>
      </c>
      <c r="H9" s="27">
        <v>3109.4219437900001</v>
      </c>
      <c r="I9" s="15" t="s">
        <v>55</v>
      </c>
      <c r="K9" s="15" t="s">
        <v>24</v>
      </c>
      <c r="L9" s="15" t="s">
        <v>377</v>
      </c>
    </row>
    <row r="10" spans="1:12">
      <c r="A10" s="24">
        <v>10</v>
      </c>
      <c r="B10" s="15" t="s">
        <v>56</v>
      </c>
      <c r="C10" s="23">
        <v>779533.42260000005</v>
      </c>
      <c r="D10" s="23">
        <v>2423340.9879999999</v>
      </c>
      <c r="E10" s="15">
        <v>528</v>
      </c>
      <c r="F10" s="15" t="s">
        <v>64</v>
      </c>
      <c r="G10" s="27">
        <v>1732.27</v>
      </c>
      <c r="H10" s="27">
        <v>3362.07894807</v>
      </c>
      <c r="I10" s="15" t="s">
        <v>55</v>
      </c>
      <c r="K10" s="15" t="s">
        <v>30</v>
      </c>
      <c r="L10" s="15" t="s">
        <v>377</v>
      </c>
    </row>
    <row r="11" spans="1:12">
      <c r="A11" s="24">
        <v>12</v>
      </c>
      <c r="B11" s="15" t="s">
        <v>65</v>
      </c>
      <c r="C11" s="23">
        <v>781151.69409999996</v>
      </c>
      <c r="D11" s="23">
        <v>2425513.588</v>
      </c>
      <c r="E11" s="15">
        <v>258</v>
      </c>
      <c r="F11" s="15" t="s">
        <v>66</v>
      </c>
      <c r="G11" s="27">
        <v>1536</v>
      </c>
      <c r="H11" s="27">
        <v>6157.8331005</v>
      </c>
      <c r="I11" s="15" t="s">
        <v>55</v>
      </c>
      <c r="K11" s="15" t="s">
        <v>35</v>
      </c>
      <c r="L11" s="15" t="s">
        <v>377</v>
      </c>
    </row>
    <row r="12" spans="1:12">
      <c r="A12" s="24">
        <v>13</v>
      </c>
      <c r="B12" s="15" t="s">
        <v>67</v>
      </c>
      <c r="C12" s="23">
        <v>782833.69460000005</v>
      </c>
      <c r="D12" s="23">
        <v>2421422.162</v>
      </c>
      <c r="E12" s="15">
        <v>658</v>
      </c>
      <c r="F12" s="15" t="s">
        <v>68</v>
      </c>
      <c r="G12" s="27">
        <v>0</v>
      </c>
      <c r="H12" s="27">
        <v>93234.053382800004</v>
      </c>
      <c r="K12" s="15" t="s">
        <v>27</v>
      </c>
      <c r="L12" s="15" t="s">
        <v>377</v>
      </c>
    </row>
    <row r="13" spans="1:12">
      <c r="A13" s="24">
        <v>15</v>
      </c>
      <c r="B13" s="15" t="s">
        <v>69</v>
      </c>
      <c r="C13" s="23">
        <v>777306.08900000004</v>
      </c>
      <c r="D13" s="23">
        <v>2422844.0980000002</v>
      </c>
      <c r="E13" s="15">
        <v>2</v>
      </c>
      <c r="F13" s="15" t="s">
        <v>70</v>
      </c>
      <c r="G13" s="27">
        <v>3684</v>
      </c>
      <c r="H13" s="27">
        <v>5586.7643673299999</v>
      </c>
      <c r="I13" s="15" t="s">
        <v>55</v>
      </c>
      <c r="K13" s="15" t="s">
        <v>29</v>
      </c>
      <c r="L13" s="15" t="s">
        <v>377</v>
      </c>
    </row>
    <row r="14" spans="1:12">
      <c r="A14" s="24">
        <v>16</v>
      </c>
      <c r="B14" s="15" t="s">
        <v>71</v>
      </c>
      <c r="C14" s="23">
        <v>779180.21180000005</v>
      </c>
      <c r="D14" s="23">
        <v>2416876.9440000001</v>
      </c>
      <c r="E14" s="15">
        <v>403</v>
      </c>
      <c r="F14" s="15" t="s">
        <v>72</v>
      </c>
      <c r="G14" s="27">
        <v>0</v>
      </c>
      <c r="H14" s="27">
        <v>7004.0356026400004</v>
      </c>
      <c r="I14" s="15" t="s">
        <v>55</v>
      </c>
      <c r="K14" s="15" t="s">
        <v>25</v>
      </c>
      <c r="L14" s="15" t="s">
        <v>377</v>
      </c>
    </row>
    <row r="15" spans="1:12">
      <c r="A15" s="24">
        <v>17</v>
      </c>
      <c r="B15" s="15" t="s">
        <v>73</v>
      </c>
      <c r="C15" s="23">
        <v>779846.56169999996</v>
      </c>
      <c r="D15" s="23">
        <v>2416341.71</v>
      </c>
      <c r="E15" s="15">
        <v>396</v>
      </c>
      <c r="F15" s="15" t="s">
        <v>74</v>
      </c>
      <c r="G15" s="27">
        <v>4256.8999999999996</v>
      </c>
      <c r="H15" s="27">
        <v>6400.8319630400001</v>
      </c>
      <c r="I15" s="15" t="s">
        <v>55</v>
      </c>
      <c r="K15" s="15" t="s">
        <v>25</v>
      </c>
      <c r="L15" s="15" t="s">
        <v>377</v>
      </c>
    </row>
    <row r="16" spans="1:12">
      <c r="A16" s="24">
        <v>18</v>
      </c>
      <c r="B16" s="15" t="s">
        <v>75</v>
      </c>
      <c r="C16" s="23">
        <v>777027.41630000004</v>
      </c>
      <c r="D16" s="23">
        <v>2420406.2620000001</v>
      </c>
      <c r="E16" s="15">
        <v>405</v>
      </c>
      <c r="F16" s="15" t="s">
        <v>76</v>
      </c>
      <c r="G16" s="27">
        <v>1327.62</v>
      </c>
      <c r="H16" s="27">
        <v>1744.1803145900001</v>
      </c>
      <c r="I16" s="15" t="s">
        <v>55</v>
      </c>
      <c r="K16" s="15" t="s">
        <v>29</v>
      </c>
      <c r="L16" s="15" t="s">
        <v>377</v>
      </c>
    </row>
    <row r="17" spans="1:12">
      <c r="A17" s="24">
        <v>19</v>
      </c>
      <c r="B17" s="15" t="s">
        <v>71</v>
      </c>
      <c r="C17" s="23">
        <v>776731.78949999996</v>
      </c>
      <c r="D17" s="23">
        <v>2419062.409</v>
      </c>
      <c r="E17" s="15">
        <v>388</v>
      </c>
      <c r="F17" s="15" t="s">
        <v>77</v>
      </c>
      <c r="G17" s="27">
        <v>2107</v>
      </c>
      <c r="H17" s="27">
        <v>5183.3232336000001</v>
      </c>
      <c r="I17" s="15" t="s">
        <v>55</v>
      </c>
      <c r="K17" s="15" t="s">
        <v>29</v>
      </c>
      <c r="L17" s="15" t="s">
        <v>377</v>
      </c>
    </row>
    <row r="18" spans="1:12">
      <c r="A18" s="24">
        <v>20</v>
      </c>
      <c r="B18" s="15" t="s">
        <v>78</v>
      </c>
      <c r="C18" s="23">
        <v>773636.54379999998</v>
      </c>
      <c r="D18" s="23">
        <v>2421025.1510000001</v>
      </c>
      <c r="E18" s="15">
        <v>389</v>
      </c>
      <c r="F18" s="15" t="s">
        <v>79</v>
      </c>
      <c r="G18" s="27">
        <v>782.45</v>
      </c>
      <c r="H18" s="27">
        <v>1891.56532511</v>
      </c>
      <c r="I18" s="15" t="s">
        <v>55</v>
      </c>
      <c r="K18" s="15" t="s">
        <v>29</v>
      </c>
      <c r="L18" s="15" t="s">
        <v>377</v>
      </c>
    </row>
    <row r="19" spans="1:12">
      <c r="A19" s="24">
        <v>21</v>
      </c>
      <c r="B19" s="15" t="s">
        <v>80</v>
      </c>
      <c r="C19" s="23">
        <v>784076.74040000001</v>
      </c>
      <c r="D19" s="23">
        <v>2422179.8369999998</v>
      </c>
      <c r="E19" s="15">
        <v>672</v>
      </c>
      <c r="F19" s="15" t="s">
        <v>81</v>
      </c>
      <c r="G19" s="27">
        <v>0</v>
      </c>
      <c r="H19" s="27">
        <v>1282.1266673600001</v>
      </c>
      <c r="K19" s="15" t="s">
        <v>33</v>
      </c>
      <c r="L19" s="15" t="s">
        <v>377</v>
      </c>
    </row>
    <row r="20" spans="1:12">
      <c r="A20" s="24">
        <v>23</v>
      </c>
      <c r="B20" s="15" t="s">
        <v>82</v>
      </c>
      <c r="C20" s="23">
        <v>771452.34210000001</v>
      </c>
      <c r="D20" s="23">
        <v>2402944.64</v>
      </c>
      <c r="E20" s="15">
        <v>708</v>
      </c>
      <c r="F20" s="15" t="s">
        <v>83</v>
      </c>
      <c r="G20" s="27">
        <v>0</v>
      </c>
      <c r="H20" s="27">
        <v>16961.0763038</v>
      </c>
      <c r="K20" s="15" t="s">
        <v>45</v>
      </c>
      <c r="L20" s="15" t="s">
        <v>377</v>
      </c>
    </row>
    <row r="21" spans="1:12">
      <c r="A21" s="24">
        <v>24</v>
      </c>
      <c r="B21" s="15" t="s">
        <v>372</v>
      </c>
      <c r="C21" s="23">
        <v>780505.10259999998</v>
      </c>
      <c r="D21" s="23">
        <v>2403603.818</v>
      </c>
      <c r="E21" s="15">
        <v>705</v>
      </c>
      <c r="F21" s="15" t="s">
        <v>360</v>
      </c>
      <c r="G21" s="27">
        <v>0</v>
      </c>
      <c r="H21" s="27">
        <v>549.44649029100003</v>
      </c>
      <c r="K21" s="15" t="s">
        <v>45</v>
      </c>
      <c r="L21" s="15" t="s">
        <v>377</v>
      </c>
    </row>
    <row r="22" spans="1:12">
      <c r="A22" s="24">
        <v>25</v>
      </c>
      <c r="B22" s="15" t="s">
        <v>373</v>
      </c>
      <c r="C22" s="23">
        <v>758733.93770000001</v>
      </c>
      <c r="D22" s="23">
        <v>2405143.713</v>
      </c>
      <c r="E22" s="15">
        <v>710</v>
      </c>
      <c r="F22" s="15" t="s">
        <v>84</v>
      </c>
      <c r="G22" s="27">
        <v>0</v>
      </c>
      <c r="H22" s="27">
        <v>1913.5245023099999</v>
      </c>
      <c r="K22" s="15" t="s">
        <v>23</v>
      </c>
      <c r="L22" s="15" t="s">
        <v>377</v>
      </c>
    </row>
    <row r="23" spans="1:12">
      <c r="A23" s="24">
        <v>26</v>
      </c>
      <c r="B23" s="15" t="s">
        <v>82</v>
      </c>
      <c r="C23" s="23">
        <v>771107.70570000005</v>
      </c>
      <c r="D23" s="23">
        <v>2408112.7179999999</v>
      </c>
      <c r="E23" s="15">
        <v>374</v>
      </c>
      <c r="F23" s="15" t="s">
        <v>361</v>
      </c>
      <c r="G23" s="27">
        <v>2569.5</v>
      </c>
      <c r="H23" s="27">
        <v>3458.2698871299999</v>
      </c>
      <c r="I23" s="15" t="s">
        <v>55</v>
      </c>
      <c r="K23" s="15" t="s">
        <v>23</v>
      </c>
      <c r="L23" s="15" t="s">
        <v>377</v>
      </c>
    </row>
    <row r="24" spans="1:12">
      <c r="A24" s="24">
        <v>27</v>
      </c>
      <c r="B24" s="15" t="s">
        <v>82</v>
      </c>
      <c r="C24" s="23">
        <v>771858.84569999995</v>
      </c>
      <c r="D24" s="23">
        <v>2408327.426</v>
      </c>
      <c r="E24" s="15">
        <v>394</v>
      </c>
      <c r="F24" s="15" t="s">
        <v>85</v>
      </c>
      <c r="G24" s="27">
        <v>515.95000000000005</v>
      </c>
      <c r="H24" s="27">
        <v>463.38139681000001</v>
      </c>
      <c r="I24" s="15" t="s">
        <v>55</v>
      </c>
      <c r="K24" s="15" t="s">
        <v>23</v>
      </c>
      <c r="L24" s="15" t="s">
        <v>377</v>
      </c>
    </row>
    <row r="25" spans="1:12">
      <c r="A25" s="24">
        <v>28</v>
      </c>
      <c r="B25" s="15" t="s">
        <v>374</v>
      </c>
      <c r="C25" s="23">
        <v>794506.68740000005</v>
      </c>
      <c r="D25" s="23">
        <v>2437318.4950000001</v>
      </c>
      <c r="E25" s="15">
        <v>225</v>
      </c>
      <c r="F25" s="15" t="s">
        <v>86</v>
      </c>
      <c r="G25" s="27">
        <v>30</v>
      </c>
      <c r="H25" s="27">
        <v>913.09191559600004</v>
      </c>
      <c r="I25" s="15" t="s">
        <v>55</v>
      </c>
      <c r="K25" s="15" t="s">
        <v>44</v>
      </c>
      <c r="L25" s="15" t="s">
        <v>377</v>
      </c>
    </row>
    <row r="26" spans="1:12">
      <c r="A26" s="24">
        <v>29</v>
      </c>
      <c r="B26" s="15" t="s">
        <v>372</v>
      </c>
      <c r="C26" s="23">
        <v>779429.67859999998</v>
      </c>
      <c r="D26" s="23">
        <v>2399172.0180000002</v>
      </c>
      <c r="E26" s="15">
        <v>395</v>
      </c>
      <c r="F26" s="15" t="s">
        <v>362</v>
      </c>
      <c r="G26" s="27">
        <v>2658.2</v>
      </c>
      <c r="H26" s="27">
        <v>2984.0576268700001</v>
      </c>
      <c r="I26" s="15" t="s">
        <v>55</v>
      </c>
      <c r="K26" s="15" t="s">
        <v>45</v>
      </c>
      <c r="L26" s="15" t="s">
        <v>377</v>
      </c>
    </row>
    <row r="27" spans="1:12">
      <c r="A27" s="24">
        <v>31</v>
      </c>
      <c r="B27" s="15" t="s">
        <v>53</v>
      </c>
      <c r="C27" s="23">
        <v>777663.83470000001</v>
      </c>
      <c r="D27" s="23">
        <v>2427799.1579999998</v>
      </c>
      <c r="E27" s="15">
        <v>698</v>
      </c>
      <c r="F27" s="15" t="s">
        <v>87</v>
      </c>
      <c r="G27" s="27">
        <v>0</v>
      </c>
      <c r="H27" s="27">
        <v>1004.05486921</v>
      </c>
      <c r="K27" s="15" t="s">
        <v>26</v>
      </c>
      <c r="L27" s="15" t="s">
        <v>377</v>
      </c>
    </row>
    <row r="28" spans="1:12">
      <c r="A28" s="24">
        <v>32</v>
      </c>
      <c r="B28" s="15" t="s">
        <v>53</v>
      </c>
      <c r="C28" s="23">
        <v>777641.9584</v>
      </c>
      <c r="D28" s="23">
        <v>2427643.3149999999</v>
      </c>
      <c r="E28" s="15">
        <v>697</v>
      </c>
      <c r="F28" s="15" t="s">
        <v>88</v>
      </c>
      <c r="G28" s="27">
        <v>0</v>
      </c>
      <c r="H28" s="27">
        <v>2188.61353078</v>
      </c>
      <c r="K28" s="15" t="s">
        <v>26</v>
      </c>
      <c r="L28" s="15" t="s">
        <v>377</v>
      </c>
    </row>
    <row r="29" spans="1:12">
      <c r="A29" s="24">
        <v>33</v>
      </c>
      <c r="B29" s="15" t="s">
        <v>53</v>
      </c>
      <c r="C29" s="23">
        <v>778336.92</v>
      </c>
      <c r="D29" s="23">
        <v>2428060.2620000001</v>
      </c>
      <c r="E29" s="15">
        <v>17</v>
      </c>
      <c r="F29" s="15" t="s">
        <v>89</v>
      </c>
      <c r="G29" s="27">
        <v>289.51</v>
      </c>
      <c r="H29" s="27">
        <v>1011.9430972500001</v>
      </c>
      <c r="I29" s="15" t="s">
        <v>55</v>
      </c>
      <c r="K29" s="15" t="s">
        <v>26</v>
      </c>
      <c r="L29" s="15" t="s">
        <v>377</v>
      </c>
    </row>
    <row r="30" spans="1:12">
      <c r="A30" s="24">
        <v>34</v>
      </c>
      <c r="B30" s="15" t="s">
        <v>374</v>
      </c>
      <c r="C30" s="23">
        <v>789341.35290000006</v>
      </c>
      <c r="D30" s="23">
        <v>2435674.7710000002</v>
      </c>
      <c r="E30" s="15">
        <v>249</v>
      </c>
      <c r="F30" s="15" t="s">
        <v>363</v>
      </c>
      <c r="G30" s="27">
        <v>7988.17</v>
      </c>
      <c r="H30" s="27">
        <v>8659.7771788299997</v>
      </c>
      <c r="I30" s="15" t="s">
        <v>55</v>
      </c>
      <c r="K30" s="15" t="s">
        <v>44</v>
      </c>
      <c r="L30" s="15" t="s">
        <v>377</v>
      </c>
    </row>
    <row r="31" spans="1:12">
      <c r="A31" s="24">
        <v>35</v>
      </c>
      <c r="B31" s="15" t="s">
        <v>71</v>
      </c>
      <c r="C31" s="23">
        <v>779220.92090000003</v>
      </c>
      <c r="D31" s="23">
        <v>2418911.7519999999</v>
      </c>
      <c r="E31" s="15">
        <v>391</v>
      </c>
      <c r="F31" s="15" t="s">
        <v>90</v>
      </c>
      <c r="G31" s="27">
        <v>771.85</v>
      </c>
      <c r="H31" s="27">
        <v>2386.9186422100001</v>
      </c>
      <c r="I31" s="15" t="s">
        <v>55</v>
      </c>
      <c r="K31" s="15" t="s">
        <v>24</v>
      </c>
      <c r="L31" s="15" t="s">
        <v>377</v>
      </c>
    </row>
    <row r="32" spans="1:12">
      <c r="A32" s="24">
        <v>36</v>
      </c>
      <c r="B32" s="15" t="s">
        <v>53</v>
      </c>
      <c r="C32" s="23">
        <v>777495.6128</v>
      </c>
      <c r="D32" s="23">
        <v>2427072.6209999998</v>
      </c>
      <c r="E32" s="15">
        <v>37</v>
      </c>
      <c r="F32" s="15" t="s">
        <v>91</v>
      </c>
      <c r="G32" s="27">
        <v>7268.7</v>
      </c>
      <c r="H32" s="27">
        <v>9057.7632691500003</v>
      </c>
      <c r="I32" s="15" t="s">
        <v>55</v>
      </c>
      <c r="K32" s="15" t="s">
        <v>26</v>
      </c>
      <c r="L32" s="15" t="s">
        <v>377</v>
      </c>
    </row>
    <row r="33" spans="1:12">
      <c r="A33" s="24">
        <v>37</v>
      </c>
      <c r="B33" s="15" t="s">
        <v>53</v>
      </c>
      <c r="C33" s="23">
        <v>778576.8811</v>
      </c>
      <c r="D33" s="23">
        <v>2427192.023</v>
      </c>
      <c r="E33" s="15">
        <v>32</v>
      </c>
      <c r="F33" s="15" t="s">
        <v>92</v>
      </c>
      <c r="G33" s="27">
        <v>2565.85</v>
      </c>
      <c r="H33" s="27">
        <v>4598.5678050699998</v>
      </c>
      <c r="I33" s="15" t="s">
        <v>55</v>
      </c>
      <c r="K33" s="15" t="s">
        <v>26</v>
      </c>
      <c r="L33" s="15" t="s">
        <v>377</v>
      </c>
    </row>
    <row r="34" spans="1:12">
      <c r="A34" s="24">
        <v>38</v>
      </c>
      <c r="B34" s="15" t="s">
        <v>82</v>
      </c>
      <c r="C34" s="23">
        <v>771529.83270000003</v>
      </c>
      <c r="D34" s="23">
        <v>2410721.2689999999</v>
      </c>
      <c r="E34" s="15">
        <v>380</v>
      </c>
      <c r="F34" s="15" t="s">
        <v>93</v>
      </c>
      <c r="G34" s="27">
        <v>1798.65</v>
      </c>
      <c r="H34" s="27">
        <v>2045.53008277</v>
      </c>
      <c r="I34" s="15" t="s">
        <v>55</v>
      </c>
      <c r="K34" s="15" t="s">
        <v>23</v>
      </c>
      <c r="L34" s="15" t="s">
        <v>377</v>
      </c>
    </row>
    <row r="35" spans="1:12">
      <c r="A35" s="24">
        <v>39</v>
      </c>
      <c r="B35" s="15" t="s">
        <v>372</v>
      </c>
      <c r="C35" s="23">
        <v>782558.77359999996</v>
      </c>
      <c r="D35" s="23">
        <v>2407932.5860000001</v>
      </c>
      <c r="E35" s="15">
        <v>703</v>
      </c>
      <c r="F35" s="15" t="s">
        <v>94</v>
      </c>
      <c r="G35" s="27">
        <v>0</v>
      </c>
      <c r="H35" s="27">
        <v>816.63846540700001</v>
      </c>
      <c r="K35" s="15" t="s">
        <v>22</v>
      </c>
      <c r="L35" s="15" t="s">
        <v>377</v>
      </c>
    </row>
    <row r="36" spans="1:12">
      <c r="A36" s="24">
        <v>40</v>
      </c>
      <c r="B36" s="15" t="s">
        <v>372</v>
      </c>
      <c r="C36" s="23">
        <v>778980.41</v>
      </c>
      <c r="D36" s="23">
        <v>2408287.622</v>
      </c>
      <c r="E36" s="15">
        <v>707</v>
      </c>
      <c r="F36" s="15" t="s">
        <v>95</v>
      </c>
      <c r="G36" s="27">
        <v>0</v>
      </c>
      <c r="H36" s="27">
        <v>486.97939734900001</v>
      </c>
      <c r="K36" s="15" t="s">
        <v>45</v>
      </c>
      <c r="L36" s="15" t="s">
        <v>377</v>
      </c>
    </row>
    <row r="37" spans="1:12">
      <c r="A37" s="24">
        <v>41</v>
      </c>
      <c r="B37" s="15" t="s">
        <v>69</v>
      </c>
      <c r="C37" s="23">
        <v>776755.49430000002</v>
      </c>
      <c r="D37" s="23">
        <v>2423412.6630000002</v>
      </c>
      <c r="E37" s="15">
        <v>1</v>
      </c>
      <c r="F37" s="15" t="s">
        <v>96</v>
      </c>
      <c r="G37" s="27">
        <v>585.39</v>
      </c>
      <c r="H37" s="27">
        <v>3048.3786439400001</v>
      </c>
      <c r="I37" s="15" t="s">
        <v>55</v>
      </c>
      <c r="K37" s="15" t="s">
        <v>26</v>
      </c>
      <c r="L37" s="15" t="s">
        <v>377</v>
      </c>
    </row>
    <row r="38" spans="1:12">
      <c r="A38" s="24">
        <v>42</v>
      </c>
      <c r="B38" s="15" t="s">
        <v>97</v>
      </c>
      <c r="C38" s="23">
        <v>786166.07090000005</v>
      </c>
      <c r="D38" s="23">
        <v>2420690.2799999998</v>
      </c>
      <c r="E38" s="15">
        <v>287</v>
      </c>
      <c r="F38" s="15" t="s">
        <v>98</v>
      </c>
      <c r="G38" s="27">
        <v>0</v>
      </c>
      <c r="H38" s="27">
        <v>5066.1688547399999</v>
      </c>
      <c r="I38" s="15" t="s">
        <v>55</v>
      </c>
      <c r="K38" s="15" t="s">
        <v>32</v>
      </c>
      <c r="L38" s="15" t="s">
        <v>377</v>
      </c>
    </row>
    <row r="39" spans="1:12">
      <c r="A39" s="24">
        <v>43</v>
      </c>
      <c r="B39" s="15" t="s">
        <v>374</v>
      </c>
      <c r="C39" s="23">
        <v>789096.54260000004</v>
      </c>
      <c r="D39" s="23">
        <v>2435667.8149999999</v>
      </c>
      <c r="E39" s="15">
        <v>224</v>
      </c>
      <c r="F39" s="15" t="s">
        <v>364</v>
      </c>
      <c r="G39" s="27">
        <v>339.1</v>
      </c>
      <c r="H39" s="27">
        <v>1183.83313393</v>
      </c>
      <c r="I39" s="15" t="s">
        <v>55</v>
      </c>
      <c r="K39" s="15" t="s">
        <v>44</v>
      </c>
      <c r="L39" s="15" t="s">
        <v>377</v>
      </c>
    </row>
    <row r="40" spans="1:12">
      <c r="A40" s="24">
        <v>44</v>
      </c>
      <c r="B40" s="15" t="s">
        <v>67</v>
      </c>
      <c r="C40" s="23">
        <v>781076.61739999999</v>
      </c>
      <c r="D40" s="23">
        <v>2420984.1510000001</v>
      </c>
      <c r="E40" s="15">
        <v>500</v>
      </c>
      <c r="F40" s="15" t="s">
        <v>99</v>
      </c>
      <c r="G40" s="27">
        <v>1239.4100000000001</v>
      </c>
      <c r="H40" s="27">
        <v>4337.4317969699996</v>
      </c>
      <c r="I40" s="15" t="s">
        <v>55</v>
      </c>
      <c r="K40" s="15" t="s">
        <v>30</v>
      </c>
      <c r="L40" s="15" t="s">
        <v>377</v>
      </c>
    </row>
    <row r="41" spans="1:12">
      <c r="A41" s="24">
        <v>47</v>
      </c>
      <c r="B41" s="15" t="s">
        <v>53</v>
      </c>
      <c r="C41" s="23">
        <v>777060.59499999997</v>
      </c>
      <c r="D41" s="23">
        <v>2427750.719</v>
      </c>
      <c r="E41" s="15">
        <v>21</v>
      </c>
      <c r="F41" s="15" t="s">
        <v>100</v>
      </c>
      <c r="G41" s="27">
        <v>6309.76</v>
      </c>
      <c r="H41" s="27">
        <v>10970.0770503</v>
      </c>
      <c r="I41" s="15" t="s">
        <v>55</v>
      </c>
      <c r="K41" s="15" t="s">
        <v>26</v>
      </c>
      <c r="L41" s="15" t="s">
        <v>377</v>
      </c>
    </row>
    <row r="42" spans="1:12">
      <c r="A42" s="24">
        <v>48</v>
      </c>
      <c r="B42" s="15" t="s">
        <v>53</v>
      </c>
      <c r="C42" s="23">
        <v>775259.9987</v>
      </c>
      <c r="D42" s="23">
        <v>2426803.341</v>
      </c>
      <c r="E42" s="15">
        <v>26</v>
      </c>
      <c r="F42" s="15" t="s">
        <v>101</v>
      </c>
      <c r="G42" s="27">
        <v>0</v>
      </c>
      <c r="H42" s="27">
        <v>1881.1288828500001</v>
      </c>
      <c r="I42" s="15" t="s">
        <v>55</v>
      </c>
      <c r="K42" s="15" t="s">
        <v>26</v>
      </c>
      <c r="L42" s="15" t="s">
        <v>377</v>
      </c>
    </row>
    <row r="43" spans="1:12">
      <c r="A43" s="24">
        <v>49</v>
      </c>
      <c r="B43" s="15" t="s">
        <v>53</v>
      </c>
      <c r="C43" s="23">
        <v>777123.27</v>
      </c>
      <c r="D43" s="23">
        <v>2427076.1549999998</v>
      </c>
      <c r="E43" s="15">
        <v>19</v>
      </c>
      <c r="F43" s="15" t="s">
        <v>102</v>
      </c>
      <c r="G43" s="27">
        <v>4017.05</v>
      </c>
      <c r="H43" s="27">
        <v>6074.1665781700003</v>
      </c>
      <c r="I43" s="15" t="s">
        <v>55</v>
      </c>
      <c r="K43" s="15" t="s">
        <v>26</v>
      </c>
      <c r="L43" s="15" t="s">
        <v>377</v>
      </c>
    </row>
    <row r="44" spans="1:12">
      <c r="A44" s="24">
        <v>50</v>
      </c>
      <c r="B44" s="15" t="s">
        <v>53</v>
      </c>
      <c r="C44" s="23">
        <v>779402.5564</v>
      </c>
      <c r="D44" s="23">
        <v>2427996.0750000002</v>
      </c>
      <c r="E44" s="15">
        <v>30</v>
      </c>
      <c r="F44" s="15" t="s">
        <v>103</v>
      </c>
      <c r="G44" s="27">
        <v>1015.1828</v>
      </c>
      <c r="H44" s="27">
        <v>2439.7489616100002</v>
      </c>
      <c r="I44" s="15" t="s">
        <v>55</v>
      </c>
      <c r="K44" s="15" t="s">
        <v>26</v>
      </c>
      <c r="L44" s="15" t="s">
        <v>377</v>
      </c>
    </row>
    <row r="45" spans="1:12">
      <c r="A45" s="24">
        <v>51</v>
      </c>
      <c r="B45" s="15" t="s">
        <v>53</v>
      </c>
      <c r="C45" s="23">
        <v>778141.05260000005</v>
      </c>
      <c r="D45" s="23">
        <v>2426574.872</v>
      </c>
      <c r="E45" s="15">
        <v>6</v>
      </c>
      <c r="F45" s="15" t="s">
        <v>104</v>
      </c>
      <c r="G45" s="27">
        <v>11399.14</v>
      </c>
      <c r="H45" s="27">
        <v>17737.725182999999</v>
      </c>
      <c r="I45" s="15" t="s">
        <v>55</v>
      </c>
      <c r="K45" s="15" t="s">
        <v>26</v>
      </c>
      <c r="L45" s="15" t="s">
        <v>377</v>
      </c>
    </row>
    <row r="46" spans="1:12">
      <c r="A46" s="24">
        <v>52</v>
      </c>
      <c r="B46" s="15" t="s">
        <v>105</v>
      </c>
      <c r="C46" s="23">
        <v>783170.60290000006</v>
      </c>
      <c r="D46" s="23">
        <v>2423434.7379999999</v>
      </c>
      <c r="E46" s="15">
        <v>240</v>
      </c>
      <c r="F46" s="15" t="s">
        <v>106</v>
      </c>
      <c r="G46" s="27">
        <v>3246.42</v>
      </c>
      <c r="H46" s="27">
        <v>31219.5758499</v>
      </c>
      <c r="I46" s="15" t="s">
        <v>55</v>
      </c>
      <c r="K46" s="15" t="s">
        <v>31</v>
      </c>
      <c r="L46" s="15" t="s">
        <v>377</v>
      </c>
    </row>
    <row r="47" spans="1:12">
      <c r="A47" s="24">
        <v>53</v>
      </c>
      <c r="B47" s="15" t="s">
        <v>107</v>
      </c>
      <c r="C47" s="23">
        <v>790740.12659999996</v>
      </c>
      <c r="D47" s="23">
        <v>2416021.142</v>
      </c>
      <c r="E47" s="15">
        <v>480</v>
      </c>
      <c r="F47" s="15" t="s">
        <v>108</v>
      </c>
      <c r="G47" s="27">
        <v>721.51</v>
      </c>
      <c r="H47" s="27">
        <v>1749.97694871</v>
      </c>
      <c r="I47" s="15" t="s">
        <v>55</v>
      </c>
      <c r="K47" s="15" t="s">
        <v>22</v>
      </c>
      <c r="L47" s="15" t="s">
        <v>377</v>
      </c>
    </row>
    <row r="48" spans="1:12">
      <c r="A48" s="24">
        <v>54</v>
      </c>
      <c r="B48" s="15" t="s">
        <v>374</v>
      </c>
      <c r="C48" s="23">
        <v>797958.91359999997</v>
      </c>
      <c r="D48" s="23">
        <v>2440846.48</v>
      </c>
      <c r="E48" s="15">
        <v>226</v>
      </c>
      <c r="F48" s="15" t="s">
        <v>109</v>
      </c>
      <c r="G48" s="27">
        <v>1974</v>
      </c>
      <c r="H48" s="27">
        <v>1793.0747669699999</v>
      </c>
      <c r="I48" s="15" t="s">
        <v>55</v>
      </c>
      <c r="K48" s="15" t="s">
        <v>44</v>
      </c>
      <c r="L48" s="15" t="s">
        <v>377</v>
      </c>
    </row>
    <row r="49" spans="1:12">
      <c r="A49" s="24">
        <v>55</v>
      </c>
      <c r="B49" s="15" t="s">
        <v>372</v>
      </c>
      <c r="C49" s="23">
        <v>782021.79139999999</v>
      </c>
      <c r="D49" s="23">
        <v>2404838.0159999998</v>
      </c>
      <c r="E49" s="15">
        <v>704</v>
      </c>
      <c r="F49" s="15" t="s">
        <v>365</v>
      </c>
      <c r="G49" s="27">
        <v>0</v>
      </c>
      <c r="H49" s="27">
        <v>4262.7153830999996</v>
      </c>
      <c r="K49" s="15" t="s">
        <v>45</v>
      </c>
      <c r="L49" s="15" t="s">
        <v>377</v>
      </c>
    </row>
    <row r="50" spans="1:12">
      <c r="A50" s="24">
        <v>56</v>
      </c>
      <c r="B50" s="15" t="s">
        <v>374</v>
      </c>
      <c r="C50" s="23">
        <v>795132.26390000002</v>
      </c>
      <c r="D50" s="23">
        <v>2436818.1940000001</v>
      </c>
      <c r="E50" s="15">
        <v>237</v>
      </c>
      <c r="F50" s="15" t="s">
        <v>110</v>
      </c>
      <c r="G50" s="27">
        <v>2185</v>
      </c>
      <c r="H50" s="27">
        <v>3457.7887544499999</v>
      </c>
      <c r="I50" s="15" t="s">
        <v>55</v>
      </c>
      <c r="K50" s="15" t="s">
        <v>44</v>
      </c>
      <c r="L50" s="15" t="s">
        <v>377</v>
      </c>
    </row>
    <row r="51" spans="1:12">
      <c r="A51" s="24">
        <v>57</v>
      </c>
      <c r="B51" s="15" t="s">
        <v>65</v>
      </c>
      <c r="C51" s="23">
        <v>781155.80119999999</v>
      </c>
      <c r="D51" s="23">
        <v>2430463.6209999998</v>
      </c>
      <c r="E51" s="15">
        <v>277</v>
      </c>
      <c r="F51" s="15" t="s">
        <v>111</v>
      </c>
      <c r="G51" s="27">
        <v>0</v>
      </c>
      <c r="H51" s="27">
        <v>3701.4402302399999</v>
      </c>
      <c r="I51" s="15" t="s">
        <v>55</v>
      </c>
      <c r="K51" s="15" t="s">
        <v>35</v>
      </c>
      <c r="L51" s="15" t="s">
        <v>377</v>
      </c>
    </row>
    <row r="52" spans="1:12">
      <c r="A52" s="24">
        <v>58</v>
      </c>
      <c r="B52" s="15" t="s">
        <v>53</v>
      </c>
      <c r="C52" s="23">
        <v>777712.16299999994</v>
      </c>
      <c r="D52" s="23">
        <v>2427128.13</v>
      </c>
      <c r="E52" s="15">
        <v>38</v>
      </c>
      <c r="F52" s="15" t="s">
        <v>112</v>
      </c>
      <c r="G52" s="27">
        <v>2373.1637999999998</v>
      </c>
      <c r="H52" s="27">
        <v>3787.4316658299999</v>
      </c>
      <c r="I52" s="15" t="s">
        <v>55</v>
      </c>
      <c r="K52" s="15" t="s">
        <v>26</v>
      </c>
      <c r="L52" s="15" t="s">
        <v>377</v>
      </c>
    </row>
    <row r="53" spans="1:12">
      <c r="A53" s="24">
        <v>60</v>
      </c>
      <c r="B53" s="15" t="s">
        <v>373</v>
      </c>
      <c r="C53" s="23">
        <v>761929.62650000001</v>
      </c>
      <c r="D53" s="23">
        <v>2410905.7910000002</v>
      </c>
      <c r="E53" s="15">
        <v>711</v>
      </c>
      <c r="F53" s="15" t="s">
        <v>113</v>
      </c>
      <c r="G53" s="27">
        <v>0</v>
      </c>
      <c r="H53" s="27">
        <v>4788.2223771700001</v>
      </c>
      <c r="K53" s="15" t="s">
        <v>23</v>
      </c>
      <c r="L53" s="15" t="s">
        <v>377</v>
      </c>
    </row>
    <row r="54" spans="1:12">
      <c r="A54" s="24">
        <v>61</v>
      </c>
      <c r="B54" s="15" t="s">
        <v>97</v>
      </c>
      <c r="C54" s="23">
        <v>785066.1912</v>
      </c>
      <c r="D54" s="23">
        <v>2422014.3059999999</v>
      </c>
      <c r="E54" s="15">
        <v>689</v>
      </c>
      <c r="F54" s="15" t="s">
        <v>114</v>
      </c>
      <c r="G54" s="27">
        <v>0</v>
      </c>
      <c r="H54" s="27">
        <v>1699.1396093599999</v>
      </c>
      <c r="K54" s="15" t="s">
        <v>32</v>
      </c>
      <c r="L54" s="15" t="s">
        <v>377</v>
      </c>
    </row>
    <row r="55" spans="1:12">
      <c r="A55" s="24">
        <v>63</v>
      </c>
      <c r="B55" s="15" t="s">
        <v>374</v>
      </c>
      <c r="C55" s="23">
        <v>797795.4754</v>
      </c>
      <c r="D55" s="23">
        <v>2440685.0950000002</v>
      </c>
      <c r="E55" s="15">
        <v>263</v>
      </c>
      <c r="F55" s="15" t="s">
        <v>115</v>
      </c>
      <c r="G55" s="27">
        <v>6333.16</v>
      </c>
      <c r="H55" s="27">
        <v>7821.9332420199999</v>
      </c>
      <c r="I55" s="15" t="s">
        <v>55</v>
      </c>
      <c r="K55" s="15" t="s">
        <v>44</v>
      </c>
      <c r="L55" s="15" t="s">
        <v>377</v>
      </c>
    </row>
    <row r="56" spans="1:12">
      <c r="A56" s="24">
        <v>66</v>
      </c>
      <c r="B56" s="15" t="s">
        <v>116</v>
      </c>
      <c r="C56" s="23">
        <v>781802.77980000002</v>
      </c>
      <c r="D56" s="23">
        <v>2415904.801</v>
      </c>
      <c r="E56" s="15">
        <v>662</v>
      </c>
      <c r="F56" s="15" t="s">
        <v>117</v>
      </c>
      <c r="G56" s="27">
        <v>0</v>
      </c>
      <c r="H56" s="27">
        <v>8894.5461894199998</v>
      </c>
      <c r="K56" s="15" t="s">
        <v>28</v>
      </c>
      <c r="L56" s="15" t="s">
        <v>377</v>
      </c>
    </row>
    <row r="57" spans="1:12">
      <c r="A57" s="24">
        <v>67</v>
      </c>
      <c r="B57" s="15" t="s">
        <v>80</v>
      </c>
      <c r="C57" s="23">
        <v>784105.23979999998</v>
      </c>
      <c r="D57" s="23">
        <v>2419714.946</v>
      </c>
      <c r="E57" s="15">
        <v>668</v>
      </c>
      <c r="F57" s="15" t="s">
        <v>118</v>
      </c>
      <c r="G57" s="27">
        <v>0</v>
      </c>
      <c r="H57" s="27">
        <v>271.26411825899999</v>
      </c>
      <c r="K57" s="15" t="s">
        <v>33</v>
      </c>
      <c r="L57" s="15" t="s">
        <v>377</v>
      </c>
    </row>
    <row r="58" spans="1:12">
      <c r="A58" s="24">
        <v>68</v>
      </c>
      <c r="B58" s="15" t="s">
        <v>116</v>
      </c>
      <c r="C58" s="23">
        <v>784947.59290000005</v>
      </c>
      <c r="D58" s="23">
        <v>2418622.2749999999</v>
      </c>
      <c r="E58" s="15">
        <v>498</v>
      </c>
      <c r="F58" s="15" t="s">
        <v>119</v>
      </c>
      <c r="G58" s="27">
        <v>1335.4</v>
      </c>
      <c r="H58" s="27">
        <v>3859.8329334499999</v>
      </c>
      <c r="I58" s="15" t="s">
        <v>55</v>
      </c>
      <c r="K58" s="15" t="s">
        <v>28</v>
      </c>
      <c r="L58" s="15" t="s">
        <v>377</v>
      </c>
    </row>
    <row r="59" spans="1:12">
      <c r="A59" s="24">
        <v>69</v>
      </c>
      <c r="B59" s="15" t="s">
        <v>80</v>
      </c>
      <c r="C59" s="23">
        <v>784431.99780000001</v>
      </c>
      <c r="D59" s="23">
        <v>2421256.8840000001</v>
      </c>
      <c r="E59" s="15">
        <v>239</v>
      </c>
      <c r="F59" s="15" t="s">
        <v>120</v>
      </c>
      <c r="G59" s="27">
        <v>2185</v>
      </c>
      <c r="H59" s="27">
        <v>9645.6109214600001</v>
      </c>
      <c r="I59" s="15" t="s">
        <v>55</v>
      </c>
      <c r="K59" s="15" t="s">
        <v>33</v>
      </c>
      <c r="L59" s="15" t="s">
        <v>377</v>
      </c>
    </row>
    <row r="60" spans="1:12">
      <c r="A60" s="24">
        <v>70</v>
      </c>
      <c r="B60" s="15" t="s">
        <v>97</v>
      </c>
      <c r="C60" s="23">
        <v>784574.01410000003</v>
      </c>
      <c r="D60" s="23">
        <v>2425951.9559999998</v>
      </c>
      <c r="E60" s="15">
        <v>268</v>
      </c>
      <c r="F60" s="15" t="s">
        <v>121</v>
      </c>
      <c r="G60" s="27">
        <v>550</v>
      </c>
      <c r="H60" s="27">
        <v>1574.3594403100001</v>
      </c>
      <c r="I60" s="15" t="s">
        <v>55</v>
      </c>
      <c r="K60" s="15" t="s">
        <v>34</v>
      </c>
      <c r="L60" s="15" t="s">
        <v>377</v>
      </c>
    </row>
    <row r="61" spans="1:12">
      <c r="A61" s="24">
        <v>71</v>
      </c>
      <c r="B61" s="15" t="s">
        <v>97</v>
      </c>
      <c r="C61" s="23">
        <v>784303.69019999995</v>
      </c>
      <c r="D61" s="23">
        <v>2425627.88</v>
      </c>
      <c r="E61" s="15">
        <v>650</v>
      </c>
      <c r="F61" s="15" t="s">
        <v>122</v>
      </c>
      <c r="G61" s="27">
        <v>0</v>
      </c>
      <c r="H61" s="27">
        <v>33046.971235099998</v>
      </c>
      <c r="K61" s="15" t="s">
        <v>34</v>
      </c>
      <c r="L61" s="15" t="s">
        <v>377</v>
      </c>
    </row>
    <row r="62" spans="1:12">
      <c r="A62" s="24">
        <v>72</v>
      </c>
      <c r="B62" s="15" t="s">
        <v>123</v>
      </c>
      <c r="C62" s="23">
        <v>774323.03780000005</v>
      </c>
      <c r="D62" s="23">
        <v>2424285.9819999998</v>
      </c>
      <c r="E62" s="15">
        <v>656</v>
      </c>
      <c r="F62" s="15" t="s">
        <v>124</v>
      </c>
      <c r="G62" s="27">
        <v>0</v>
      </c>
      <c r="H62" s="27">
        <v>2590.8950031200002</v>
      </c>
      <c r="K62" s="15" t="s">
        <v>29</v>
      </c>
      <c r="L62" s="15" t="s">
        <v>377</v>
      </c>
    </row>
    <row r="63" spans="1:12">
      <c r="A63" s="24">
        <v>73</v>
      </c>
      <c r="B63" s="15" t="s">
        <v>67</v>
      </c>
      <c r="C63" s="23">
        <v>781941.30740000005</v>
      </c>
      <c r="D63" s="23">
        <v>2421153.736</v>
      </c>
      <c r="E63" s="15">
        <v>484</v>
      </c>
      <c r="F63" s="15" t="s">
        <v>125</v>
      </c>
      <c r="G63" s="27">
        <v>1179.46</v>
      </c>
      <c r="H63" s="27">
        <v>2104.7645777600001</v>
      </c>
      <c r="I63" s="15" t="s">
        <v>55</v>
      </c>
      <c r="K63" s="15" t="s">
        <v>27</v>
      </c>
      <c r="L63" s="15" t="s">
        <v>377</v>
      </c>
    </row>
    <row r="64" spans="1:12">
      <c r="A64" s="24">
        <v>74</v>
      </c>
      <c r="B64" s="15" t="s">
        <v>75</v>
      </c>
      <c r="C64" s="23">
        <v>780269.02339999995</v>
      </c>
      <c r="D64" s="23">
        <v>2420747.003</v>
      </c>
      <c r="E64" s="15">
        <v>485</v>
      </c>
      <c r="F64" s="15" t="s">
        <v>126</v>
      </c>
      <c r="G64" s="27">
        <v>1307.55</v>
      </c>
      <c r="H64" s="27">
        <v>1937.46171125</v>
      </c>
      <c r="I64" s="15" t="s">
        <v>55</v>
      </c>
      <c r="K64" s="15" t="s">
        <v>30</v>
      </c>
      <c r="L64" s="15" t="s">
        <v>377</v>
      </c>
    </row>
    <row r="65" spans="1:12">
      <c r="A65" s="24">
        <v>75</v>
      </c>
      <c r="B65" s="15" t="s">
        <v>67</v>
      </c>
      <c r="C65" s="23">
        <v>781784.73529999994</v>
      </c>
      <c r="D65" s="23">
        <v>2421261.7519999999</v>
      </c>
      <c r="E65" s="15">
        <v>509</v>
      </c>
      <c r="F65" s="15" t="s">
        <v>127</v>
      </c>
      <c r="G65" s="27">
        <v>1437.9</v>
      </c>
      <c r="H65" s="27">
        <v>3069.9706232200001</v>
      </c>
      <c r="I65" s="15" t="s">
        <v>55</v>
      </c>
      <c r="K65" s="15" t="s">
        <v>27</v>
      </c>
      <c r="L65" s="15" t="s">
        <v>377</v>
      </c>
    </row>
    <row r="66" spans="1:12">
      <c r="A66" s="24">
        <v>76</v>
      </c>
      <c r="B66" s="15" t="s">
        <v>75</v>
      </c>
      <c r="C66" s="23">
        <v>778204.38840000005</v>
      </c>
      <c r="D66" s="23">
        <v>2420687.9939999999</v>
      </c>
      <c r="E66" s="15">
        <v>540</v>
      </c>
      <c r="F66" s="15" t="s">
        <v>128</v>
      </c>
      <c r="G66" s="27">
        <v>2934.04</v>
      </c>
      <c r="H66" s="27">
        <v>7128.4586465700004</v>
      </c>
      <c r="I66" s="15" t="s">
        <v>55</v>
      </c>
      <c r="K66" s="15" t="s">
        <v>24</v>
      </c>
      <c r="L66" s="15" t="s">
        <v>377</v>
      </c>
    </row>
    <row r="67" spans="1:12">
      <c r="A67" s="24">
        <v>77</v>
      </c>
      <c r="B67" s="15" t="s">
        <v>56</v>
      </c>
      <c r="C67" s="23">
        <v>779222.28960000002</v>
      </c>
      <c r="D67" s="23">
        <v>2420987.0729999999</v>
      </c>
      <c r="E67" s="15">
        <v>373</v>
      </c>
      <c r="F67" s="15" t="s">
        <v>129</v>
      </c>
      <c r="G67" s="27">
        <v>20.6</v>
      </c>
      <c r="H67" s="27">
        <v>194.31200201300001</v>
      </c>
      <c r="I67" s="15" t="s">
        <v>55</v>
      </c>
      <c r="K67" s="15" t="s">
        <v>24</v>
      </c>
      <c r="L67" s="15" t="s">
        <v>377</v>
      </c>
    </row>
    <row r="68" spans="1:12">
      <c r="A68" s="24">
        <v>78</v>
      </c>
      <c r="B68" s="15" t="s">
        <v>69</v>
      </c>
      <c r="C68" s="23">
        <v>778149.50360000005</v>
      </c>
      <c r="D68" s="23">
        <v>2421290.7680000002</v>
      </c>
      <c r="E68" s="15">
        <v>401</v>
      </c>
      <c r="F68" s="15" t="s">
        <v>130</v>
      </c>
      <c r="G68" s="27">
        <v>1133.21</v>
      </c>
      <c r="H68" s="27">
        <v>5158.6091702699996</v>
      </c>
      <c r="I68" s="15" t="s">
        <v>55</v>
      </c>
      <c r="K68" s="15" t="s">
        <v>24</v>
      </c>
      <c r="L68" s="15" t="s">
        <v>377</v>
      </c>
    </row>
    <row r="69" spans="1:12">
      <c r="A69" s="24">
        <v>79</v>
      </c>
      <c r="B69" s="15" t="s">
        <v>56</v>
      </c>
      <c r="C69" s="23">
        <v>779411.27320000005</v>
      </c>
      <c r="D69" s="23">
        <v>2421522.9939999999</v>
      </c>
      <c r="E69" s="15">
        <v>366</v>
      </c>
      <c r="F69" s="15" t="s">
        <v>131</v>
      </c>
      <c r="G69" s="27">
        <v>863.06</v>
      </c>
      <c r="H69" s="27">
        <v>1804.30850362</v>
      </c>
      <c r="I69" s="15" t="s">
        <v>55</v>
      </c>
      <c r="K69" s="15" t="s">
        <v>24</v>
      </c>
      <c r="L69" s="15" t="s">
        <v>377</v>
      </c>
    </row>
    <row r="70" spans="1:12">
      <c r="A70" s="24">
        <v>80</v>
      </c>
      <c r="B70" s="15" t="s">
        <v>75</v>
      </c>
      <c r="C70" s="23">
        <v>777662.65969999996</v>
      </c>
      <c r="D70" s="23">
        <v>2420958.398</v>
      </c>
      <c r="E70" s="15">
        <v>372</v>
      </c>
      <c r="F70" s="15" t="s">
        <v>132</v>
      </c>
      <c r="G70" s="27">
        <v>352.73</v>
      </c>
      <c r="H70" s="27">
        <v>547.50198666899996</v>
      </c>
      <c r="I70" s="15" t="s">
        <v>55</v>
      </c>
      <c r="K70" s="15" t="s">
        <v>24</v>
      </c>
      <c r="L70" s="15" t="s">
        <v>377</v>
      </c>
    </row>
    <row r="71" spans="1:12">
      <c r="A71" s="24">
        <v>81</v>
      </c>
      <c r="B71" s="15" t="s">
        <v>75</v>
      </c>
      <c r="C71" s="23">
        <v>777877.78700000001</v>
      </c>
      <c r="D71" s="23">
        <v>2419806.7599999998</v>
      </c>
      <c r="E71" s="15">
        <v>398</v>
      </c>
      <c r="F71" s="15" t="s">
        <v>133</v>
      </c>
      <c r="G71" s="27">
        <v>1503</v>
      </c>
      <c r="H71" s="27">
        <v>3847.0849701900001</v>
      </c>
      <c r="I71" s="15" t="s">
        <v>55</v>
      </c>
      <c r="K71" s="15" t="s">
        <v>24</v>
      </c>
      <c r="L71" s="15" t="s">
        <v>377</v>
      </c>
    </row>
    <row r="72" spans="1:12">
      <c r="A72" s="24">
        <v>82</v>
      </c>
      <c r="B72" s="15" t="s">
        <v>75</v>
      </c>
      <c r="C72" s="23">
        <v>778798.62029999995</v>
      </c>
      <c r="D72" s="23">
        <v>2419845.4840000002</v>
      </c>
      <c r="E72" s="15">
        <v>379</v>
      </c>
      <c r="F72" s="15" t="s">
        <v>134</v>
      </c>
      <c r="G72" s="27">
        <v>19316.759999999998</v>
      </c>
      <c r="H72" s="27">
        <v>19255.040923100001</v>
      </c>
      <c r="I72" s="15" t="s">
        <v>55</v>
      </c>
      <c r="K72" s="15" t="s">
        <v>24</v>
      </c>
      <c r="L72" s="15" t="s">
        <v>377</v>
      </c>
    </row>
    <row r="73" spans="1:12">
      <c r="A73" s="24">
        <v>85</v>
      </c>
      <c r="B73" s="15" t="s">
        <v>135</v>
      </c>
      <c r="C73" s="23">
        <v>783018.55570000003</v>
      </c>
      <c r="D73" s="23">
        <v>2428384.4160000002</v>
      </c>
      <c r="E73" s="15">
        <v>280</v>
      </c>
      <c r="F73" s="15" t="s">
        <v>136</v>
      </c>
      <c r="G73" s="27">
        <v>3096.9349999999999</v>
      </c>
      <c r="H73" s="27">
        <v>4943.4354749100003</v>
      </c>
      <c r="I73" s="15" t="s">
        <v>55</v>
      </c>
      <c r="K73" s="15" t="s">
        <v>34</v>
      </c>
      <c r="L73" s="15" t="s">
        <v>377</v>
      </c>
    </row>
    <row r="74" spans="1:12">
      <c r="A74" s="24">
        <v>86</v>
      </c>
      <c r="B74" s="15" t="s">
        <v>135</v>
      </c>
      <c r="C74" s="23">
        <v>784020.68460000004</v>
      </c>
      <c r="D74" s="23">
        <v>2427534.5550000002</v>
      </c>
      <c r="E74" s="15">
        <v>685</v>
      </c>
      <c r="F74" s="15" t="s">
        <v>137</v>
      </c>
      <c r="G74" s="27">
        <v>0</v>
      </c>
      <c r="H74" s="27">
        <v>4732.4095247799996</v>
      </c>
      <c r="K74" s="15" t="s">
        <v>34</v>
      </c>
      <c r="L74" s="15" t="s">
        <v>377</v>
      </c>
    </row>
    <row r="75" spans="1:12">
      <c r="A75" s="24">
        <v>87</v>
      </c>
      <c r="B75" s="15" t="s">
        <v>105</v>
      </c>
      <c r="C75" s="23">
        <v>783026.30130000005</v>
      </c>
      <c r="D75" s="23">
        <v>2426144.9130000002</v>
      </c>
      <c r="E75" s="15">
        <v>235</v>
      </c>
      <c r="F75" s="15" t="s">
        <v>138</v>
      </c>
      <c r="G75" s="27">
        <v>0</v>
      </c>
      <c r="H75" s="27">
        <v>6738.0832066299999</v>
      </c>
      <c r="I75" s="15" t="s">
        <v>55</v>
      </c>
      <c r="K75" s="15" t="s">
        <v>35</v>
      </c>
      <c r="L75" s="15" t="s">
        <v>377</v>
      </c>
    </row>
    <row r="76" spans="1:12">
      <c r="A76" s="24">
        <v>88</v>
      </c>
      <c r="B76" s="15" t="s">
        <v>135</v>
      </c>
      <c r="C76" s="23">
        <v>782531.34620000003</v>
      </c>
      <c r="D76" s="23">
        <v>2427958.571</v>
      </c>
      <c r="E76" s="15">
        <v>269</v>
      </c>
      <c r="F76" s="15" t="s">
        <v>366</v>
      </c>
      <c r="G76" s="27">
        <v>1869.5</v>
      </c>
      <c r="H76" s="27">
        <v>4499.7866412599997</v>
      </c>
      <c r="I76" s="15" t="s">
        <v>55</v>
      </c>
      <c r="K76" s="15" t="s">
        <v>35</v>
      </c>
      <c r="L76" s="15" t="s">
        <v>377</v>
      </c>
    </row>
    <row r="77" spans="1:12">
      <c r="A77" s="24">
        <v>89</v>
      </c>
      <c r="B77" s="15" t="s">
        <v>135</v>
      </c>
      <c r="C77" s="23">
        <v>783499.0429</v>
      </c>
      <c r="D77" s="23">
        <v>2427544.3730000001</v>
      </c>
      <c r="E77" s="15">
        <v>684</v>
      </c>
      <c r="F77" s="15" t="s">
        <v>139</v>
      </c>
      <c r="G77" s="27">
        <v>0</v>
      </c>
      <c r="H77" s="27">
        <v>6585.1876534200001</v>
      </c>
      <c r="K77" s="15" t="s">
        <v>34</v>
      </c>
      <c r="L77" s="15" t="s">
        <v>377</v>
      </c>
    </row>
    <row r="78" spans="1:12">
      <c r="A78" s="24">
        <v>90</v>
      </c>
      <c r="B78" s="15" t="s">
        <v>67</v>
      </c>
      <c r="C78" s="23">
        <v>782622.43830000004</v>
      </c>
      <c r="D78" s="23">
        <v>2419007.662</v>
      </c>
      <c r="E78" s="15">
        <v>497</v>
      </c>
      <c r="F78" s="15" t="s">
        <v>140</v>
      </c>
      <c r="G78" s="27">
        <v>3954.95</v>
      </c>
      <c r="H78" s="27">
        <v>5552.44640764</v>
      </c>
      <c r="I78" s="15" t="s">
        <v>55</v>
      </c>
      <c r="K78" s="15" t="s">
        <v>27</v>
      </c>
      <c r="L78" s="15" t="s">
        <v>377</v>
      </c>
    </row>
    <row r="79" spans="1:12">
      <c r="A79" s="24">
        <v>91</v>
      </c>
      <c r="B79" s="15" t="s">
        <v>67</v>
      </c>
      <c r="C79" s="23">
        <v>783225.10679999995</v>
      </c>
      <c r="D79" s="23">
        <v>2419310.173</v>
      </c>
      <c r="E79" s="15">
        <v>487</v>
      </c>
      <c r="F79" s="15" t="s">
        <v>141</v>
      </c>
      <c r="G79" s="27">
        <v>3400.95</v>
      </c>
      <c r="H79" s="27">
        <v>13178.682415499999</v>
      </c>
      <c r="I79" s="15" t="s">
        <v>55</v>
      </c>
      <c r="K79" s="15" t="s">
        <v>27</v>
      </c>
      <c r="L79" s="15" t="s">
        <v>377</v>
      </c>
    </row>
    <row r="80" spans="1:12">
      <c r="A80" s="24">
        <v>92</v>
      </c>
      <c r="B80" s="15" t="s">
        <v>56</v>
      </c>
      <c r="C80" s="23">
        <v>781769.74750000006</v>
      </c>
      <c r="D80" s="23">
        <v>2420295.9649999999</v>
      </c>
      <c r="E80" s="15">
        <v>511</v>
      </c>
      <c r="F80" s="15" t="s">
        <v>142</v>
      </c>
      <c r="G80" s="27">
        <v>3164.41</v>
      </c>
      <c r="H80" s="27">
        <v>8399.7338403699996</v>
      </c>
      <c r="I80" s="15" t="s">
        <v>55</v>
      </c>
      <c r="K80" s="15" t="s">
        <v>27</v>
      </c>
      <c r="L80" s="15" t="s">
        <v>377</v>
      </c>
    </row>
    <row r="81" spans="1:12">
      <c r="A81" s="24">
        <v>93</v>
      </c>
      <c r="B81" s="15" t="s">
        <v>65</v>
      </c>
      <c r="C81" s="23">
        <v>781868.57739999995</v>
      </c>
      <c r="D81" s="23">
        <v>2426988.767</v>
      </c>
      <c r="E81" s="15">
        <v>271</v>
      </c>
      <c r="F81" s="15" t="s">
        <v>143</v>
      </c>
      <c r="G81" s="27">
        <v>578.11</v>
      </c>
      <c r="H81" s="27">
        <v>1132.2806620199999</v>
      </c>
      <c r="I81" s="15" t="s">
        <v>55</v>
      </c>
      <c r="K81" s="15" t="s">
        <v>35</v>
      </c>
      <c r="L81" s="15" t="s">
        <v>377</v>
      </c>
    </row>
    <row r="82" spans="1:12">
      <c r="A82" s="24">
        <v>94</v>
      </c>
      <c r="B82" s="15" t="s">
        <v>67</v>
      </c>
      <c r="C82" s="23">
        <v>782449.66859999998</v>
      </c>
      <c r="D82" s="23">
        <v>2420436.67</v>
      </c>
      <c r="E82" s="15">
        <v>512</v>
      </c>
      <c r="F82" s="15" t="s">
        <v>144</v>
      </c>
      <c r="G82" s="27">
        <v>0</v>
      </c>
      <c r="H82" s="27">
        <v>5494.65595037</v>
      </c>
      <c r="I82" s="15" t="s">
        <v>55</v>
      </c>
      <c r="K82" s="15" t="s">
        <v>27</v>
      </c>
      <c r="L82" s="15" t="s">
        <v>377</v>
      </c>
    </row>
    <row r="83" spans="1:12">
      <c r="A83" s="24">
        <v>95</v>
      </c>
      <c r="B83" s="15" t="s">
        <v>80</v>
      </c>
      <c r="C83" s="23">
        <v>784231.18960000004</v>
      </c>
      <c r="D83" s="23">
        <v>2422754.3730000001</v>
      </c>
      <c r="E83" s="15">
        <v>282</v>
      </c>
      <c r="F83" s="15" t="s">
        <v>145</v>
      </c>
      <c r="G83" s="27">
        <v>0</v>
      </c>
      <c r="H83" s="27">
        <v>6004.1442081699997</v>
      </c>
      <c r="I83" s="15" t="s">
        <v>55</v>
      </c>
      <c r="K83" s="15" t="s">
        <v>33</v>
      </c>
      <c r="L83" s="15" t="s">
        <v>377</v>
      </c>
    </row>
    <row r="84" spans="1:12">
      <c r="A84" s="24">
        <v>96</v>
      </c>
      <c r="B84" s="15" t="s">
        <v>105</v>
      </c>
      <c r="C84" s="23">
        <v>783562.04559999995</v>
      </c>
      <c r="D84" s="23">
        <v>2425987.0660000001</v>
      </c>
      <c r="E84" s="15">
        <v>682</v>
      </c>
      <c r="F84" s="15" t="s">
        <v>146</v>
      </c>
      <c r="G84" s="27">
        <v>0</v>
      </c>
      <c r="H84" s="27">
        <v>3888.0341883699998</v>
      </c>
      <c r="K84" s="15" t="s">
        <v>35</v>
      </c>
      <c r="L84" s="15" t="s">
        <v>377</v>
      </c>
    </row>
    <row r="85" spans="1:12">
      <c r="A85" s="24">
        <v>97</v>
      </c>
      <c r="B85" s="15" t="s">
        <v>67</v>
      </c>
      <c r="C85" s="23">
        <v>782615.9571</v>
      </c>
      <c r="D85" s="23">
        <v>2419114.5890000002</v>
      </c>
      <c r="E85" s="15">
        <v>495</v>
      </c>
      <c r="F85" s="15" t="s">
        <v>147</v>
      </c>
      <c r="G85" s="27">
        <v>488.56</v>
      </c>
      <c r="H85" s="27">
        <v>886.06522374300005</v>
      </c>
      <c r="I85" s="15" t="s">
        <v>55</v>
      </c>
      <c r="K85" s="15" t="s">
        <v>27</v>
      </c>
      <c r="L85" s="15" t="s">
        <v>377</v>
      </c>
    </row>
    <row r="86" spans="1:12">
      <c r="A86" s="24">
        <v>98</v>
      </c>
      <c r="B86" s="15" t="s">
        <v>80</v>
      </c>
      <c r="C86" s="23">
        <v>784373.03760000004</v>
      </c>
      <c r="D86" s="23">
        <v>2422810.3480000002</v>
      </c>
      <c r="E86" s="15">
        <v>243</v>
      </c>
      <c r="F86" s="15" t="s">
        <v>148</v>
      </c>
      <c r="G86" s="27">
        <v>4153</v>
      </c>
      <c r="H86" s="27">
        <v>6743.1800686200004</v>
      </c>
      <c r="I86" s="15" t="s">
        <v>55</v>
      </c>
      <c r="K86" s="15" t="s">
        <v>33</v>
      </c>
      <c r="L86" s="15" t="s">
        <v>377</v>
      </c>
    </row>
    <row r="87" spans="1:12">
      <c r="A87" s="24">
        <v>99</v>
      </c>
      <c r="B87" s="15" t="s">
        <v>135</v>
      </c>
      <c r="C87" s="23">
        <v>782824.70920000004</v>
      </c>
      <c r="D87" s="23">
        <v>2427354.71</v>
      </c>
      <c r="E87" s="15">
        <v>270</v>
      </c>
      <c r="F87" s="15" t="s">
        <v>149</v>
      </c>
      <c r="G87" s="27">
        <v>3570.68</v>
      </c>
      <c r="H87" s="27">
        <v>4566.3159846400004</v>
      </c>
      <c r="I87" s="15" t="s">
        <v>55</v>
      </c>
      <c r="K87" s="15" t="s">
        <v>35</v>
      </c>
      <c r="L87" s="15" t="s">
        <v>377</v>
      </c>
    </row>
    <row r="88" spans="1:12">
      <c r="A88" s="24">
        <v>100</v>
      </c>
      <c r="B88" s="15" t="s">
        <v>80</v>
      </c>
      <c r="C88" s="23">
        <v>784737.40079999994</v>
      </c>
      <c r="D88" s="23">
        <v>2422269.8969999999</v>
      </c>
      <c r="E88" s="15">
        <v>255</v>
      </c>
      <c r="F88" s="15" t="s">
        <v>150</v>
      </c>
      <c r="G88" s="27">
        <v>1720</v>
      </c>
      <c r="H88" s="27">
        <v>8082.0533248499996</v>
      </c>
      <c r="I88" s="15" t="s">
        <v>55</v>
      </c>
      <c r="K88" s="15" t="s">
        <v>33</v>
      </c>
      <c r="L88" s="15" t="s">
        <v>377</v>
      </c>
    </row>
    <row r="89" spans="1:12">
      <c r="A89" s="24">
        <v>101</v>
      </c>
      <c r="B89" s="15" t="s">
        <v>105</v>
      </c>
      <c r="C89" s="23">
        <v>782277.84400000004</v>
      </c>
      <c r="D89" s="23">
        <v>2424718.2400000002</v>
      </c>
      <c r="E89" s="15">
        <v>233</v>
      </c>
      <c r="F89" s="15" t="s">
        <v>151</v>
      </c>
      <c r="G89" s="27">
        <v>721.5</v>
      </c>
      <c r="H89" s="27">
        <v>4115.8168200399996</v>
      </c>
      <c r="I89" s="15" t="s">
        <v>55</v>
      </c>
      <c r="K89" s="15" t="s">
        <v>31</v>
      </c>
      <c r="L89" s="15" t="s">
        <v>377</v>
      </c>
    </row>
    <row r="90" spans="1:12">
      <c r="A90" s="24">
        <v>102</v>
      </c>
      <c r="B90" s="15" t="s">
        <v>105</v>
      </c>
      <c r="C90" s="23">
        <v>783835.90819999995</v>
      </c>
      <c r="D90" s="23">
        <v>2425252.1940000001</v>
      </c>
      <c r="E90" s="15">
        <v>681</v>
      </c>
      <c r="F90" s="15" t="s">
        <v>152</v>
      </c>
      <c r="G90" s="27">
        <v>0</v>
      </c>
      <c r="H90" s="27">
        <v>705.15593265099994</v>
      </c>
      <c r="K90" s="15" t="s">
        <v>31</v>
      </c>
      <c r="L90" s="15" t="s">
        <v>377</v>
      </c>
    </row>
    <row r="91" spans="1:12">
      <c r="A91" s="24">
        <v>103</v>
      </c>
      <c r="B91" s="15" t="s">
        <v>67</v>
      </c>
      <c r="C91" s="23">
        <v>782596.60290000006</v>
      </c>
      <c r="D91" s="23">
        <v>2419450.8130000001</v>
      </c>
      <c r="E91" s="15">
        <v>669</v>
      </c>
      <c r="F91" s="15" t="s">
        <v>153</v>
      </c>
      <c r="G91" s="27">
        <v>0</v>
      </c>
      <c r="H91" s="27">
        <v>11278.266813800001</v>
      </c>
      <c r="K91" s="15" t="s">
        <v>27</v>
      </c>
      <c r="L91" s="15" t="s">
        <v>377</v>
      </c>
    </row>
    <row r="92" spans="1:12">
      <c r="A92" s="24">
        <v>104</v>
      </c>
      <c r="B92" s="15" t="s">
        <v>67</v>
      </c>
      <c r="C92" s="23">
        <v>782624.76890000002</v>
      </c>
      <c r="D92" s="23">
        <v>2419312.4339999999</v>
      </c>
      <c r="E92" s="15">
        <v>503</v>
      </c>
      <c r="F92" s="15" t="s">
        <v>154</v>
      </c>
      <c r="G92" s="27">
        <v>3569.5</v>
      </c>
      <c r="H92" s="27">
        <v>8592.1405412999993</v>
      </c>
      <c r="I92" s="15" t="s">
        <v>55</v>
      </c>
      <c r="K92" s="15" t="s">
        <v>27</v>
      </c>
      <c r="L92" s="15" t="s">
        <v>377</v>
      </c>
    </row>
    <row r="93" spans="1:12">
      <c r="A93" s="24">
        <v>105</v>
      </c>
      <c r="B93" s="15" t="s">
        <v>80</v>
      </c>
      <c r="C93" s="23">
        <v>784452.31</v>
      </c>
      <c r="D93" s="23">
        <v>2423473.6690000002</v>
      </c>
      <c r="E93" s="15">
        <v>244</v>
      </c>
      <c r="F93" s="15" t="s">
        <v>155</v>
      </c>
      <c r="G93" s="27">
        <v>5236.5</v>
      </c>
      <c r="H93" s="27">
        <v>8090.55160815</v>
      </c>
      <c r="I93" s="15" t="s">
        <v>55</v>
      </c>
      <c r="K93" s="15" t="s">
        <v>32</v>
      </c>
      <c r="L93" s="15" t="s">
        <v>377</v>
      </c>
    </row>
    <row r="94" spans="1:12">
      <c r="A94" s="24">
        <v>106</v>
      </c>
      <c r="B94" s="15" t="s">
        <v>80</v>
      </c>
      <c r="C94" s="23">
        <v>782136.30279999995</v>
      </c>
      <c r="D94" s="23">
        <v>2418797.7969999998</v>
      </c>
      <c r="E94" s="15">
        <v>515</v>
      </c>
      <c r="F94" s="15" t="s">
        <v>156</v>
      </c>
      <c r="G94" s="27">
        <v>2298.88</v>
      </c>
      <c r="H94" s="27">
        <v>2875.5136572900001</v>
      </c>
      <c r="I94" s="15" t="s">
        <v>55</v>
      </c>
      <c r="K94" s="15" t="s">
        <v>28</v>
      </c>
      <c r="L94" s="15" t="s">
        <v>377</v>
      </c>
    </row>
    <row r="95" spans="1:12">
      <c r="A95" s="24">
        <v>107</v>
      </c>
      <c r="B95" s="15" t="s">
        <v>69</v>
      </c>
      <c r="C95" s="23">
        <v>778444.11239999998</v>
      </c>
      <c r="D95" s="23">
        <v>2424190.7599999998</v>
      </c>
      <c r="E95" s="15">
        <v>31</v>
      </c>
      <c r="F95" s="15" t="s">
        <v>157</v>
      </c>
      <c r="G95" s="27">
        <v>3113.48</v>
      </c>
      <c r="H95" s="27">
        <v>5890.8844318800002</v>
      </c>
      <c r="I95" s="15" t="s">
        <v>55</v>
      </c>
      <c r="K95" s="15" t="s">
        <v>26</v>
      </c>
      <c r="L95" s="15" t="s">
        <v>377</v>
      </c>
    </row>
    <row r="96" spans="1:12">
      <c r="A96" s="24">
        <v>108</v>
      </c>
      <c r="B96" s="15" t="s">
        <v>80</v>
      </c>
      <c r="C96" s="23">
        <v>784122.59479999996</v>
      </c>
      <c r="D96" s="23">
        <v>2422289.577</v>
      </c>
      <c r="E96" s="15">
        <v>674</v>
      </c>
      <c r="F96" s="15" t="s">
        <v>158</v>
      </c>
      <c r="G96" s="27">
        <v>0</v>
      </c>
      <c r="H96" s="27">
        <v>904.912099453</v>
      </c>
      <c r="K96" s="15" t="s">
        <v>33</v>
      </c>
      <c r="L96" s="15" t="s">
        <v>377</v>
      </c>
    </row>
    <row r="97" spans="1:12">
      <c r="A97" s="24">
        <v>109</v>
      </c>
      <c r="B97" s="15" t="s">
        <v>80</v>
      </c>
      <c r="C97" s="23">
        <v>784006.06149999995</v>
      </c>
      <c r="D97" s="23">
        <v>2422578.21</v>
      </c>
      <c r="E97" s="15">
        <v>677</v>
      </c>
      <c r="F97" s="15" t="s">
        <v>159</v>
      </c>
      <c r="G97" s="27">
        <v>0</v>
      </c>
      <c r="H97" s="27">
        <v>1439.8206704900001</v>
      </c>
      <c r="K97" s="15" t="s">
        <v>33</v>
      </c>
      <c r="L97" s="15" t="s">
        <v>377</v>
      </c>
    </row>
    <row r="98" spans="1:12">
      <c r="A98" s="24">
        <v>111</v>
      </c>
      <c r="B98" s="15" t="s">
        <v>80</v>
      </c>
      <c r="C98" s="23">
        <v>783344.67119999998</v>
      </c>
      <c r="D98" s="23">
        <v>2422494.5839999998</v>
      </c>
      <c r="E98" s="15">
        <v>254</v>
      </c>
      <c r="F98" s="15" t="s">
        <v>160</v>
      </c>
      <c r="G98" s="27">
        <v>11115</v>
      </c>
      <c r="H98" s="27">
        <v>17427.356015400001</v>
      </c>
      <c r="I98" s="15" t="s">
        <v>55</v>
      </c>
      <c r="K98" s="15" t="s">
        <v>33</v>
      </c>
      <c r="L98" s="15" t="s">
        <v>377</v>
      </c>
    </row>
    <row r="99" spans="1:12">
      <c r="A99" s="24">
        <v>112</v>
      </c>
      <c r="B99" s="15" t="s">
        <v>80</v>
      </c>
      <c r="C99" s="23">
        <v>784792.41260000004</v>
      </c>
      <c r="D99" s="23">
        <v>2422590.8339999998</v>
      </c>
      <c r="E99" s="15">
        <v>274</v>
      </c>
      <c r="F99" s="15" t="s">
        <v>161</v>
      </c>
      <c r="G99" s="27">
        <v>3662.181</v>
      </c>
      <c r="H99" s="27">
        <v>5754.8445873399996</v>
      </c>
      <c r="I99" s="15" t="s">
        <v>55</v>
      </c>
      <c r="K99" s="15" t="s">
        <v>32</v>
      </c>
      <c r="L99" s="15" t="s">
        <v>377</v>
      </c>
    </row>
    <row r="100" spans="1:12">
      <c r="A100" s="24">
        <v>113</v>
      </c>
      <c r="B100" s="15" t="s">
        <v>67</v>
      </c>
      <c r="C100" s="23">
        <v>781939.45039999997</v>
      </c>
      <c r="D100" s="23">
        <v>2419310.0210000002</v>
      </c>
      <c r="E100" s="15">
        <v>493</v>
      </c>
      <c r="F100" s="15" t="s">
        <v>162</v>
      </c>
      <c r="G100" s="27">
        <v>1121.48</v>
      </c>
      <c r="H100" s="27">
        <v>5018.36362001</v>
      </c>
      <c r="I100" s="15" t="s">
        <v>55</v>
      </c>
      <c r="K100" s="15" t="s">
        <v>27</v>
      </c>
      <c r="L100" s="15" t="s">
        <v>377</v>
      </c>
    </row>
    <row r="101" spans="1:12">
      <c r="A101" s="24">
        <v>114</v>
      </c>
      <c r="B101" s="15" t="s">
        <v>80</v>
      </c>
      <c r="C101" s="23">
        <v>784215.29669999995</v>
      </c>
      <c r="D101" s="23">
        <v>2422033.0729999999</v>
      </c>
      <c r="E101" s="15">
        <v>276</v>
      </c>
      <c r="F101" s="15" t="s">
        <v>163</v>
      </c>
      <c r="G101" s="27">
        <v>2208.89</v>
      </c>
      <c r="H101" s="27">
        <v>4009.6094743899998</v>
      </c>
      <c r="I101" s="15" t="s">
        <v>55</v>
      </c>
      <c r="K101" s="15" t="s">
        <v>33</v>
      </c>
      <c r="L101" s="15" t="s">
        <v>377</v>
      </c>
    </row>
    <row r="102" spans="1:12">
      <c r="A102" s="24">
        <v>115</v>
      </c>
      <c r="B102" s="15" t="s">
        <v>67</v>
      </c>
      <c r="C102" s="23">
        <v>781981.57160000002</v>
      </c>
      <c r="D102" s="23">
        <v>2418993.1009999998</v>
      </c>
      <c r="E102" s="15">
        <v>501</v>
      </c>
      <c r="F102" s="15" t="s">
        <v>164</v>
      </c>
      <c r="G102" s="27">
        <v>189.5</v>
      </c>
      <c r="H102" s="27">
        <v>1673.4204942399999</v>
      </c>
      <c r="I102" s="15" t="s">
        <v>55</v>
      </c>
      <c r="K102" s="15" t="s">
        <v>27</v>
      </c>
      <c r="L102" s="15" t="s">
        <v>377</v>
      </c>
    </row>
    <row r="103" spans="1:12">
      <c r="A103" s="24">
        <v>116</v>
      </c>
      <c r="B103" s="15" t="s">
        <v>80</v>
      </c>
      <c r="C103" s="23">
        <v>784720.12589999998</v>
      </c>
      <c r="D103" s="23">
        <v>2420988.6379999998</v>
      </c>
      <c r="E103" s="15">
        <v>266</v>
      </c>
      <c r="F103" s="15" t="s">
        <v>165</v>
      </c>
      <c r="G103" s="27">
        <v>822</v>
      </c>
      <c r="H103" s="27">
        <v>2224.1769180199999</v>
      </c>
      <c r="I103" s="15" t="s">
        <v>55</v>
      </c>
      <c r="K103" s="15" t="s">
        <v>33</v>
      </c>
      <c r="L103" s="15" t="s">
        <v>377</v>
      </c>
    </row>
    <row r="104" spans="1:12">
      <c r="A104" s="24">
        <v>117</v>
      </c>
      <c r="B104" s="15" t="s">
        <v>97</v>
      </c>
      <c r="C104" s="23">
        <v>785418.34</v>
      </c>
      <c r="D104" s="23">
        <v>2423120.0329999998</v>
      </c>
      <c r="E104" s="15">
        <v>687</v>
      </c>
      <c r="F104" s="15" t="s">
        <v>166</v>
      </c>
      <c r="G104" s="27">
        <v>0</v>
      </c>
      <c r="H104" s="27">
        <v>3937.1921016400001</v>
      </c>
      <c r="K104" s="15" t="s">
        <v>32</v>
      </c>
      <c r="L104" s="15" t="s">
        <v>377</v>
      </c>
    </row>
    <row r="105" spans="1:12">
      <c r="A105" s="24">
        <v>118</v>
      </c>
      <c r="B105" s="15" t="s">
        <v>53</v>
      </c>
      <c r="C105" s="23">
        <v>778297.42570000002</v>
      </c>
      <c r="D105" s="23">
        <v>2425589.875</v>
      </c>
      <c r="E105" s="15">
        <v>11</v>
      </c>
      <c r="F105" s="15" t="s">
        <v>167</v>
      </c>
      <c r="G105" s="27">
        <v>3050.36</v>
      </c>
      <c r="H105" s="27">
        <v>9580.4335862099997</v>
      </c>
      <c r="I105" s="15" t="s">
        <v>55</v>
      </c>
      <c r="K105" s="15" t="s">
        <v>26</v>
      </c>
      <c r="L105" s="15" t="s">
        <v>377</v>
      </c>
    </row>
    <row r="106" spans="1:12">
      <c r="A106" s="24">
        <v>119</v>
      </c>
      <c r="B106" s="15" t="s">
        <v>80</v>
      </c>
      <c r="C106" s="23">
        <v>783585.34820000001</v>
      </c>
      <c r="D106" s="23">
        <v>2422498.9440000001</v>
      </c>
      <c r="E106" s="15">
        <v>648</v>
      </c>
      <c r="F106" s="15" t="s">
        <v>168</v>
      </c>
      <c r="G106" s="27">
        <v>0</v>
      </c>
      <c r="H106" s="27">
        <v>30565.1450525</v>
      </c>
      <c r="K106" s="15" t="s">
        <v>33</v>
      </c>
      <c r="L106" s="15" t="s">
        <v>377</v>
      </c>
    </row>
    <row r="107" spans="1:12">
      <c r="A107" s="24">
        <v>120</v>
      </c>
      <c r="B107" s="15" t="s">
        <v>105</v>
      </c>
      <c r="C107" s="23">
        <v>783037.15370000002</v>
      </c>
      <c r="D107" s="23">
        <v>2423818.3670000001</v>
      </c>
      <c r="E107" s="15">
        <v>252</v>
      </c>
      <c r="F107" s="15" t="s">
        <v>169</v>
      </c>
      <c r="G107" s="27">
        <v>21856.99</v>
      </c>
      <c r="H107" s="27">
        <v>22086.578952600001</v>
      </c>
      <c r="I107" s="15" t="s">
        <v>55</v>
      </c>
      <c r="K107" s="15" t="s">
        <v>31</v>
      </c>
      <c r="L107" s="15" t="s">
        <v>377</v>
      </c>
    </row>
    <row r="108" spans="1:12">
      <c r="A108" s="24">
        <v>121</v>
      </c>
      <c r="B108" s="15" t="s">
        <v>80</v>
      </c>
      <c r="C108" s="23">
        <v>783872.16729999997</v>
      </c>
      <c r="D108" s="23">
        <v>2422869.7609999999</v>
      </c>
      <c r="E108" s="15">
        <v>247</v>
      </c>
      <c r="F108" s="15" t="s">
        <v>170</v>
      </c>
      <c r="G108" s="27">
        <v>894.19500000000005</v>
      </c>
      <c r="H108" s="27">
        <v>1981.4224212500001</v>
      </c>
      <c r="I108" s="15" t="s">
        <v>55</v>
      </c>
      <c r="K108" s="15" t="s">
        <v>33</v>
      </c>
      <c r="L108" s="15" t="s">
        <v>377</v>
      </c>
    </row>
    <row r="109" spans="1:12">
      <c r="A109" s="24">
        <v>123</v>
      </c>
      <c r="B109" s="15" t="s">
        <v>105</v>
      </c>
      <c r="C109" s="23">
        <v>783833.05590000004</v>
      </c>
      <c r="D109" s="23">
        <v>2424773.1529999999</v>
      </c>
      <c r="E109" s="15">
        <v>259</v>
      </c>
      <c r="F109" s="15" t="s">
        <v>171</v>
      </c>
      <c r="G109" s="27">
        <v>1536</v>
      </c>
      <c r="H109" s="27">
        <v>6194.1655993300001</v>
      </c>
      <c r="I109" s="15" t="s">
        <v>55</v>
      </c>
      <c r="K109" s="15" t="s">
        <v>31</v>
      </c>
      <c r="L109" s="15" t="s">
        <v>377</v>
      </c>
    </row>
    <row r="110" spans="1:12">
      <c r="A110" s="24">
        <v>124</v>
      </c>
      <c r="B110" s="15" t="s">
        <v>105</v>
      </c>
      <c r="C110" s="23">
        <v>784403.92099999997</v>
      </c>
      <c r="D110" s="23">
        <v>2424014.176</v>
      </c>
      <c r="E110" s="15">
        <v>230</v>
      </c>
      <c r="F110" s="15" t="s">
        <v>172</v>
      </c>
      <c r="G110" s="27">
        <v>330</v>
      </c>
      <c r="H110" s="27">
        <v>873.72121881299995</v>
      </c>
      <c r="I110" s="15" t="s">
        <v>55</v>
      </c>
      <c r="K110" s="15" t="s">
        <v>31</v>
      </c>
      <c r="L110" s="15" t="s">
        <v>377</v>
      </c>
    </row>
    <row r="111" spans="1:12">
      <c r="A111" s="24">
        <v>125</v>
      </c>
      <c r="B111" s="15" t="s">
        <v>105</v>
      </c>
      <c r="C111" s="23">
        <v>784023.87749999994</v>
      </c>
      <c r="D111" s="23">
        <v>2424304.9279999998</v>
      </c>
      <c r="E111" s="15">
        <v>283</v>
      </c>
      <c r="F111" s="15" t="s">
        <v>173</v>
      </c>
      <c r="G111" s="27">
        <v>686.58</v>
      </c>
      <c r="H111" s="27">
        <v>1578.79447097</v>
      </c>
      <c r="I111" s="15" t="s">
        <v>55</v>
      </c>
      <c r="K111" s="15" t="s">
        <v>31</v>
      </c>
      <c r="L111" s="15" t="s">
        <v>377</v>
      </c>
    </row>
    <row r="112" spans="1:12">
      <c r="A112" s="24">
        <v>126</v>
      </c>
      <c r="B112" s="15" t="s">
        <v>105</v>
      </c>
      <c r="C112" s="23">
        <v>784339.84739999997</v>
      </c>
      <c r="D112" s="23">
        <v>2424293.6529999999</v>
      </c>
      <c r="E112" s="15">
        <v>245</v>
      </c>
      <c r="F112" s="15" t="s">
        <v>174</v>
      </c>
      <c r="G112" s="27">
        <v>1378.97</v>
      </c>
      <c r="H112" s="27">
        <v>1767.0990675400001</v>
      </c>
      <c r="I112" s="15" t="s">
        <v>55</v>
      </c>
      <c r="K112" s="15" t="s">
        <v>32</v>
      </c>
      <c r="L112" s="15" t="s">
        <v>377</v>
      </c>
    </row>
    <row r="113" spans="1:12">
      <c r="A113" s="24">
        <v>127</v>
      </c>
      <c r="B113" s="15" t="s">
        <v>105</v>
      </c>
      <c r="C113" s="23">
        <v>782233.59050000005</v>
      </c>
      <c r="D113" s="23">
        <v>2423854.7859999998</v>
      </c>
      <c r="E113" s="15">
        <v>252</v>
      </c>
      <c r="F113" s="15" t="s">
        <v>175</v>
      </c>
      <c r="G113" s="27">
        <v>3355</v>
      </c>
      <c r="H113" s="27">
        <v>7980.8989181799998</v>
      </c>
      <c r="I113" s="15" t="s">
        <v>55</v>
      </c>
      <c r="K113" s="15" t="s">
        <v>31</v>
      </c>
      <c r="L113" s="15" t="s">
        <v>377</v>
      </c>
    </row>
    <row r="114" spans="1:12">
      <c r="A114" s="24">
        <v>128</v>
      </c>
      <c r="B114" s="15" t="s">
        <v>69</v>
      </c>
      <c r="C114" s="23">
        <v>776886.75230000005</v>
      </c>
      <c r="D114" s="23">
        <v>2423480.449</v>
      </c>
      <c r="E114" s="15">
        <v>8</v>
      </c>
      <c r="F114" s="15" t="s">
        <v>176</v>
      </c>
      <c r="G114" s="27">
        <v>5557.96</v>
      </c>
      <c r="H114" s="27">
        <v>8962.8430686800002</v>
      </c>
      <c r="I114" s="15" t="s">
        <v>55</v>
      </c>
      <c r="K114" s="15" t="s">
        <v>26</v>
      </c>
      <c r="L114" s="15" t="s">
        <v>377</v>
      </c>
    </row>
    <row r="115" spans="1:12">
      <c r="A115" s="24">
        <v>130</v>
      </c>
      <c r="B115" s="15" t="s">
        <v>69</v>
      </c>
      <c r="C115" s="23">
        <v>779258.93929999997</v>
      </c>
      <c r="D115" s="23">
        <v>2424706.9700000002</v>
      </c>
      <c r="E115" s="15">
        <v>27</v>
      </c>
      <c r="F115" s="15" t="s">
        <v>177</v>
      </c>
      <c r="G115" s="27">
        <v>348.37</v>
      </c>
      <c r="H115" s="27">
        <v>876.76900298800001</v>
      </c>
      <c r="I115" s="15" t="s">
        <v>55</v>
      </c>
      <c r="K115" s="15" t="s">
        <v>26</v>
      </c>
      <c r="L115" s="15" t="s">
        <v>377</v>
      </c>
    </row>
    <row r="116" spans="1:12">
      <c r="A116" s="24">
        <v>131</v>
      </c>
      <c r="B116" s="15" t="s">
        <v>71</v>
      </c>
      <c r="C116" s="23">
        <v>778243.3713</v>
      </c>
      <c r="D116" s="23">
        <v>2419055.182</v>
      </c>
      <c r="E116" s="15">
        <v>385</v>
      </c>
      <c r="F116" s="15" t="s">
        <v>178</v>
      </c>
      <c r="G116" s="27">
        <v>649.64</v>
      </c>
      <c r="H116" s="27">
        <v>3180.3046531800001</v>
      </c>
      <c r="I116" s="15" t="s">
        <v>55</v>
      </c>
      <c r="K116" s="15" t="s">
        <v>24</v>
      </c>
      <c r="L116" s="15" t="s">
        <v>377</v>
      </c>
    </row>
    <row r="117" spans="1:12">
      <c r="A117" s="24">
        <v>132</v>
      </c>
      <c r="B117" s="15" t="s">
        <v>71</v>
      </c>
      <c r="C117" s="23">
        <v>778108.69240000006</v>
      </c>
      <c r="D117" s="23">
        <v>2418534.2179999999</v>
      </c>
      <c r="E117" s="15">
        <v>384</v>
      </c>
      <c r="F117" s="15" t="s">
        <v>179</v>
      </c>
      <c r="G117" s="27">
        <v>32836.199999999997</v>
      </c>
      <c r="H117" s="27">
        <v>38970.913446799997</v>
      </c>
      <c r="I117" s="15" t="s">
        <v>55</v>
      </c>
      <c r="K117" s="15" t="s">
        <v>25</v>
      </c>
      <c r="L117" s="15" t="s">
        <v>377</v>
      </c>
    </row>
    <row r="118" spans="1:12">
      <c r="A118" s="24">
        <v>133</v>
      </c>
      <c r="B118" s="15" t="s">
        <v>69</v>
      </c>
      <c r="C118" s="23">
        <v>776885.02709999995</v>
      </c>
      <c r="D118" s="23">
        <v>2422077.3530000001</v>
      </c>
      <c r="E118" s="15">
        <v>29</v>
      </c>
      <c r="F118" s="15" t="s">
        <v>180</v>
      </c>
      <c r="G118" s="27">
        <v>3625.41</v>
      </c>
      <c r="H118" s="27">
        <v>6697.8937635900002</v>
      </c>
      <c r="I118" s="15" t="s">
        <v>55</v>
      </c>
      <c r="K118" s="15" t="s">
        <v>29</v>
      </c>
      <c r="L118" s="15" t="s">
        <v>377</v>
      </c>
    </row>
    <row r="119" spans="1:12">
      <c r="A119" s="24">
        <v>134</v>
      </c>
      <c r="B119" s="15" t="s">
        <v>71</v>
      </c>
      <c r="C119" s="23">
        <v>777601.33600000001</v>
      </c>
      <c r="D119" s="23">
        <v>2418290.5559999999</v>
      </c>
      <c r="E119" s="15">
        <v>400</v>
      </c>
      <c r="F119" s="15" t="s">
        <v>181</v>
      </c>
      <c r="G119" s="27">
        <v>1756.3</v>
      </c>
      <c r="H119" s="27">
        <v>3562.1120536600001</v>
      </c>
      <c r="I119" s="15" t="s">
        <v>55</v>
      </c>
      <c r="K119" s="15" t="s">
        <v>25</v>
      </c>
      <c r="L119" s="15" t="s">
        <v>377</v>
      </c>
    </row>
    <row r="120" spans="1:12">
      <c r="A120" s="24">
        <v>135</v>
      </c>
      <c r="B120" s="15" t="s">
        <v>53</v>
      </c>
      <c r="C120" s="23">
        <v>777955.89269999997</v>
      </c>
      <c r="D120" s="23">
        <v>2426593.4700000002</v>
      </c>
      <c r="E120" s="15">
        <v>35</v>
      </c>
      <c r="F120" s="15" t="s">
        <v>182</v>
      </c>
      <c r="G120" s="27">
        <v>0</v>
      </c>
      <c r="H120" s="27">
        <v>9321.2775840400009</v>
      </c>
      <c r="I120" s="15" t="s">
        <v>55</v>
      </c>
      <c r="K120" s="15" t="s">
        <v>26</v>
      </c>
      <c r="L120" s="15" t="s">
        <v>377</v>
      </c>
    </row>
    <row r="121" spans="1:12">
      <c r="A121" s="24">
        <v>136</v>
      </c>
      <c r="B121" s="15" t="s">
        <v>80</v>
      </c>
      <c r="C121" s="23">
        <v>784084.00249999994</v>
      </c>
      <c r="D121" s="23">
        <v>2419952.1189999999</v>
      </c>
      <c r="E121" s="15">
        <v>510</v>
      </c>
      <c r="F121" s="15" t="s">
        <v>183</v>
      </c>
      <c r="G121" s="27">
        <v>973</v>
      </c>
      <c r="H121" s="27">
        <v>3122.8982680300001</v>
      </c>
      <c r="I121" s="15" t="s">
        <v>55</v>
      </c>
      <c r="K121" s="15" t="s">
        <v>33</v>
      </c>
      <c r="L121" s="15" t="s">
        <v>377</v>
      </c>
    </row>
    <row r="122" spans="1:12">
      <c r="A122" s="24">
        <v>137</v>
      </c>
      <c r="B122" s="15" t="s">
        <v>67</v>
      </c>
      <c r="C122" s="23">
        <v>783765.21479999996</v>
      </c>
      <c r="D122" s="23">
        <v>2419190.9950000001</v>
      </c>
      <c r="E122" s="15">
        <v>496</v>
      </c>
      <c r="F122" s="15" t="s">
        <v>184</v>
      </c>
      <c r="G122" s="27">
        <v>479.6909</v>
      </c>
      <c r="H122" s="27">
        <v>1528.9077839300001</v>
      </c>
      <c r="I122" s="15" t="s">
        <v>55</v>
      </c>
      <c r="K122" s="15" t="s">
        <v>33</v>
      </c>
      <c r="L122" s="15" t="s">
        <v>377</v>
      </c>
    </row>
    <row r="123" spans="1:12">
      <c r="A123" s="24">
        <v>138</v>
      </c>
      <c r="B123" s="15" t="s">
        <v>69</v>
      </c>
      <c r="C123" s="23">
        <v>776785.81969999999</v>
      </c>
      <c r="D123" s="23">
        <v>2421315.017</v>
      </c>
      <c r="E123" s="15">
        <v>23</v>
      </c>
      <c r="F123" s="15" t="s">
        <v>185</v>
      </c>
      <c r="G123" s="27">
        <v>884.54</v>
      </c>
      <c r="H123" s="27">
        <v>2612.2714977400001</v>
      </c>
      <c r="I123" s="15" t="s">
        <v>55</v>
      </c>
      <c r="K123" s="15" t="s">
        <v>29</v>
      </c>
      <c r="L123" s="15" t="s">
        <v>377</v>
      </c>
    </row>
    <row r="124" spans="1:12">
      <c r="A124" s="24">
        <v>139</v>
      </c>
      <c r="B124" s="15" t="s">
        <v>75</v>
      </c>
      <c r="C124" s="23">
        <v>778919.53590000002</v>
      </c>
      <c r="D124" s="23">
        <v>2419350.2650000001</v>
      </c>
      <c r="E124" s="15">
        <v>375</v>
      </c>
      <c r="F124" s="15" t="s">
        <v>186</v>
      </c>
      <c r="G124" s="27">
        <v>271.63</v>
      </c>
      <c r="H124" s="27">
        <v>2009.42756091</v>
      </c>
      <c r="I124" s="15" t="s">
        <v>55</v>
      </c>
      <c r="K124" s="15" t="s">
        <v>24</v>
      </c>
      <c r="L124" s="15" t="s">
        <v>377</v>
      </c>
    </row>
    <row r="125" spans="1:12">
      <c r="A125" s="24">
        <v>140</v>
      </c>
      <c r="B125" s="15" t="s">
        <v>80</v>
      </c>
      <c r="C125" s="23">
        <v>783840.14919999999</v>
      </c>
      <c r="D125" s="23">
        <v>2417734.966</v>
      </c>
      <c r="E125" s="15">
        <v>666</v>
      </c>
      <c r="F125" s="15" t="s">
        <v>187</v>
      </c>
      <c r="G125" s="27">
        <v>0</v>
      </c>
      <c r="H125" s="27">
        <v>4235.5922218699998</v>
      </c>
      <c r="K125" s="15" t="s">
        <v>28</v>
      </c>
      <c r="L125" s="15" t="s">
        <v>377</v>
      </c>
    </row>
    <row r="126" spans="1:12">
      <c r="A126" s="24">
        <v>141</v>
      </c>
      <c r="B126" s="15" t="s">
        <v>80</v>
      </c>
      <c r="C126" s="23">
        <v>783920.54110000003</v>
      </c>
      <c r="D126" s="23">
        <v>2418125.3629999999</v>
      </c>
      <c r="E126" s="15">
        <v>502</v>
      </c>
      <c r="F126" s="15" t="s">
        <v>188</v>
      </c>
      <c r="G126" s="27">
        <v>2451.66</v>
      </c>
      <c r="H126" s="27">
        <v>4977.0211842899998</v>
      </c>
      <c r="I126" s="15" t="s">
        <v>55</v>
      </c>
      <c r="K126" s="15" t="s">
        <v>28</v>
      </c>
      <c r="L126" s="15" t="s">
        <v>377</v>
      </c>
    </row>
    <row r="127" spans="1:12">
      <c r="A127" s="24">
        <v>142</v>
      </c>
      <c r="B127" s="15" t="s">
        <v>53</v>
      </c>
      <c r="C127" s="23">
        <v>776971.9277</v>
      </c>
      <c r="D127" s="23">
        <v>2424310.8960000002</v>
      </c>
      <c r="E127" s="15">
        <v>20</v>
      </c>
      <c r="F127" s="15" t="s">
        <v>189</v>
      </c>
      <c r="G127" s="27">
        <v>1611.45</v>
      </c>
      <c r="H127" s="27">
        <v>3083.5753141999999</v>
      </c>
      <c r="I127" s="15" t="s">
        <v>55</v>
      </c>
      <c r="K127" s="15" t="s">
        <v>26</v>
      </c>
      <c r="L127" s="15" t="s">
        <v>377</v>
      </c>
    </row>
    <row r="128" spans="1:12">
      <c r="A128" s="24">
        <v>143</v>
      </c>
      <c r="B128" s="15" t="s">
        <v>69</v>
      </c>
      <c r="C128" s="23">
        <v>776649.19169999997</v>
      </c>
      <c r="D128" s="23">
        <v>2421989.4219999998</v>
      </c>
      <c r="E128" s="15">
        <v>713</v>
      </c>
      <c r="F128" s="15" t="s">
        <v>190</v>
      </c>
      <c r="G128" s="27">
        <v>0</v>
      </c>
      <c r="H128" s="27">
        <v>916.97094825900001</v>
      </c>
      <c r="K128" s="15" t="s">
        <v>29</v>
      </c>
      <c r="L128" s="15" t="s">
        <v>377</v>
      </c>
    </row>
    <row r="129" spans="1:12">
      <c r="A129" s="24">
        <v>144</v>
      </c>
      <c r="B129" s="15" t="s">
        <v>53</v>
      </c>
      <c r="C129" s="23">
        <v>778060.39610000001</v>
      </c>
      <c r="D129" s="23">
        <v>2426011.4840000002</v>
      </c>
      <c r="E129" s="15">
        <v>39</v>
      </c>
      <c r="F129" s="15" t="s">
        <v>191</v>
      </c>
      <c r="G129" s="27">
        <v>464</v>
      </c>
      <c r="H129" s="27">
        <v>862.75704385200004</v>
      </c>
      <c r="I129" s="15" t="s">
        <v>55</v>
      </c>
      <c r="K129" s="15" t="s">
        <v>26</v>
      </c>
      <c r="L129" s="15" t="s">
        <v>377</v>
      </c>
    </row>
    <row r="130" spans="1:12">
      <c r="A130" s="24">
        <v>145</v>
      </c>
      <c r="B130" s="15" t="s">
        <v>75</v>
      </c>
      <c r="C130" s="23">
        <v>778479.34649999999</v>
      </c>
      <c r="D130" s="23">
        <v>2419114.0440000002</v>
      </c>
      <c r="E130" s="15">
        <v>376</v>
      </c>
      <c r="F130" s="15" t="s">
        <v>192</v>
      </c>
      <c r="G130" s="27">
        <v>2104.4699999999998</v>
      </c>
      <c r="H130" s="27">
        <v>3459.0421193100001</v>
      </c>
      <c r="I130" s="15" t="s">
        <v>55</v>
      </c>
      <c r="K130" s="15" t="s">
        <v>24</v>
      </c>
      <c r="L130" s="15" t="s">
        <v>377</v>
      </c>
    </row>
    <row r="131" spans="1:12">
      <c r="A131" s="24">
        <v>146</v>
      </c>
      <c r="B131" s="15" t="s">
        <v>65</v>
      </c>
      <c r="C131" s="23">
        <v>780794.63589999999</v>
      </c>
      <c r="D131" s="23">
        <v>2426449.736</v>
      </c>
      <c r="E131" s="15">
        <v>285</v>
      </c>
      <c r="F131" s="15" t="s">
        <v>193</v>
      </c>
      <c r="G131" s="27">
        <v>0</v>
      </c>
      <c r="H131" s="27">
        <v>12329.7326333</v>
      </c>
      <c r="I131" s="15" t="s">
        <v>55</v>
      </c>
      <c r="K131" s="15" t="s">
        <v>35</v>
      </c>
      <c r="L131" s="15" t="s">
        <v>377</v>
      </c>
    </row>
    <row r="132" spans="1:12">
      <c r="A132" s="24">
        <v>147</v>
      </c>
      <c r="B132" s="15" t="s">
        <v>65</v>
      </c>
      <c r="C132" s="23">
        <v>781148.30619999999</v>
      </c>
      <c r="D132" s="23">
        <v>2426919.0589999999</v>
      </c>
      <c r="E132" s="15">
        <v>238</v>
      </c>
      <c r="F132" s="15" t="s">
        <v>194</v>
      </c>
      <c r="G132" s="27">
        <v>1037.8399999999999</v>
      </c>
      <c r="H132" s="27">
        <v>3530.2609187200001</v>
      </c>
      <c r="I132" s="15" t="s">
        <v>55</v>
      </c>
      <c r="K132" s="15" t="s">
        <v>35</v>
      </c>
      <c r="L132" s="15" t="s">
        <v>377</v>
      </c>
    </row>
    <row r="133" spans="1:12">
      <c r="A133" s="24">
        <v>148</v>
      </c>
      <c r="B133" s="15" t="s">
        <v>71</v>
      </c>
      <c r="C133" s="23">
        <v>779263.56599999999</v>
      </c>
      <c r="D133" s="23">
        <v>2419432.6540000001</v>
      </c>
      <c r="E133" s="15">
        <v>393</v>
      </c>
      <c r="F133" s="15" t="s">
        <v>195</v>
      </c>
      <c r="G133" s="27">
        <v>5865.59</v>
      </c>
      <c r="H133" s="27">
        <v>7993.6464177199996</v>
      </c>
      <c r="I133" s="15" t="s">
        <v>55</v>
      </c>
      <c r="K133" s="15" t="s">
        <v>24</v>
      </c>
      <c r="L133" s="15" t="s">
        <v>377</v>
      </c>
    </row>
    <row r="134" spans="1:12">
      <c r="A134" s="24">
        <v>149</v>
      </c>
      <c r="B134" s="15" t="s">
        <v>71</v>
      </c>
      <c r="C134" s="23">
        <v>779038.77439999999</v>
      </c>
      <c r="D134" s="23">
        <v>2419201.821</v>
      </c>
      <c r="E134" s="15">
        <v>368</v>
      </c>
      <c r="F134" s="15" t="s">
        <v>196</v>
      </c>
      <c r="G134" s="27">
        <v>1734.52</v>
      </c>
      <c r="H134" s="27">
        <v>3536.5782778900002</v>
      </c>
      <c r="I134" s="15" t="s">
        <v>55</v>
      </c>
      <c r="K134" s="15" t="s">
        <v>24</v>
      </c>
      <c r="L134" s="15" t="s">
        <v>377</v>
      </c>
    </row>
    <row r="135" spans="1:12">
      <c r="A135" s="24">
        <v>150</v>
      </c>
      <c r="B135" s="15" t="s">
        <v>71</v>
      </c>
      <c r="C135" s="23">
        <v>779510.5135</v>
      </c>
      <c r="D135" s="23">
        <v>2418462.7710000002</v>
      </c>
      <c r="E135" s="15">
        <v>392</v>
      </c>
      <c r="F135" s="15" t="s">
        <v>197</v>
      </c>
      <c r="G135" s="27">
        <v>494.10239999999999</v>
      </c>
      <c r="H135" s="27">
        <v>1064.3203691199999</v>
      </c>
      <c r="I135" s="15" t="s">
        <v>55</v>
      </c>
      <c r="K135" s="15" t="s">
        <v>28</v>
      </c>
      <c r="L135" s="15" t="s">
        <v>377</v>
      </c>
    </row>
    <row r="136" spans="1:12">
      <c r="A136" s="24">
        <v>151</v>
      </c>
      <c r="B136" s="15" t="s">
        <v>71</v>
      </c>
      <c r="C136" s="23">
        <v>779431.67279999994</v>
      </c>
      <c r="D136" s="23">
        <v>2418233.679</v>
      </c>
      <c r="E136" s="15">
        <v>397</v>
      </c>
      <c r="F136" s="15" t="s">
        <v>198</v>
      </c>
      <c r="G136" s="27">
        <v>2715</v>
      </c>
      <c r="H136" s="27">
        <v>4990.25928974</v>
      </c>
      <c r="I136" s="15" t="s">
        <v>55</v>
      </c>
      <c r="K136" s="15" t="s">
        <v>28</v>
      </c>
      <c r="L136" s="15" t="s">
        <v>377</v>
      </c>
    </row>
    <row r="137" spans="1:12">
      <c r="A137" s="24">
        <v>152</v>
      </c>
      <c r="B137" s="15" t="s">
        <v>75</v>
      </c>
      <c r="C137" s="23">
        <v>780376.44810000004</v>
      </c>
      <c r="D137" s="23">
        <v>2418704.9739999999</v>
      </c>
      <c r="E137" s="15">
        <v>283</v>
      </c>
      <c r="F137" s="15" t="s">
        <v>199</v>
      </c>
      <c r="G137" s="27">
        <v>0</v>
      </c>
      <c r="H137" s="27">
        <v>860282.78686500003</v>
      </c>
      <c r="I137" s="15" t="s">
        <v>55</v>
      </c>
      <c r="K137" s="15" t="s">
        <v>28</v>
      </c>
      <c r="L137" s="15" t="s">
        <v>377</v>
      </c>
    </row>
    <row r="138" spans="1:12">
      <c r="A138" s="24">
        <v>153</v>
      </c>
      <c r="B138" s="15" t="s">
        <v>73</v>
      </c>
      <c r="C138" s="23">
        <v>780398.51520000002</v>
      </c>
      <c r="D138" s="23">
        <v>2417193.449</v>
      </c>
      <c r="E138" s="15">
        <v>535</v>
      </c>
      <c r="F138" s="15" t="s">
        <v>200</v>
      </c>
      <c r="G138" s="27">
        <v>30963.47</v>
      </c>
      <c r="H138" s="27">
        <v>57400.701780800002</v>
      </c>
      <c r="I138" s="15" t="s">
        <v>55</v>
      </c>
      <c r="K138" s="15" t="s">
        <v>28</v>
      </c>
      <c r="L138" s="15" t="s">
        <v>377</v>
      </c>
    </row>
    <row r="139" spans="1:12">
      <c r="A139" s="24">
        <v>154</v>
      </c>
      <c r="B139" s="15" t="s">
        <v>116</v>
      </c>
      <c r="C139" s="23">
        <v>785421.72519999999</v>
      </c>
      <c r="D139" s="23">
        <v>2420197.8220000002</v>
      </c>
      <c r="E139" s="15">
        <v>507</v>
      </c>
      <c r="F139" s="15" t="s">
        <v>201</v>
      </c>
      <c r="G139" s="27">
        <v>950.56</v>
      </c>
      <c r="H139" s="27">
        <v>2741.5092101599998</v>
      </c>
      <c r="I139" s="15" t="s">
        <v>55</v>
      </c>
      <c r="K139" s="15" t="s">
        <v>32</v>
      </c>
      <c r="L139" s="15" t="s">
        <v>377</v>
      </c>
    </row>
    <row r="140" spans="1:12">
      <c r="A140" s="24">
        <v>155</v>
      </c>
      <c r="B140" s="15" t="s">
        <v>65</v>
      </c>
      <c r="C140" s="23">
        <v>780814.36829999997</v>
      </c>
      <c r="D140" s="23">
        <v>2428116.2719999999</v>
      </c>
      <c r="E140" s="15">
        <v>265</v>
      </c>
      <c r="F140" s="15" t="s">
        <v>202</v>
      </c>
      <c r="G140" s="27">
        <v>726.02650000000006</v>
      </c>
      <c r="H140" s="27">
        <v>2521.8706205200001</v>
      </c>
      <c r="I140" s="15" t="s">
        <v>55</v>
      </c>
      <c r="K140" s="15" t="s">
        <v>35</v>
      </c>
      <c r="L140" s="15" t="s">
        <v>377</v>
      </c>
    </row>
    <row r="141" spans="1:12">
      <c r="A141" s="24">
        <v>156</v>
      </c>
      <c r="B141" s="15" t="s">
        <v>116</v>
      </c>
      <c r="C141" s="23">
        <v>785113.01340000005</v>
      </c>
      <c r="D141" s="23">
        <v>2420082.605</v>
      </c>
      <c r="E141" s="15">
        <v>671</v>
      </c>
      <c r="F141" s="15" t="s">
        <v>203</v>
      </c>
      <c r="G141" s="27">
        <v>0</v>
      </c>
      <c r="H141" s="27">
        <v>4116.6283549299997</v>
      </c>
      <c r="K141" s="15" t="s">
        <v>32</v>
      </c>
      <c r="L141" s="15" t="s">
        <v>377</v>
      </c>
    </row>
    <row r="142" spans="1:12">
      <c r="A142" s="24">
        <v>157</v>
      </c>
      <c r="B142" s="15" t="s">
        <v>65</v>
      </c>
      <c r="C142" s="23">
        <v>781274.09680000006</v>
      </c>
      <c r="D142" s="23">
        <v>2427442.2859999998</v>
      </c>
      <c r="E142" s="15">
        <v>250</v>
      </c>
      <c r="F142" s="15" t="s">
        <v>204</v>
      </c>
      <c r="G142" s="27">
        <v>2181.2556</v>
      </c>
      <c r="H142" s="27">
        <v>4108.9764347299997</v>
      </c>
      <c r="I142" s="15" t="s">
        <v>55</v>
      </c>
      <c r="K142" s="15" t="s">
        <v>35</v>
      </c>
      <c r="L142" s="15" t="s">
        <v>377</v>
      </c>
    </row>
    <row r="143" spans="1:12">
      <c r="A143" s="24">
        <v>158</v>
      </c>
      <c r="B143" s="15" t="s">
        <v>65</v>
      </c>
      <c r="C143" s="23">
        <v>780551.33979999996</v>
      </c>
      <c r="D143" s="23">
        <v>2427501.0189999999</v>
      </c>
      <c r="E143" s="15">
        <v>273</v>
      </c>
      <c r="F143" s="15" t="s">
        <v>205</v>
      </c>
      <c r="G143" s="27">
        <v>74.05</v>
      </c>
      <c r="H143" s="27">
        <v>5219.7609209499997</v>
      </c>
      <c r="I143" s="15" t="s">
        <v>55</v>
      </c>
      <c r="K143" s="15" t="s">
        <v>35</v>
      </c>
      <c r="L143" s="15" t="s">
        <v>377</v>
      </c>
    </row>
    <row r="144" spans="1:12">
      <c r="A144" s="24">
        <v>159</v>
      </c>
      <c r="B144" s="15" t="s">
        <v>71</v>
      </c>
      <c r="C144" s="23">
        <v>776731.1814</v>
      </c>
      <c r="D144" s="23">
        <v>2418618.9739999999</v>
      </c>
      <c r="E144" s="15">
        <v>533</v>
      </c>
      <c r="F144" s="15" t="s">
        <v>206</v>
      </c>
      <c r="G144" s="27">
        <v>14165.1</v>
      </c>
      <c r="H144" s="27">
        <v>29868.324400199999</v>
      </c>
      <c r="I144" s="15" t="s">
        <v>55</v>
      </c>
      <c r="K144" s="15" t="s">
        <v>25</v>
      </c>
      <c r="L144" s="15" t="s">
        <v>377</v>
      </c>
    </row>
    <row r="145" spans="1:12">
      <c r="A145" s="24">
        <v>161</v>
      </c>
      <c r="B145" s="15" t="s">
        <v>69</v>
      </c>
      <c r="C145" s="23">
        <v>777299.51679999998</v>
      </c>
      <c r="D145" s="23">
        <v>2424390.8029999998</v>
      </c>
      <c r="E145" s="15">
        <v>44</v>
      </c>
      <c r="F145" s="15" t="s">
        <v>207</v>
      </c>
      <c r="G145" s="27">
        <v>2720.47</v>
      </c>
      <c r="H145" s="27">
        <v>4382.0345329100001</v>
      </c>
      <c r="I145" s="15" t="s">
        <v>55</v>
      </c>
      <c r="K145" s="15" t="s">
        <v>26</v>
      </c>
      <c r="L145" s="15" t="s">
        <v>377</v>
      </c>
    </row>
    <row r="146" spans="1:12">
      <c r="A146" s="24">
        <v>162</v>
      </c>
      <c r="B146" s="15" t="s">
        <v>69</v>
      </c>
      <c r="C146" s="23">
        <v>777643.02289999998</v>
      </c>
      <c r="D146" s="23">
        <v>2421330.7239999999</v>
      </c>
      <c r="E146" s="15">
        <v>654</v>
      </c>
      <c r="F146" s="15" t="s">
        <v>208</v>
      </c>
      <c r="G146" s="27">
        <v>0</v>
      </c>
      <c r="H146" s="27">
        <v>4155.8109197599997</v>
      </c>
      <c r="K146" s="15" t="s">
        <v>24</v>
      </c>
      <c r="L146" s="15" t="s">
        <v>377</v>
      </c>
    </row>
    <row r="147" spans="1:12">
      <c r="A147" s="24">
        <v>163</v>
      </c>
      <c r="B147" s="15" t="s">
        <v>71</v>
      </c>
      <c r="C147" s="23">
        <v>777024.28610000003</v>
      </c>
      <c r="D147" s="23">
        <v>2419432.5690000001</v>
      </c>
      <c r="E147" s="15">
        <v>406</v>
      </c>
      <c r="F147" s="15" t="s">
        <v>209</v>
      </c>
      <c r="G147" s="27">
        <v>802.61689999999999</v>
      </c>
      <c r="H147" s="27">
        <v>1618.02185622</v>
      </c>
      <c r="I147" s="15" t="s">
        <v>55</v>
      </c>
      <c r="K147" s="15" t="s">
        <v>29</v>
      </c>
      <c r="L147" s="15" t="s">
        <v>377</v>
      </c>
    </row>
    <row r="148" spans="1:12">
      <c r="A148" s="24">
        <v>164</v>
      </c>
      <c r="B148" s="15" t="s">
        <v>53</v>
      </c>
      <c r="C148" s="23">
        <v>775936.74890000001</v>
      </c>
      <c r="D148" s="23">
        <v>2427726.287</v>
      </c>
      <c r="E148" s="15">
        <v>16</v>
      </c>
      <c r="F148" s="15" t="s">
        <v>210</v>
      </c>
      <c r="G148" s="27">
        <v>9818.85</v>
      </c>
      <c r="H148" s="27">
        <v>12620.992125999999</v>
      </c>
      <c r="I148" s="15" t="s">
        <v>55</v>
      </c>
      <c r="K148" s="15" t="s">
        <v>26</v>
      </c>
      <c r="L148" s="15" t="s">
        <v>377</v>
      </c>
    </row>
    <row r="149" spans="1:12">
      <c r="A149" s="24">
        <v>165</v>
      </c>
      <c r="B149" s="15" t="s">
        <v>78</v>
      </c>
      <c r="C149" s="23">
        <v>775920.174</v>
      </c>
      <c r="D149" s="23">
        <v>2419565.44</v>
      </c>
      <c r="E149" s="15">
        <v>378</v>
      </c>
      <c r="F149" s="15" t="s">
        <v>211</v>
      </c>
      <c r="G149" s="27">
        <v>7289.42</v>
      </c>
      <c r="H149" s="27">
        <v>7566.1379275899999</v>
      </c>
      <c r="I149" s="15" t="s">
        <v>55</v>
      </c>
      <c r="K149" s="15" t="s">
        <v>29</v>
      </c>
      <c r="L149" s="15" t="s">
        <v>377</v>
      </c>
    </row>
    <row r="150" spans="1:12">
      <c r="A150" s="24">
        <v>166</v>
      </c>
      <c r="B150" s="15" t="s">
        <v>69</v>
      </c>
      <c r="C150" s="23">
        <v>777336.58629999997</v>
      </c>
      <c r="D150" s="23">
        <v>2422892.3509999998</v>
      </c>
      <c r="E150" s="15">
        <v>24</v>
      </c>
      <c r="F150" s="15" t="s">
        <v>212</v>
      </c>
      <c r="G150" s="27">
        <v>1517.41</v>
      </c>
      <c r="H150" s="27">
        <v>2532.0634158100002</v>
      </c>
      <c r="I150" s="15" t="s">
        <v>55</v>
      </c>
      <c r="K150" s="15" t="s">
        <v>29</v>
      </c>
      <c r="L150" s="15" t="s">
        <v>377</v>
      </c>
    </row>
    <row r="151" spans="1:12">
      <c r="A151" s="24">
        <v>167</v>
      </c>
      <c r="B151" s="15" t="s">
        <v>73</v>
      </c>
      <c r="C151" s="23">
        <v>781739.37120000005</v>
      </c>
      <c r="D151" s="23">
        <v>2413315.8960000002</v>
      </c>
      <c r="E151" s="15">
        <v>494</v>
      </c>
      <c r="F151" s="15" t="s">
        <v>213</v>
      </c>
      <c r="G151" s="27">
        <v>737.91</v>
      </c>
      <c r="H151" s="27">
        <v>1291.64000005</v>
      </c>
      <c r="I151" s="15" t="s">
        <v>55</v>
      </c>
      <c r="K151" s="15" t="s">
        <v>28</v>
      </c>
      <c r="L151" s="15" t="s">
        <v>377</v>
      </c>
    </row>
    <row r="152" spans="1:12">
      <c r="A152" s="24">
        <v>168</v>
      </c>
      <c r="B152" s="15" t="s">
        <v>78</v>
      </c>
      <c r="C152" s="23">
        <v>774997.58779999998</v>
      </c>
      <c r="D152" s="23">
        <v>2418436.6800000002</v>
      </c>
      <c r="E152" s="15">
        <v>404</v>
      </c>
      <c r="F152" s="15" t="s">
        <v>214</v>
      </c>
      <c r="G152" s="27">
        <v>1539</v>
      </c>
      <c r="H152" s="27">
        <v>2175.68854655</v>
      </c>
      <c r="I152" s="15" t="s">
        <v>55</v>
      </c>
      <c r="K152" s="15" t="s">
        <v>29</v>
      </c>
      <c r="L152" s="15" t="s">
        <v>377</v>
      </c>
    </row>
    <row r="153" spans="1:12">
      <c r="A153" s="24">
        <v>169</v>
      </c>
      <c r="B153" s="15" t="s">
        <v>78</v>
      </c>
      <c r="C153" s="23">
        <v>775434.48829999997</v>
      </c>
      <c r="D153" s="23">
        <v>2418941.0299999998</v>
      </c>
      <c r="E153" s="15">
        <v>402</v>
      </c>
      <c r="F153" s="15" t="s">
        <v>215</v>
      </c>
      <c r="G153" s="27">
        <v>1245</v>
      </c>
      <c r="H153" s="27">
        <v>19763.048444600001</v>
      </c>
      <c r="I153" s="15" t="s">
        <v>55</v>
      </c>
      <c r="K153" s="15" t="s">
        <v>29</v>
      </c>
      <c r="L153" s="15" t="s">
        <v>377</v>
      </c>
    </row>
    <row r="154" spans="1:12">
      <c r="A154" s="24">
        <v>170</v>
      </c>
      <c r="B154" s="15" t="s">
        <v>78</v>
      </c>
      <c r="C154" s="23">
        <v>775253.44330000004</v>
      </c>
      <c r="D154" s="23">
        <v>2419663.0049999999</v>
      </c>
      <c r="E154" s="15">
        <v>377</v>
      </c>
      <c r="F154" s="15" t="s">
        <v>216</v>
      </c>
      <c r="G154" s="27">
        <v>8450.73</v>
      </c>
      <c r="H154" s="27">
        <v>13694.2787326</v>
      </c>
      <c r="I154" s="15" t="s">
        <v>55</v>
      </c>
      <c r="K154" s="15" t="s">
        <v>29</v>
      </c>
      <c r="L154" s="15" t="s">
        <v>377</v>
      </c>
    </row>
    <row r="155" spans="1:12">
      <c r="A155" s="24">
        <v>171</v>
      </c>
      <c r="B155" s="15" t="s">
        <v>69</v>
      </c>
      <c r="C155" s="23">
        <v>777310.88119999995</v>
      </c>
      <c r="D155" s="23">
        <v>2423405.3530000001</v>
      </c>
      <c r="E155" s="15">
        <v>5</v>
      </c>
      <c r="F155" s="15" t="s">
        <v>217</v>
      </c>
      <c r="G155" s="27">
        <v>606.85</v>
      </c>
      <c r="H155" s="27">
        <v>1651.1223730199999</v>
      </c>
      <c r="I155" s="15" t="s">
        <v>55</v>
      </c>
      <c r="K155" s="15" t="s">
        <v>26</v>
      </c>
      <c r="L155" s="15" t="s">
        <v>377</v>
      </c>
    </row>
    <row r="156" spans="1:12">
      <c r="A156" s="24">
        <v>172</v>
      </c>
      <c r="B156" s="15" t="s">
        <v>69</v>
      </c>
      <c r="C156" s="23">
        <v>777325.71569999994</v>
      </c>
      <c r="D156" s="23">
        <v>2421855.5469999998</v>
      </c>
      <c r="E156" s="15">
        <v>536</v>
      </c>
      <c r="F156" s="15" t="s">
        <v>218</v>
      </c>
      <c r="G156" s="27">
        <v>7805.97</v>
      </c>
      <c r="H156" s="27">
        <v>13011.367346200001</v>
      </c>
      <c r="I156" s="15" t="s">
        <v>55</v>
      </c>
      <c r="K156" s="15" t="s">
        <v>29</v>
      </c>
      <c r="L156" s="15" t="s">
        <v>377</v>
      </c>
    </row>
    <row r="157" spans="1:12">
      <c r="A157" s="24">
        <v>173</v>
      </c>
      <c r="B157" s="15" t="s">
        <v>67</v>
      </c>
      <c r="C157" s="23">
        <v>782516.13190000004</v>
      </c>
      <c r="D157" s="23">
        <v>2421087.5980000002</v>
      </c>
      <c r="E157" s="15">
        <v>499</v>
      </c>
      <c r="F157" s="15" t="s">
        <v>219</v>
      </c>
      <c r="G157" s="27">
        <v>1658.9</v>
      </c>
      <c r="H157" s="27">
        <v>2063.9993951599999</v>
      </c>
      <c r="I157" s="15" t="s">
        <v>55</v>
      </c>
      <c r="K157" s="15" t="s">
        <v>27</v>
      </c>
      <c r="L157" s="15" t="s">
        <v>377</v>
      </c>
    </row>
    <row r="158" spans="1:12">
      <c r="A158" s="24">
        <v>174</v>
      </c>
      <c r="B158" s="15" t="s">
        <v>69</v>
      </c>
      <c r="C158" s="23">
        <v>777308.7942</v>
      </c>
      <c r="D158" s="23">
        <v>2422355.3429999999</v>
      </c>
      <c r="E158" s="15">
        <v>22</v>
      </c>
      <c r="F158" s="15" t="s">
        <v>220</v>
      </c>
      <c r="G158" s="27">
        <v>3091.91</v>
      </c>
      <c r="H158" s="27">
        <v>4752.5692658999997</v>
      </c>
      <c r="I158" s="15" t="s">
        <v>55</v>
      </c>
      <c r="K158" s="15" t="s">
        <v>29</v>
      </c>
      <c r="L158" s="15" t="s">
        <v>377</v>
      </c>
    </row>
    <row r="159" spans="1:12">
      <c r="A159" s="24">
        <v>175</v>
      </c>
      <c r="B159" s="15" t="s">
        <v>135</v>
      </c>
      <c r="C159" s="23">
        <v>783657.6446</v>
      </c>
      <c r="D159" s="23">
        <v>2427841.5890000002</v>
      </c>
      <c r="E159" s="15">
        <v>231</v>
      </c>
      <c r="F159" s="15" t="s">
        <v>221</v>
      </c>
      <c r="G159" s="27">
        <v>7177.51</v>
      </c>
      <c r="H159" s="27">
        <v>10520.080775500001</v>
      </c>
      <c r="I159" s="15" t="s">
        <v>55</v>
      </c>
      <c r="K159" s="15" t="s">
        <v>34</v>
      </c>
      <c r="L159" s="15" t="s">
        <v>377</v>
      </c>
    </row>
    <row r="160" spans="1:12">
      <c r="A160" s="24">
        <v>176</v>
      </c>
      <c r="B160" s="15" t="s">
        <v>65</v>
      </c>
      <c r="C160" s="23">
        <v>781527.91500000004</v>
      </c>
      <c r="D160" s="23">
        <v>2424333.66</v>
      </c>
      <c r="E160" s="15">
        <v>541</v>
      </c>
      <c r="F160" s="15" t="s">
        <v>222</v>
      </c>
      <c r="G160" s="27">
        <v>7002.28</v>
      </c>
      <c r="H160" s="27">
        <v>29962.9054239</v>
      </c>
      <c r="I160" s="15" t="s">
        <v>55</v>
      </c>
      <c r="K160" s="15" t="s">
        <v>31</v>
      </c>
      <c r="L160" s="15" t="s">
        <v>377</v>
      </c>
    </row>
    <row r="161" spans="1:12">
      <c r="A161" s="24">
        <v>178</v>
      </c>
      <c r="B161" s="15" t="s">
        <v>65</v>
      </c>
      <c r="C161" s="23">
        <v>781919.10860000004</v>
      </c>
      <c r="D161" s="23">
        <v>2423988.162</v>
      </c>
      <c r="E161" s="15">
        <v>267</v>
      </c>
      <c r="F161" s="15" t="s">
        <v>223</v>
      </c>
      <c r="G161" s="27">
        <v>822</v>
      </c>
      <c r="H161" s="27">
        <v>3459.2964222999999</v>
      </c>
      <c r="I161" s="15" t="s">
        <v>55</v>
      </c>
      <c r="K161" s="15" t="s">
        <v>31</v>
      </c>
      <c r="L161" s="15" t="s">
        <v>377</v>
      </c>
    </row>
    <row r="162" spans="1:12">
      <c r="A162" s="24">
        <v>179</v>
      </c>
      <c r="B162" s="15" t="s">
        <v>56</v>
      </c>
      <c r="C162" s="23">
        <v>780782.47569999995</v>
      </c>
      <c r="D162" s="23">
        <v>2420431.7000000002</v>
      </c>
      <c r="E162" s="15">
        <v>482</v>
      </c>
      <c r="F162" s="15" t="s">
        <v>224</v>
      </c>
      <c r="G162" s="27">
        <v>3520.96</v>
      </c>
      <c r="H162" s="27">
        <v>8011.9487915999998</v>
      </c>
      <c r="I162" s="15" t="s">
        <v>55</v>
      </c>
      <c r="K162" s="15" t="s">
        <v>30</v>
      </c>
      <c r="L162" s="15" t="s">
        <v>377</v>
      </c>
    </row>
    <row r="163" spans="1:12">
      <c r="A163" s="24">
        <v>180</v>
      </c>
      <c r="B163" s="15" t="s">
        <v>65</v>
      </c>
      <c r="C163" s="23">
        <v>780679.49829999998</v>
      </c>
      <c r="D163" s="23">
        <v>2425807.5049999999</v>
      </c>
      <c r="E163" s="15">
        <v>232</v>
      </c>
      <c r="F163" s="15" t="s">
        <v>225</v>
      </c>
      <c r="G163" s="27">
        <v>630</v>
      </c>
      <c r="H163" s="27">
        <v>1779.8256456199999</v>
      </c>
      <c r="I163" s="15" t="s">
        <v>55</v>
      </c>
      <c r="K163" s="15" t="s">
        <v>35</v>
      </c>
      <c r="L163" s="15" t="s">
        <v>377</v>
      </c>
    </row>
    <row r="164" spans="1:12">
      <c r="A164" s="24">
        <v>181</v>
      </c>
      <c r="B164" s="15" t="s">
        <v>105</v>
      </c>
      <c r="C164" s="23">
        <v>782552.94750000001</v>
      </c>
      <c r="D164" s="23">
        <v>2425090.929</v>
      </c>
      <c r="E164" s="15">
        <v>539</v>
      </c>
      <c r="F164" s="15" t="s">
        <v>226</v>
      </c>
      <c r="G164" s="27">
        <v>0</v>
      </c>
      <c r="H164" s="27">
        <v>184704.033776</v>
      </c>
      <c r="I164" s="15" t="s">
        <v>55</v>
      </c>
      <c r="K164" s="15" t="s">
        <v>31</v>
      </c>
      <c r="L164" s="15" t="s">
        <v>377</v>
      </c>
    </row>
    <row r="165" spans="1:12">
      <c r="A165" s="24">
        <v>182</v>
      </c>
      <c r="B165" s="15" t="s">
        <v>105</v>
      </c>
      <c r="C165" s="23">
        <v>782274.49170000001</v>
      </c>
      <c r="D165" s="23">
        <v>2425405.3420000002</v>
      </c>
      <c r="E165" s="15">
        <v>657</v>
      </c>
      <c r="F165" s="15" t="s">
        <v>227</v>
      </c>
      <c r="G165" s="27">
        <v>0</v>
      </c>
      <c r="H165" s="27">
        <v>112595.53266899999</v>
      </c>
      <c r="K165" s="15" t="s">
        <v>35</v>
      </c>
      <c r="L165" s="15" t="s">
        <v>377</v>
      </c>
    </row>
    <row r="166" spans="1:12">
      <c r="A166" s="24">
        <v>183</v>
      </c>
      <c r="B166" s="15" t="s">
        <v>65</v>
      </c>
      <c r="C166" s="23">
        <v>781600.17630000005</v>
      </c>
      <c r="D166" s="23">
        <v>2423692.4029999999</v>
      </c>
      <c r="E166" s="15">
        <v>262</v>
      </c>
      <c r="F166" s="15" t="s">
        <v>228</v>
      </c>
      <c r="G166" s="27">
        <v>677.14</v>
      </c>
      <c r="H166" s="27">
        <v>1454.3109900899999</v>
      </c>
      <c r="I166" s="15" t="s">
        <v>55</v>
      </c>
      <c r="K166" s="15" t="s">
        <v>31</v>
      </c>
      <c r="L166" s="15" t="s">
        <v>377</v>
      </c>
    </row>
    <row r="167" spans="1:12">
      <c r="A167" s="24">
        <v>184</v>
      </c>
      <c r="B167" s="15" t="s">
        <v>71</v>
      </c>
      <c r="C167" s="23">
        <v>778587.10419999994</v>
      </c>
      <c r="D167" s="23">
        <v>2418012.2239999999</v>
      </c>
      <c r="E167" s="15">
        <v>652</v>
      </c>
      <c r="F167" s="15" t="s">
        <v>229</v>
      </c>
      <c r="G167" s="27">
        <v>0</v>
      </c>
      <c r="H167" s="27">
        <v>4163.2667866199999</v>
      </c>
      <c r="K167" s="15" t="s">
        <v>25</v>
      </c>
      <c r="L167" s="15" t="s">
        <v>377</v>
      </c>
    </row>
    <row r="168" spans="1:12">
      <c r="A168" s="24">
        <v>185</v>
      </c>
      <c r="B168" s="15" t="s">
        <v>56</v>
      </c>
      <c r="C168" s="23">
        <v>779287.54339999997</v>
      </c>
      <c r="D168" s="23">
        <v>2422007.6830000002</v>
      </c>
      <c r="E168" s="15">
        <v>546</v>
      </c>
      <c r="F168" s="15" t="s">
        <v>230</v>
      </c>
      <c r="G168" s="27">
        <v>0</v>
      </c>
      <c r="H168" s="27">
        <v>1388.89103823</v>
      </c>
      <c r="I168" s="15" t="s">
        <v>55</v>
      </c>
      <c r="K168" s="15" t="s">
        <v>24</v>
      </c>
      <c r="L168" s="15" t="s">
        <v>377</v>
      </c>
    </row>
    <row r="169" spans="1:12">
      <c r="A169" s="24">
        <v>186</v>
      </c>
      <c r="B169" s="15" t="s">
        <v>56</v>
      </c>
      <c r="C169" s="23">
        <v>779343.25540000002</v>
      </c>
      <c r="D169" s="23">
        <v>2422025.2110000001</v>
      </c>
      <c r="E169" s="15">
        <v>546</v>
      </c>
      <c r="F169" s="15" t="s">
        <v>231</v>
      </c>
      <c r="G169" s="27">
        <v>0</v>
      </c>
      <c r="H169" s="27">
        <v>1429.8897248599999</v>
      </c>
      <c r="I169" s="15" t="s">
        <v>55</v>
      </c>
      <c r="K169" s="15" t="s">
        <v>24</v>
      </c>
      <c r="L169" s="15" t="s">
        <v>377</v>
      </c>
    </row>
    <row r="170" spans="1:12">
      <c r="A170" s="24">
        <v>187</v>
      </c>
      <c r="B170" s="15" t="s">
        <v>105</v>
      </c>
      <c r="C170" s="23">
        <v>781757.59990000003</v>
      </c>
      <c r="D170" s="23">
        <v>2423514.9709999999</v>
      </c>
      <c r="E170" s="15">
        <v>279</v>
      </c>
      <c r="F170" s="15" t="s">
        <v>232</v>
      </c>
      <c r="G170" s="27">
        <v>1731.08</v>
      </c>
      <c r="H170" s="27">
        <v>3584.2823739300002</v>
      </c>
      <c r="I170" s="15" t="s">
        <v>55</v>
      </c>
      <c r="K170" s="15" t="s">
        <v>31</v>
      </c>
      <c r="L170" s="15" t="s">
        <v>377</v>
      </c>
    </row>
    <row r="171" spans="1:12">
      <c r="A171" s="24">
        <v>188</v>
      </c>
      <c r="B171" s="15" t="s">
        <v>71</v>
      </c>
      <c r="C171" s="23">
        <v>779229.28610000003</v>
      </c>
      <c r="D171" s="23">
        <v>2417560.9279999998</v>
      </c>
      <c r="E171" s="15">
        <v>386</v>
      </c>
      <c r="F171" s="15" t="s">
        <v>233</v>
      </c>
      <c r="G171" s="27">
        <v>1015.04</v>
      </c>
      <c r="H171" s="27">
        <v>3025.8899085399999</v>
      </c>
      <c r="I171" s="15" t="s">
        <v>55</v>
      </c>
      <c r="K171" s="15" t="s">
        <v>25</v>
      </c>
      <c r="L171" s="15" t="s">
        <v>377</v>
      </c>
    </row>
    <row r="172" spans="1:12">
      <c r="A172" s="24">
        <v>189</v>
      </c>
      <c r="B172" s="15" t="s">
        <v>105</v>
      </c>
      <c r="C172" s="23">
        <v>781945.43059999996</v>
      </c>
      <c r="D172" s="23">
        <v>2423677.63</v>
      </c>
      <c r="E172" s="15">
        <v>261</v>
      </c>
      <c r="F172" s="15" t="s">
        <v>234</v>
      </c>
      <c r="G172" s="27">
        <v>1493</v>
      </c>
      <c r="H172" s="27">
        <v>3056.9286527700001</v>
      </c>
      <c r="I172" s="15" t="s">
        <v>55</v>
      </c>
      <c r="K172" s="15" t="s">
        <v>31</v>
      </c>
      <c r="L172" s="15" t="s">
        <v>377</v>
      </c>
    </row>
    <row r="173" spans="1:12">
      <c r="A173" s="24">
        <v>190</v>
      </c>
      <c r="B173" s="15" t="s">
        <v>69</v>
      </c>
      <c r="C173" s="23">
        <v>779350.08609999996</v>
      </c>
      <c r="D173" s="23">
        <v>2424107.7489999998</v>
      </c>
      <c r="E173" s="15">
        <v>13</v>
      </c>
      <c r="F173" s="15" t="s">
        <v>235</v>
      </c>
      <c r="G173" s="27">
        <v>2802.26</v>
      </c>
      <c r="H173" s="27">
        <v>5188.2665489000001</v>
      </c>
      <c r="I173" s="15" t="s">
        <v>55</v>
      </c>
      <c r="K173" s="15" t="s">
        <v>26</v>
      </c>
      <c r="L173" s="15" t="s">
        <v>377</v>
      </c>
    </row>
    <row r="174" spans="1:12">
      <c r="A174" s="24">
        <v>191</v>
      </c>
      <c r="B174" s="15" t="s">
        <v>69</v>
      </c>
      <c r="C174" s="23">
        <v>778085.77509999997</v>
      </c>
      <c r="D174" s="23">
        <v>2423528.1009999998</v>
      </c>
      <c r="E174" s="15">
        <v>4</v>
      </c>
      <c r="F174" s="15" t="s">
        <v>236</v>
      </c>
      <c r="G174" s="27">
        <v>120</v>
      </c>
      <c r="H174" s="27">
        <v>2532.62864786</v>
      </c>
      <c r="I174" s="15" t="s">
        <v>55</v>
      </c>
      <c r="K174" s="15" t="s">
        <v>26</v>
      </c>
      <c r="L174" s="15" t="s">
        <v>377</v>
      </c>
    </row>
    <row r="175" spans="1:12">
      <c r="A175" s="24">
        <v>192</v>
      </c>
      <c r="B175" s="15" t="s">
        <v>67</v>
      </c>
      <c r="C175" s="23">
        <v>782247.10979999998</v>
      </c>
      <c r="D175" s="23">
        <v>2422024.818</v>
      </c>
      <c r="E175" s="15">
        <v>647</v>
      </c>
      <c r="F175" s="15" t="s">
        <v>237</v>
      </c>
      <c r="G175" s="27">
        <v>0</v>
      </c>
      <c r="H175" s="27">
        <v>164722.724189</v>
      </c>
      <c r="K175" s="15" t="s">
        <v>27</v>
      </c>
      <c r="L175" s="15" t="s">
        <v>377</v>
      </c>
    </row>
    <row r="176" spans="1:12">
      <c r="A176" s="24">
        <v>193</v>
      </c>
      <c r="B176" s="15" t="s">
        <v>56</v>
      </c>
      <c r="C176" s="23">
        <v>778987.17319999996</v>
      </c>
      <c r="D176" s="23">
        <v>2423060.3530000001</v>
      </c>
      <c r="E176" s="15">
        <v>9</v>
      </c>
      <c r="F176" s="15" t="s">
        <v>238</v>
      </c>
      <c r="G176" s="27">
        <v>310.89999999999998</v>
      </c>
      <c r="H176" s="27">
        <v>1505.83756298</v>
      </c>
      <c r="I176" s="15" t="s">
        <v>55</v>
      </c>
      <c r="K176" s="15" t="s">
        <v>29</v>
      </c>
      <c r="L176" s="15" t="s">
        <v>377</v>
      </c>
    </row>
    <row r="177" spans="1:12">
      <c r="A177" s="24">
        <v>194</v>
      </c>
      <c r="B177" s="15" t="s">
        <v>56</v>
      </c>
      <c r="C177" s="23">
        <v>779710.08979999996</v>
      </c>
      <c r="D177" s="23">
        <v>2423168.0789999999</v>
      </c>
      <c r="E177" s="15">
        <v>221</v>
      </c>
      <c r="F177" s="15" t="s">
        <v>239</v>
      </c>
      <c r="G177" s="27">
        <v>237</v>
      </c>
      <c r="H177" s="27">
        <v>1891.4196471299999</v>
      </c>
      <c r="I177" s="15" t="s">
        <v>55</v>
      </c>
      <c r="K177" s="15" t="s">
        <v>30</v>
      </c>
      <c r="L177" s="15" t="s">
        <v>377</v>
      </c>
    </row>
    <row r="178" spans="1:12">
      <c r="A178" s="24">
        <v>195</v>
      </c>
      <c r="B178" s="15" t="s">
        <v>56</v>
      </c>
      <c r="C178" s="23">
        <v>780319.65879999998</v>
      </c>
      <c r="D178" s="23">
        <v>2423041.3360000001</v>
      </c>
      <c r="E178" s="15">
        <v>241</v>
      </c>
      <c r="F178" s="15" t="s">
        <v>240</v>
      </c>
      <c r="G178" s="27">
        <v>4153</v>
      </c>
      <c r="H178" s="27">
        <v>4022.3933538299998</v>
      </c>
      <c r="I178" s="15" t="s">
        <v>55</v>
      </c>
      <c r="K178" s="15" t="s">
        <v>30</v>
      </c>
      <c r="L178" s="15" t="s">
        <v>377</v>
      </c>
    </row>
    <row r="179" spans="1:12">
      <c r="A179" s="24">
        <v>196</v>
      </c>
      <c r="B179" s="15" t="s">
        <v>65</v>
      </c>
      <c r="C179" s="23">
        <v>781591.68330000003</v>
      </c>
      <c r="D179" s="23">
        <v>2423238.9539999999</v>
      </c>
      <c r="E179" s="15">
        <v>251</v>
      </c>
      <c r="F179" s="15" t="s">
        <v>241</v>
      </c>
      <c r="G179" s="27">
        <v>1486.24</v>
      </c>
      <c r="H179" s="27">
        <v>4724.79403688</v>
      </c>
      <c r="I179" s="15" t="s">
        <v>55</v>
      </c>
      <c r="K179" s="15" t="s">
        <v>30</v>
      </c>
      <c r="L179" s="15" t="s">
        <v>377</v>
      </c>
    </row>
    <row r="180" spans="1:12">
      <c r="A180" s="24">
        <v>197</v>
      </c>
      <c r="B180" s="15" t="s">
        <v>56</v>
      </c>
      <c r="C180" s="23">
        <v>778477.21160000004</v>
      </c>
      <c r="D180" s="23">
        <v>2422678.3229999999</v>
      </c>
      <c r="E180" s="15">
        <v>527</v>
      </c>
      <c r="F180" s="15" t="s">
        <v>242</v>
      </c>
      <c r="G180" s="27">
        <v>888.38</v>
      </c>
      <c r="H180" s="27">
        <v>1674.30489962</v>
      </c>
      <c r="I180" s="15" t="s">
        <v>55</v>
      </c>
      <c r="K180" s="15" t="s">
        <v>24</v>
      </c>
      <c r="L180" s="15" t="s">
        <v>377</v>
      </c>
    </row>
    <row r="181" spans="1:12">
      <c r="A181" s="24">
        <v>198</v>
      </c>
      <c r="B181" s="15" t="s">
        <v>65</v>
      </c>
      <c r="C181" s="23">
        <v>780009.54799999995</v>
      </c>
      <c r="D181" s="23">
        <v>2428163.3769999999</v>
      </c>
      <c r="E181" s="15">
        <v>696</v>
      </c>
      <c r="F181" s="15" t="s">
        <v>243</v>
      </c>
      <c r="G181" s="27">
        <v>0</v>
      </c>
      <c r="H181" s="27">
        <v>2297.83715454</v>
      </c>
      <c r="K181" s="15" t="s">
        <v>35</v>
      </c>
      <c r="L181" s="15" t="s">
        <v>377</v>
      </c>
    </row>
    <row r="182" spans="1:12">
      <c r="A182" s="24">
        <v>200</v>
      </c>
      <c r="B182" s="15" t="s">
        <v>56</v>
      </c>
      <c r="C182" s="23">
        <v>779360.89859999996</v>
      </c>
      <c r="D182" s="23">
        <v>2422788.5959999999</v>
      </c>
      <c r="E182" s="15">
        <v>530</v>
      </c>
      <c r="F182" s="15" t="s">
        <v>244</v>
      </c>
      <c r="G182" s="27">
        <v>280.89999999999998</v>
      </c>
      <c r="H182" s="27">
        <v>3522.9071570199999</v>
      </c>
      <c r="I182" s="15" t="s">
        <v>55</v>
      </c>
      <c r="K182" s="15" t="s">
        <v>30</v>
      </c>
      <c r="L182" s="15" t="s">
        <v>377</v>
      </c>
    </row>
    <row r="183" spans="1:12">
      <c r="A183" s="24">
        <v>201</v>
      </c>
      <c r="B183" s="15" t="s">
        <v>69</v>
      </c>
      <c r="C183" s="23">
        <v>777752.00529999996</v>
      </c>
      <c r="D183" s="23">
        <v>2422293.0269999998</v>
      </c>
      <c r="E183" s="15">
        <v>12</v>
      </c>
      <c r="F183" s="15" t="s">
        <v>245</v>
      </c>
      <c r="G183" s="27">
        <v>1774.86</v>
      </c>
      <c r="H183" s="27">
        <v>2647.55202551</v>
      </c>
      <c r="I183" s="15" t="s">
        <v>55</v>
      </c>
      <c r="K183" s="15" t="s">
        <v>29</v>
      </c>
      <c r="L183" s="15" t="s">
        <v>377</v>
      </c>
    </row>
    <row r="184" spans="1:12">
      <c r="A184" s="24">
        <v>202</v>
      </c>
      <c r="B184" s="15" t="s">
        <v>56</v>
      </c>
      <c r="C184" s="23">
        <v>779655.96920000005</v>
      </c>
      <c r="D184" s="23">
        <v>2422355.6060000001</v>
      </c>
      <c r="E184" s="15">
        <v>529</v>
      </c>
      <c r="F184" s="15" t="s">
        <v>246</v>
      </c>
      <c r="G184" s="27">
        <v>398.43</v>
      </c>
      <c r="H184" s="27">
        <v>663.13948731599999</v>
      </c>
      <c r="I184" s="15" t="s">
        <v>55</v>
      </c>
      <c r="K184" s="15" t="s">
        <v>30</v>
      </c>
      <c r="L184" s="15" t="s">
        <v>377</v>
      </c>
    </row>
    <row r="185" spans="1:12">
      <c r="A185" s="24">
        <v>203</v>
      </c>
      <c r="B185" s="15" t="s">
        <v>80</v>
      </c>
      <c r="C185" s="23">
        <v>784255.36529999995</v>
      </c>
      <c r="D185" s="23">
        <v>2420777.4929999998</v>
      </c>
      <c r="E185" s="15">
        <v>506</v>
      </c>
      <c r="F185" s="15" t="s">
        <v>247</v>
      </c>
      <c r="G185" s="27">
        <v>8236.2000000000007</v>
      </c>
      <c r="H185" s="27">
        <v>6514.3414665999999</v>
      </c>
      <c r="I185" s="15" t="s">
        <v>55</v>
      </c>
      <c r="K185" s="15" t="s">
        <v>33</v>
      </c>
      <c r="L185" s="15" t="s">
        <v>377</v>
      </c>
    </row>
    <row r="186" spans="1:12">
      <c r="A186" s="24">
        <v>204</v>
      </c>
      <c r="B186" s="15" t="s">
        <v>53</v>
      </c>
      <c r="C186" s="23">
        <v>779063.44889999996</v>
      </c>
      <c r="D186" s="23">
        <v>2426485.8220000002</v>
      </c>
      <c r="E186" s="15">
        <v>15</v>
      </c>
      <c r="F186" s="15" t="s">
        <v>248</v>
      </c>
      <c r="G186" s="27">
        <v>4356.1000000000004</v>
      </c>
      <c r="H186" s="27">
        <v>8509.3148588399999</v>
      </c>
      <c r="I186" s="15" t="s">
        <v>55</v>
      </c>
      <c r="K186" s="15" t="s">
        <v>26</v>
      </c>
      <c r="L186" s="15" t="s">
        <v>377</v>
      </c>
    </row>
    <row r="187" spans="1:12">
      <c r="A187" s="24">
        <v>205</v>
      </c>
      <c r="B187" s="15" t="s">
        <v>53</v>
      </c>
      <c r="C187" s="23">
        <v>778496.89650000003</v>
      </c>
      <c r="D187" s="23">
        <v>2426859.054</v>
      </c>
      <c r="E187" s="15">
        <v>14</v>
      </c>
      <c r="F187" s="15" t="s">
        <v>249</v>
      </c>
      <c r="G187" s="27">
        <v>6192.22</v>
      </c>
      <c r="H187" s="27">
        <v>8985.7926850900003</v>
      </c>
      <c r="I187" s="15" t="s">
        <v>55</v>
      </c>
      <c r="K187" s="15" t="s">
        <v>26</v>
      </c>
      <c r="L187" s="15" t="s">
        <v>377</v>
      </c>
    </row>
    <row r="188" spans="1:12">
      <c r="A188" s="24">
        <v>206</v>
      </c>
      <c r="B188" s="15" t="s">
        <v>105</v>
      </c>
      <c r="C188" s="23">
        <v>781946.41399999999</v>
      </c>
      <c r="D188" s="23">
        <v>2425976.41</v>
      </c>
      <c r="E188" s="15">
        <v>538</v>
      </c>
      <c r="F188" s="15" t="s">
        <v>250</v>
      </c>
      <c r="G188" s="27">
        <v>0</v>
      </c>
      <c r="H188" s="27">
        <v>801274.88550099998</v>
      </c>
      <c r="I188" s="15" t="s">
        <v>55</v>
      </c>
      <c r="K188" s="15" t="s">
        <v>35</v>
      </c>
      <c r="L188" s="15" t="s">
        <v>377</v>
      </c>
    </row>
    <row r="189" spans="1:12">
      <c r="A189" s="24">
        <v>207</v>
      </c>
      <c r="B189" s="15" t="s">
        <v>105</v>
      </c>
      <c r="C189" s="23">
        <v>782047.40269999998</v>
      </c>
      <c r="D189" s="23">
        <v>2426662.801</v>
      </c>
      <c r="E189" s="15">
        <v>143</v>
      </c>
      <c r="F189" s="15" t="s">
        <v>367</v>
      </c>
      <c r="G189" s="27">
        <v>24201.06</v>
      </c>
      <c r="H189" s="27">
        <v>23956.656193399998</v>
      </c>
      <c r="K189" s="15" t="s">
        <v>35</v>
      </c>
      <c r="L189" s="15" t="s">
        <v>377</v>
      </c>
    </row>
    <row r="190" spans="1:12">
      <c r="A190" s="24">
        <v>208</v>
      </c>
      <c r="B190" s="15" t="s">
        <v>123</v>
      </c>
      <c r="C190" s="23">
        <v>775573.98060000001</v>
      </c>
      <c r="D190" s="23">
        <v>2421543.0120000001</v>
      </c>
      <c r="E190" s="15">
        <v>655</v>
      </c>
      <c r="F190" s="15" t="s">
        <v>251</v>
      </c>
      <c r="G190" s="27">
        <v>0</v>
      </c>
      <c r="H190" s="27">
        <v>1941.73832096</v>
      </c>
      <c r="K190" s="15" t="s">
        <v>29</v>
      </c>
      <c r="L190" s="15" t="s">
        <v>377</v>
      </c>
    </row>
    <row r="191" spans="1:12">
      <c r="A191" s="24">
        <v>209</v>
      </c>
      <c r="B191" s="15" t="s">
        <v>69</v>
      </c>
      <c r="C191" s="23">
        <v>777911.89879999997</v>
      </c>
      <c r="D191" s="23">
        <v>2421671.9249999998</v>
      </c>
      <c r="E191" s="15">
        <v>33</v>
      </c>
      <c r="F191" s="15" t="s">
        <v>252</v>
      </c>
      <c r="G191" s="27">
        <v>1816.67</v>
      </c>
      <c r="H191" s="27">
        <v>4485.38549169</v>
      </c>
      <c r="I191" s="15" t="s">
        <v>55</v>
      </c>
      <c r="K191" s="15" t="s">
        <v>24</v>
      </c>
      <c r="L191" s="15" t="s">
        <v>377</v>
      </c>
    </row>
    <row r="192" spans="1:12">
      <c r="A192" s="24">
        <v>210</v>
      </c>
      <c r="B192" s="15" t="s">
        <v>123</v>
      </c>
      <c r="C192" s="23">
        <v>774894.08200000005</v>
      </c>
      <c r="D192" s="23">
        <v>2423199.6529999999</v>
      </c>
      <c r="E192" s="15">
        <v>10</v>
      </c>
      <c r="F192" s="15" t="s">
        <v>253</v>
      </c>
      <c r="G192" s="27">
        <v>2066.73</v>
      </c>
      <c r="H192" s="27">
        <v>4189.4963799200004</v>
      </c>
      <c r="I192" s="15" t="s">
        <v>55</v>
      </c>
      <c r="K192" s="15" t="s">
        <v>29</v>
      </c>
      <c r="L192" s="15" t="s">
        <v>377</v>
      </c>
    </row>
    <row r="193" spans="1:12">
      <c r="A193" s="24">
        <v>211</v>
      </c>
      <c r="B193" s="15" t="s">
        <v>56</v>
      </c>
      <c r="C193" s="23">
        <v>779791.16689999995</v>
      </c>
      <c r="D193" s="23">
        <v>2422181.773</v>
      </c>
      <c r="E193" s="15">
        <v>692</v>
      </c>
      <c r="F193" s="15" t="s">
        <v>254</v>
      </c>
      <c r="G193" s="27">
        <v>0</v>
      </c>
      <c r="H193" s="27">
        <v>381.49699154799998</v>
      </c>
      <c r="K193" s="15" t="s">
        <v>30</v>
      </c>
      <c r="L193" s="15" t="s">
        <v>377</v>
      </c>
    </row>
    <row r="194" spans="1:12">
      <c r="A194" s="24">
        <v>213</v>
      </c>
      <c r="B194" s="15" t="s">
        <v>53</v>
      </c>
      <c r="C194" s="23">
        <v>778942.25490000006</v>
      </c>
      <c r="D194" s="23">
        <v>2427556.8960000002</v>
      </c>
      <c r="E194" s="15">
        <v>695</v>
      </c>
      <c r="F194" s="15" t="s">
        <v>255</v>
      </c>
      <c r="G194" s="27">
        <v>0</v>
      </c>
      <c r="H194" s="27">
        <v>2479.5682544400001</v>
      </c>
      <c r="K194" s="15" t="s">
        <v>26</v>
      </c>
      <c r="L194" s="15" t="s">
        <v>377</v>
      </c>
    </row>
    <row r="195" spans="1:12">
      <c r="A195" s="24">
        <v>214</v>
      </c>
      <c r="B195" s="15" t="s">
        <v>56</v>
      </c>
      <c r="C195" s="23">
        <v>780719.27370000002</v>
      </c>
      <c r="D195" s="23">
        <v>2420932.3250000002</v>
      </c>
      <c r="E195" s="15">
        <v>481</v>
      </c>
      <c r="F195" s="15" t="s">
        <v>256</v>
      </c>
      <c r="G195" s="27">
        <v>1486.68</v>
      </c>
      <c r="H195" s="27">
        <v>1192.74541546</v>
      </c>
      <c r="I195" s="15" t="s">
        <v>55</v>
      </c>
      <c r="K195" s="15" t="s">
        <v>30</v>
      </c>
      <c r="L195" s="15" t="s">
        <v>377</v>
      </c>
    </row>
    <row r="196" spans="1:12">
      <c r="A196" s="24">
        <v>215</v>
      </c>
      <c r="B196" s="15" t="s">
        <v>56</v>
      </c>
      <c r="C196" s="23">
        <v>779252.56339999998</v>
      </c>
      <c r="D196" s="23">
        <v>2421989.4219999998</v>
      </c>
      <c r="E196" s="15">
        <v>693</v>
      </c>
      <c r="F196" s="15" t="s">
        <v>257</v>
      </c>
      <c r="G196" s="27">
        <v>0</v>
      </c>
      <c r="H196" s="27">
        <v>677.87019851399998</v>
      </c>
      <c r="K196" s="15" t="s">
        <v>24</v>
      </c>
      <c r="L196" s="15" t="s">
        <v>377</v>
      </c>
    </row>
    <row r="197" spans="1:12">
      <c r="A197" s="24">
        <v>216</v>
      </c>
      <c r="B197" s="15" t="s">
        <v>56</v>
      </c>
      <c r="C197" s="23">
        <v>778780.12089999998</v>
      </c>
      <c r="D197" s="23">
        <v>2422525.3220000002</v>
      </c>
      <c r="E197" s="15">
        <v>542</v>
      </c>
      <c r="F197" s="15" t="s">
        <v>258</v>
      </c>
      <c r="G197" s="27">
        <v>3369.65</v>
      </c>
      <c r="H197" s="27">
        <v>8397.0597009100002</v>
      </c>
      <c r="I197" s="15" t="s">
        <v>55</v>
      </c>
      <c r="K197" s="15" t="s">
        <v>24</v>
      </c>
      <c r="L197" s="15" t="s">
        <v>377</v>
      </c>
    </row>
    <row r="198" spans="1:12">
      <c r="A198" s="24">
        <v>217</v>
      </c>
      <c r="B198" s="15" t="s">
        <v>56</v>
      </c>
      <c r="C198" s="23">
        <v>780222.9852</v>
      </c>
      <c r="D198" s="23">
        <v>2421737.4900000002</v>
      </c>
      <c r="E198" s="15">
        <v>483</v>
      </c>
      <c r="F198" s="15" t="s">
        <v>259</v>
      </c>
      <c r="G198" s="27">
        <v>1366.69</v>
      </c>
      <c r="H198" s="27">
        <v>2490.4891696</v>
      </c>
      <c r="I198" s="15" t="s">
        <v>55</v>
      </c>
      <c r="K198" s="15" t="s">
        <v>30</v>
      </c>
      <c r="L198" s="15" t="s">
        <v>377</v>
      </c>
    </row>
    <row r="199" spans="1:12">
      <c r="A199" s="24">
        <v>218</v>
      </c>
      <c r="B199" s="15" t="s">
        <v>56</v>
      </c>
      <c r="C199" s="23">
        <v>779743.80299999996</v>
      </c>
      <c r="D199" s="23">
        <v>2421412.3829999999</v>
      </c>
      <c r="E199" s="15">
        <v>618</v>
      </c>
      <c r="F199" s="15" t="s">
        <v>260</v>
      </c>
      <c r="G199" s="27">
        <v>1514.92</v>
      </c>
      <c r="H199" s="27">
        <v>2569.9371676400001</v>
      </c>
      <c r="K199" s="15" t="s">
        <v>30</v>
      </c>
      <c r="L199" s="15" t="s">
        <v>377</v>
      </c>
    </row>
    <row r="200" spans="1:12">
      <c r="A200" s="24">
        <v>219</v>
      </c>
      <c r="B200" s="15" t="s">
        <v>56</v>
      </c>
      <c r="C200" s="23">
        <v>779686.6115</v>
      </c>
      <c r="D200" s="23">
        <v>2421876.9169999999</v>
      </c>
      <c r="E200" s="15">
        <v>486</v>
      </c>
      <c r="F200" s="15" t="s">
        <v>261</v>
      </c>
      <c r="G200" s="27">
        <v>207.67</v>
      </c>
      <c r="H200" s="27">
        <v>854.10857654300003</v>
      </c>
      <c r="I200" s="15" t="s">
        <v>55</v>
      </c>
      <c r="K200" s="15" t="s">
        <v>30</v>
      </c>
      <c r="L200" s="15" t="s">
        <v>377</v>
      </c>
    </row>
    <row r="201" spans="1:12">
      <c r="A201" s="24">
        <v>220</v>
      </c>
      <c r="B201" s="15" t="s">
        <v>56</v>
      </c>
      <c r="C201" s="23">
        <v>782315.51580000005</v>
      </c>
      <c r="D201" s="23">
        <v>2422723.2990000001</v>
      </c>
      <c r="E201" s="15">
        <v>537</v>
      </c>
      <c r="F201" s="15" t="s">
        <v>262</v>
      </c>
      <c r="G201" s="27">
        <v>6233.56</v>
      </c>
      <c r="H201" s="27">
        <v>67021.661932500007</v>
      </c>
      <c r="I201" s="15" t="s">
        <v>55</v>
      </c>
      <c r="K201" s="15" t="s">
        <v>31</v>
      </c>
      <c r="L201" s="15" t="s">
        <v>377</v>
      </c>
    </row>
    <row r="202" spans="1:12">
      <c r="A202" s="24">
        <v>221</v>
      </c>
      <c r="B202" s="15" t="s">
        <v>73</v>
      </c>
      <c r="C202" s="23">
        <v>781816.97050000005</v>
      </c>
      <c r="D202" s="23">
        <v>2414026.0299999998</v>
      </c>
      <c r="E202" s="15">
        <v>664</v>
      </c>
      <c r="F202" s="15" t="s">
        <v>368</v>
      </c>
      <c r="G202" s="27">
        <v>0</v>
      </c>
      <c r="H202" s="27">
        <v>1992.6858773700001</v>
      </c>
      <c r="K202" s="15" t="s">
        <v>28</v>
      </c>
      <c r="L202" s="15" t="s">
        <v>377</v>
      </c>
    </row>
    <row r="203" spans="1:12">
      <c r="A203" s="24">
        <v>222</v>
      </c>
      <c r="B203" s="15" t="s">
        <v>71</v>
      </c>
      <c r="C203" s="23">
        <v>779341.51370000001</v>
      </c>
      <c r="D203" s="23">
        <v>2417350.8489999999</v>
      </c>
      <c r="E203" s="15">
        <v>660</v>
      </c>
      <c r="F203" s="15" t="s">
        <v>263</v>
      </c>
      <c r="G203" s="27">
        <v>0</v>
      </c>
      <c r="H203" s="27">
        <v>3546.3557007200002</v>
      </c>
      <c r="K203" s="15" t="s">
        <v>25</v>
      </c>
      <c r="L203" s="15" t="s">
        <v>377</v>
      </c>
    </row>
    <row r="204" spans="1:12">
      <c r="A204" s="24">
        <v>223</v>
      </c>
      <c r="B204" s="15" t="s">
        <v>56</v>
      </c>
      <c r="C204" s="23">
        <v>779454.53619999997</v>
      </c>
      <c r="D204" s="23">
        <v>2421938.98</v>
      </c>
      <c r="E204" s="15">
        <v>544</v>
      </c>
      <c r="F204" s="15" t="s">
        <v>264</v>
      </c>
      <c r="G204" s="27">
        <v>476.34</v>
      </c>
      <c r="H204" s="27">
        <v>2912.8747516399999</v>
      </c>
      <c r="I204" s="15" t="s">
        <v>55</v>
      </c>
      <c r="K204" s="15" t="s">
        <v>24</v>
      </c>
      <c r="L204" s="15" t="s">
        <v>377</v>
      </c>
    </row>
    <row r="205" spans="1:12">
      <c r="A205" s="24">
        <v>224</v>
      </c>
      <c r="B205" s="15" t="s">
        <v>135</v>
      </c>
      <c r="C205" s="23">
        <v>783269.34820000001</v>
      </c>
      <c r="D205" s="23">
        <v>2420659.5389999999</v>
      </c>
      <c r="E205" s="15">
        <v>640</v>
      </c>
      <c r="F205" s="15" t="s">
        <v>265</v>
      </c>
      <c r="G205" s="27">
        <v>0</v>
      </c>
      <c r="H205" s="27">
        <v>478285.42283900001</v>
      </c>
      <c r="K205" s="15" t="s">
        <v>27</v>
      </c>
      <c r="L205" s="15" t="s">
        <v>377</v>
      </c>
    </row>
    <row r="206" spans="1:12">
      <c r="A206" s="24">
        <v>225</v>
      </c>
      <c r="B206" s="15" t="s">
        <v>75</v>
      </c>
      <c r="C206" s="23">
        <v>776934.47569999995</v>
      </c>
      <c r="D206" s="23">
        <v>2420369.304</v>
      </c>
      <c r="E206" s="15">
        <v>383</v>
      </c>
      <c r="F206" s="15" t="s">
        <v>266</v>
      </c>
      <c r="G206" s="27">
        <v>1745.05</v>
      </c>
      <c r="H206" s="27">
        <v>4498.7584405400003</v>
      </c>
      <c r="I206" s="15" t="s">
        <v>55</v>
      </c>
      <c r="K206" s="15" t="s">
        <v>29</v>
      </c>
      <c r="L206" s="15" t="s">
        <v>377</v>
      </c>
    </row>
    <row r="207" spans="1:12">
      <c r="A207" s="24">
        <v>226</v>
      </c>
      <c r="B207" s="15" t="s">
        <v>69</v>
      </c>
      <c r="C207" s="23">
        <v>776791.16839999997</v>
      </c>
      <c r="D207" s="23">
        <v>2422598.6940000001</v>
      </c>
      <c r="E207" s="15">
        <v>36</v>
      </c>
      <c r="F207" s="15" t="s">
        <v>267</v>
      </c>
      <c r="G207" s="27">
        <v>1903</v>
      </c>
      <c r="H207" s="27">
        <v>6434.0001992500002</v>
      </c>
      <c r="I207" s="15" t="s">
        <v>55</v>
      </c>
      <c r="K207" s="15" t="s">
        <v>29</v>
      </c>
      <c r="L207" s="15" t="s">
        <v>377</v>
      </c>
    </row>
    <row r="208" spans="1:12">
      <c r="A208" s="24">
        <v>227</v>
      </c>
      <c r="B208" s="15" t="s">
        <v>73</v>
      </c>
      <c r="C208" s="23">
        <v>782091.6078</v>
      </c>
      <c r="D208" s="23">
        <v>2414409.577</v>
      </c>
      <c r="E208" s="15">
        <v>663</v>
      </c>
      <c r="F208" s="15" t="s">
        <v>268</v>
      </c>
      <c r="G208" s="27">
        <v>0</v>
      </c>
      <c r="H208" s="27">
        <v>1325.3383272799999</v>
      </c>
      <c r="K208" s="15" t="s">
        <v>28</v>
      </c>
      <c r="L208" s="15" t="s">
        <v>377</v>
      </c>
    </row>
    <row r="209" spans="1:12">
      <c r="A209" s="24">
        <v>228</v>
      </c>
      <c r="B209" s="15" t="s">
        <v>80</v>
      </c>
      <c r="C209" s="23">
        <v>783992.56409999996</v>
      </c>
      <c r="D209" s="23">
        <v>2423222.8470000001</v>
      </c>
      <c r="E209" s="15">
        <v>281</v>
      </c>
      <c r="F209" s="15" t="s">
        <v>269</v>
      </c>
      <c r="G209" s="27">
        <v>0</v>
      </c>
      <c r="H209" s="27">
        <v>2105.8726017499998</v>
      </c>
      <c r="I209" s="15" t="s">
        <v>55</v>
      </c>
      <c r="K209" s="15" t="s">
        <v>32</v>
      </c>
      <c r="L209" s="15" t="s">
        <v>377</v>
      </c>
    </row>
    <row r="210" spans="1:12">
      <c r="A210" s="24">
        <v>229</v>
      </c>
      <c r="B210" s="15" t="s">
        <v>71</v>
      </c>
      <c r="C210" s="23">
        <v>779284.87730000005</v>
      </c>
      <c r="D210" s="23">
        <v>2416571.2599999998</v>
      </c>
      <c r="E210" s="15">
        <v>661</v>
      </c>
      <c r="F210" s="15" t="s">
        <v>270</v>
      </c>
      <c r="G210" s="27">
        <v>0</v>
      </c>
      <c r="H210" s="27">
        <v>8051.1646860199999</v>
      </c>
      <c r="K210" s="15" t="s">
        <v>25</v>
      </c>
      <c r="L210" s="15" t="s">
        <v>377</v>
      </c>
    </row>
    <row r="211" spans="1:12">
      <c r="A211" s="24">
        <v>230</v>
      </c>
      <c r="B211" s="15" t="s">
        <v>97</v>
      </c>
      <c r="C211" s="23">
        <v>786781.97</v>
      </c>
      <c r="D211" s="23">
        <v>2422321.7510000002</v>
      </c>
      <c r="E211" s="15">
        <v>690</v>
      </c>
      <c r="F211" s="15" t="s">
        <v>271</v>
      </c>
      <c r="G211" s="27">
        <v>0</v>
      </c>
      <c r="H211" s="27">
        <v>5262.8770895400003</v>
      </c>
      <c r="K211" s="15" t="s">
        <v>32</v>
      </c>
      <c r="L211" s="15" t="s">
        <v>377</v>
      </c>
    </row>
    <row r="212" spans="1:12">
      <c r="A212" s="24">
        <v>231</v>
      </c>
      <c r="B212" s="15" t="s">
        <v>78</v>
      </c>
      <c r="C212" s="23">
        <v>775726.47439999995</v>
      </c>
      <c r="D212" s="23">
        <v>2420362.7650000001</v>
      </c>
      <c r="E212" s="15">
        <v>712</v>
      </c>
      <c r="F212" s="15" t="s">
        <v>272</v>
      </c>
      <c r="G212" s="27">
        <v>0</v>
      </c>
      <c r="H212" s="27">
        <v>7217.2414938900001</v>
      </c>
      <c r="K212" s="15" t="s">
        <v>29</v>
      </c>
      <c r="L212" s="15" t="s">
        <v>377</v>
      </c>
    </row>
    <row r="213" spans="1:12">
      <c r="A213" s="24">
        <v>232</v>
      </c>
      <c r="B213" s="15" t="s">
        <v>97</v>
      </c>
      <c r="C213" s="23">
        <v>785741.24719999998</v>
      </c>
      <c r="D213" s="23">
        <v>2426036.6910000001</v>
      </c>
      <c r="E213" s="15">
        <v>683</v>
      </c>
      <c r="F213" s="15" t="s">
        <v>273</v>
      </c>
      <c r="G213" s="27">
        <v>0</v>
      </c>
      <c r="H213" s="27">
        <v>6877.0208755699996</v>
      </c>
      <c r="K213" s="15" t="s">
        <v>34</v>
      </c>
      <c r="L213" s="15" t="s">
        <v>377</v>
      </c>
    </row>
    <row r="214" spans="1:12">
      <c r="A214" s="24">
        <v>233</v>
      </c>
      <c r="B214" s="15" t="s">
        <v>374</v>
      </c>
      <c r="C214" s="23">
        <v>789010.12509999995</v>
      </c>
      <c r="D214" s="23">
        <v>2435514.89</v>
      </c>
      <c r="E214" s="15">
        <v>699</v>
      </c>
      <c r="F214" s="15" t="s">
        <v>274</v>
      </c>
      <c r="G214" s="27">
        <v>0</v>
      </c>
      <c r="H214" s="27">
        <v>1574.8280723600001</v>
      </c>
      <c r="K214" s="15" t="s">
        <v>44</v>
      </c>
      <c r="L214" s="15" t="s">
        <v>377</v>
      </c>
    </row>
    <row r="215" spans="1:12">
      <c r="A215" s="24">
        <v>234</v>
      </c>
      <c r="B215" s="15" t="s">
        <v>80</v>
      </c>
      <c r="C215" s="23">
        <v>783164.51760000002</v>
      </c>
      <c r="D215" s="23">
        <v>2418451.7519999999</v>
      </c>
      <c r="E215" s="15">
        <v>667</v>
      </c>
      <c r="F215" s="15" t="s">
        <v>275</v>
      </c>
      <c r="G215" s="27">
        <v>0</v>
      </c>
      <c r="H215" s="27">
        <v>9780.2990087100006</v>
      </c>
      <c r="K215" s="15" t="s">
        <v>28</v>
      </c>
      <c r="L215" s="15" t="s">
        <v>377</v>
      </c>
    </row>
    <row r="216" spans="1:12">
      <c r="A216" s="24">
        <v>235</v>
      </c>
      <c r="B216" s="15" t="s">
        <v>53</v>
      </c>
      <c r="C216" s="23">
        <v>778357.34770000004</v>
      </c>
      <c r="D216" s="23">
        <v>2428564.0819999999</v>
      </c>
      <c r="E216" s="15">
        <v>18</v>
      </c>
      <c r="F216" s="15" t="s">
        <v>276</v>
      </c>
      <c r="G216" s="27">
        <v>0</v>
      </c>
      <c r="H216" s="27">
        <v>931.03938603200004</v>
      </c>
      <c r="I216" s="15" t="s">
        <v>55</v>
      </c>
      <c r="K216" s="15" t="s">
        <v>26</v>
      </c>
      <c r="L216" s="15" t="s">
        <v>377</v>
      </c>
    </row>
    <row r="217" spans="1:12">
      <c r="A217" s="24">
        <v>236</v>
      </c>
      <c r="B217" s="15" t="s">
        <v>107</v>
      </c>
      <c r="C217" s="23">
        <v>790725.88950000005</v>
      </c>
      <c r="D217" s="23">
        <v>2416487.469</v>
      </c>
      <c r="E217" s="15">
        <v>701</v>
      </c>
      <c r="F217" s="15" t="s">
        <v>277</v>
      </c>
      <c r="G217" s="27">
        <v>0</v>
      </c>
      <c r="H217" s="27">
        <v>15398.9997733</v>
      </c>
      <c r="K217" s="15" t="s">
        <v>22</v>
      </c>
      <c r="L217" s="15" t="s">
        <v>377</v>
      </c>
    </row>
    <row r="218" spans="1:12">
      <c r="A218" s="24">
        <v>237</v>
      </c>
      <c r="B218" s="15" t="s">
        <v>75</v>
      </c>
      <c r="C218" s="23">
        <v>779764.68160000001</v>
      </c>
      <c r="D218" s="23">
        <v>2420814.068</v>
      </c>
      <c r="E218" s="15">
        <v>490</v>
      </c>
      <c r="F218" s="15" t="s">
        <v>278</v>
      </c>
      <c r="G218" s="27">
        <v>49.8</v>
      </c>
      <c r="H218" s="27">
        <v>512.66364308200002</v>
      </c>
      <c r="I218" s="15" t="s">
        <v>55</v>
      </c>
      <c r="K218" s="15" t="s">
        <v>30</v>
      </c>
      <c r="L218" s="15" t="s">
        <v>377</v>
      </c>
    </row>
    <row r="219" spans="1:12">
      <c r="A219" s="24">
        <v>239</v>
      </c>
      <c r="B219" s="15" t="s">
        <v>53</v>
      </c>
      <c r="C219" s="23">
        <v>777293.27740000002</v>
      </c>
      <c r="D219" s="23">
        <v>2426838.608</v>
      </c>
      <c r="E219" s="15">
        <v>623</v>
      </c>
      <c r="F219" s="15" t="s">
        <v>279</v>
      </c>
      <c r="G219" s="27">
        <v>4949.13</v>
      </c>
      <c r="H219" s="27">
        <v>705.66215425899998</v>
      </c>
      <c r="K219" s="15" t="s">
        <v>26</v>
      </c>
      <c r="L219" s="15" t="s">
        <v>377</v>
      </c>
    </row>
    <row r="220" spans="1:12">
      <c r="A220" s="24">
        <v>240</v>
      </c>
      <c r="B220" s="15" t="s">
        <v>53</v>
      </c>
      <c r="C220" s="23">
        <v>777213.33299999998</v>
      </c>
      <c r="D220" s="23">
        <v>2426804.0690000001</v>
      </c>
      <c r="E220" s="15">
        <v>45</v>
      </c>
      <c r="F220" s="15" t="s">
        <v>279</v>
      </c>
      <c r="G220" s="27">
        <v>4949.13</v>
      </c>
      <c r="H220" s="27">
        <v>11568.0990654</v>
      </c>
      <c r="I220" s="15" t="s">
        <v>55</v>
      </c>
      <c r="K220" s="15" t="s">
        <v>26</v>
      </c>
      <c r="L220" s="15" t="s">
        <v>377</v>
      </c>
    </row>
    <row r="221" spans="1:12">
      <c r="A221" s="24">
        <v>241</v>
      </c>
      <c r="B221" s="15" t="s">
        <v>53</v>
      </c>
      <c r="C221" s="23">
        <v>777846.73369999998</v>
      </c>
      <c r="D221" s="23">
        <v>2425105.9950000001</v>
      </c>
      <c r="E221" s="15">
        <v>40</v>
      </c>
      <c r="F221" s="15" t="s">
        <v>280</v>
      </c>
      <c r="G221" s="27">
        <v>2224</v>
      </c>
      <c r="H221" s="27">
        <v>2571.1044495400001</v>
      </c>
      <c r="I221" s="15" t="s">
        <v>55</v>
      </c>
      <c r="K221" s="15" t="s">
        <v>26</v>
      </c>
      <c r="L221" s="15" t="s">
        <v>377</v>
      </c>
    </row>
    <row r="222" spans="1:12">
      <c r="A222" s="24">
        <v>242</v>
      </c>
      <c r="B222" s="15" t="s">
        <v>53</v>
      </c>
      <c r="C222" s="23">
        <v>777461.67960000003</v>
      </c>
      <c r="D222" s="23">
        <v>2425181.821</v>
      </c>
      <c r="E222" s="15">
        <v>41</v>
      </c>
      <c r="F222" s="15" t="s">
        <v>281</v>
      </c>
      <c r="G222" s="27">
        <v>3495</v>
      </c>
      <c r="H222" s="27">
        <v>3735.19621998</v>
      </c>
      <c r="I222" s="15" t="s">
        <v>55</v>
      </c>
      <c r="K222" s="15" t="s">
        <v>26</v>
      </c>
      <c r="L222" s="15" t="s">
        <v>377</v>
      </c>
    </row>
    <row r="223" spans="1:12">
      <c r="A223" s="24">
        <v>243</v>
      </c>
      <c r="B223" s="15" t="s">
        <v>69</v>
      </c>
      <c r="C223" s="23">
        <v>777979.86450000003</v>
      </c>
      <c r="D223" s="23">
        <v>2424292.645</v>
      </c>
      <c r="E223" s="15">
        <v>28</v>
      </c>
      <c r="F223" s="15" t="s">
        <v>282</v>
      </c>
      <c r="G223" s="27">
        <v>3814.32</v>
      </c>
      <c r="H223" s="27">
        <v>6040.8550509899997</v>
      </c>
      <c r="I223" s="15" t="s">
        <v>55</v>
      </c>
      <c r="K223" s="15" t="s">
        <v>26</v>
      </c>
      <c r="L223" s="15" t="s">
        <v>377</v>
      </c>
    </row>
    <row r="224" spans="1:12">
      <c r="A224" s="24">
        <v>244</v>
      </c>
      <c r="B224" s="15" t="s">
        <v>69</v>
      </c>
      <c r="C224" s="23">
        <v>776852.94979999994</v>
      </c>
      <c r="D224" s="23">
        <v>2423688.9989999998</v>
      </c>
      <c r="E224" s="15">
        <v>3</v>
      </c>
      <c r="F224" s="15" t="s">
        <v>283</v>
      </c>
      <c r="G224" s="27">
        <v>574.63</v>
      </c>
      <c r="H224" s="27">
        <v>1003.55692484</v>
      </c>
      <c r="I224" s="15" t="s">
        <v>55</v>
      </c>
      <c r="K224" s="15" t="s">
        <v>26</v>
      </c>
      <c r="L224" s="15" t="s">
        <v>377</v>
      </c>
    </row>
    <row r="225" spans="1:12">
      <c r="A225" s="24">
        <v>245</v>
      </c>
      <c r="B225" s="15" t="s">
        <v>53</v>
      </c>
      <c r="C225" s="23">
        <v>778895.12</v>
      </c>
      <c r="D225" s="23">
        <v>2428364.1009999998</v>
      </c>
      <c r="E225" s="15">
        <v>18</v>
      </c>
      <c r="F225" s="15" t="s">
        <v>276</v>
      </c>
      <c r="G225" s="27">
        <v>0</v>
      </c>
      <c r="H225" s="27">
        <v>1490.5000850599999</v>
      </c>
      <c r="I225" s="15" t="s">
        <v>55</v>
      </c>
      <c r="K225" s="15" t="s">
        <v>26</v>
      </c>
      <c r="L225" s="15" t="s">
        <v>377</v>
      </c>
    </row>
    <row r="226" spans="1:12">
      <c r="A226" s="24">
        <v>246</v>
      </c>
      <c r="B226" s="15" t="s">
        <v>75</v>
      </c>
      <c r="C226" s="23">
        <v>778074.38089999999</v>
      </c>
      <c r="D226" s="23">
        <v>2419352.3459999999</v>
      </c>
      <c r="E226" s="15">
        <v>399</v>
      </c>
      <c r="F226" s="15" t="s">
        <v>284</v>
      </c>
      <c r="G226" s="27">
        <v>1994.02</v>
      </c>
      <c r="H226" s="27">
        <v>8259.6869980600004</v>
      </c>
      <c r="I226" s="15" t="s">
        <v>55</v>
      </c>
      <c r="K226" s="15" t="s">
        <v>24</v>
      </c>
      <c r="L226" s="15" t="s">
        <v>377</v>
      </c>
    </row>
    <row r="227" spans="1:12">
      <c r="A227" s="24">
        <v>247</v>
      </c>
      <c r="B227" s="15" t="s">
        <v>75</v>
      </c>
      <c r="C227" s="23">
        <v>778890.4436</v>
      </c>
      <c r="D227" s="23">
        <v>2419830.85</v>
      </c>
      <c r="E227" s="15">
        <v>569</v>
      </c>
      <c r="F227" s="15" t="s">
        <v>134</v>
      </c>
      <c r="G227" s="27">
        <v>19316.759999999998</v>
      </c>
      <c r="H227" s="27">
        <v>4531.7199217400002</v>
      </c>
      <c r="K227" s="15" t="s">
        <v>24</v>
      </c>
      <c r="L227" s="15" t="s">
        <v>377</v>
      </c>
    </row>
    <row r="228" spans="1:12">
      <c r="A228" s="24">
        <v>249</v>
      </c>
      <c r="B228" s="15" t="s">
        <v>78</v>
      </c>
      <c r="C228" s="23">
        <v>774901.0257</v>
      </c>
      <c r="D228" s="23">
        <v>2418976.2200000002</v>
      </c>
      <c r="E228" s="15">
        <v>407</v>
      </c>
      <c r="F228" s="15" t="s">
        <v>285</v>
      </c>
      <c r="G228" s="27">
        <v>378.01150000000001</v>
      </c>
      <c r="H228" s="27">
        <v>1471.01334767</v>
      </c>
      <c r="I228" s="15" t="s">
        <v>55</v>
      </c>
      <c r="K228" s="15" t="s">
        <v>29</v>
      </c>
      <c r="L228" s="15" t="s">
        <v>377</v>
      </c>
    </row>
    <row r="229" spans="1:12">
      <c r="A229" s="24">
        <v>250</v>
      </c>
      <c r="B229" s="15" t="s">
        <v>78</v>
      </c>
      <c r="C229" s="23">
        <v>774838.75710000005</v>
      </c>
      <c r="D229" s="23">
        <v>2418950.4759999998</v>
      </c>
      <c r="E229" s="15">
        <v>387</v>
      </c>
      <c r="F229" s="15" t="s">
        <v>286</v>
      </c>
      <c r="G229" s="27">
        <v>2552.38</v>
      </c>
      <c r="H229" s="27">
        <v>3181.7421040700001</v>
      </c>
      <c r="I229" s="15" t="s">
        <v>55</v>
      </c>
      <c r="K229" s="15" t="s">
        <v>29</v>
      </c>
      <c r="L229" s="15" t="s">
        <v>377</v>
      </c>
    </row>
    <row r="230" spans="1:12">
      <c r="A230" s="24">
        <v>251</v>
      </c>
      <c r="B230" s="15" t="s">
        <v>56</v>
      </c>
      <c r="C230" s="23">
        <v>779710.31909999996</v>
      </c>
      <c r="D230" s="23">
        <v>2421880.6189999999</v>
      </c>
      <c r="E230" s="15">
        <v>564</v>
      </c>
      <c r="F230" s="15" t="s">
        <v>287</v>
      </c>
      <c r="G230" s="27">
        <v>207.67</v>
      </c>
      <c r="H230" s="27">
        <v>242.253894188</v>
      </c>
      <c r="K230" s="15" t="s">
        <v>30</v>
      </c>
      <c r="L230" s="15" t="s">
        <v>377</v>
      </c>
    </row>
    <row r="231" spans="1:12">
      <c r="A231" s="24">
        <v>252</v>
      </c>
      <c r="B231" s="15" t="s">
        <v>56</v>
      </c>
      <c r="C231" s="23">
        <v>779446.02489999996</v>
      </c>
      <c r="D231" s="23">
        <v>2422423.855</v>
      </c>
      <c r="E231" s="15">
        <v>619</v>
      </c>
      <c r="F231" s="15" t="s">
        <v>60</v>
      </c>
      <c r="G231" s="27">
        <v>141.77000000000001</v>
      </c>
      <c r="H231" s="27">
        <v>529.35499780600003</v>
      </c>
      <c r="K231" s="15" t="s">
        <v>30</v>
      </c>
      <c r="L231" s="15" t="s">
        <v>377</v>
      </c>
    </row>
    <row r="232" spans="1:12">
      <c r="A232" s="24">
        <v>254</v>
      </c>
      <c r="B232" s="15" t="s">
        <v>97</v>
      </c>
      <c r="C232" s="23">
        <v>785243.5379</v>
      </c>
      <c r="D232" s="23">
        <v>2420872.3730000001</v>
      </c>
      <c r="E232" s="15">
        <v>242</v>
      </c>
      <c r="F232" s="15" t="s">
        <v>288</v>
      </c>
      <c r="G232" s="27">
        <v>2780.06</v>
      </c>
      <c r="H232" s="27">
        <v>5043.4246723699998</v>
      </c>
      <c r="I232" s="15" t="s">
        <v>55</v>
      </c>
      <c r="K232" s="15" t="s">
        <v>32</v>
      </c>
      <c r="L232" s="15" t="s">
        <v>377</v>
      </c>
    </row>
    <row r="233" spans="1:12">
      <c r="A233" s="24">
        <v>255</v>
      </c>
      <c r="B233" s="15" t="s">
        <v>80</v>
      </c>
      <c r="C233" s="23">
        <v>783862.91819999996</v>
      </c>
      <c r="D233" s="23">
        <v>2422810.6860000002</v>
      </c>
      <c r="E233" s="15">
        <v>246</v>
      </c>
      <c r="F233" s="15" t="s">
        <v>289</v>
      </c>
      <c r="G233" s="27">
        <v>798.94420000000002</v>
      </c>
      <c r="H233" s="27">
        <v>1804.05695352</v>
      </c>
      <c r="I233" s="15" t="s">
        <v>55</v>
      </c>
      <c r="K233" s="15" t="s">
        <v>33</v>
      </c>
      <c r="L233" s="15" t="s">
        <v>377</v>
      </c>
    </row>
    <row r="234" spans="1:12">
      <c r="A234" s="24">
        <v>256</v>
      </c>
      <c r="B234" s="15" t="s">
        <v>80</v>
      </c>
      <c r="C234" s="23">
        <v>783855.23450000002</v>
      </c>
      <c r="D234" s="23">
        <v>2422749.7370000002</v>
      </c>
      <c r="E234" s="15">
        <v>248</v>
      </c>
      <c r="F234" s="15" t="s">
        <v>290</v>
      </c>
      <c r="G234" s="27">
        <v>1049.7383</v>
      </c>
      <c r="H234" s="27">
        <v>1937.8141657399999</v>
      </c>
      <c r="I234" s="15" t="s">
        <v>55</v>
      </c>
      <c r="K234" s="15" t="s">
        <v>33</v>
      </c>
      <c r="L234" s="15" t="s">
        <v>377</v>
      </c>
    </row>
    <row r="235" spans="1:12">
      <c r="A235" s="24">
        <v>257</v>
      </c>
      <c r="B235" s="15" t="s">
        <v>80</v>
      </c>
      <c r="C235" s="23">
        <v>783583.29059999995</v>
      </c>
      <c r="D235" s="23">
        <v>2423266.9730000002</v>
      </c>
      <c r="E235" s="15">
        <v>253</v>
      </c>
      <c r="F235" s="15" t="s">
        <v>291</v>
      </c>
      <c r="G235" s="27">
        <v>415.96</v>
      </c>
      <c r="H235" s="27">
        <v>2136.59546013</v>
      </c>
      <c r="I235" s="15" t="s">
        <v>55</v>
      </c>
      <c r="K235" s="15" t="s">
        <v>33</v>
      </c>
      <c r="L235" s="15" t="s">
        <v>377</v>
      </c>
    </row>
    <row r="236" spans="1:12">
      <c r="A236" s="24">
        <v>258</v>
      </c>
      <c r="B236" s="15" t="s">
        <v>67</v>
      </c>
      <c r="C236" s="23">
        <v>780889.94279999996</v>
      </c>
      <c r="D236" s="23">
        <v>2420125.3229999999</v>
      </c>
      <c r="E236" s="15">
        <v>489</v>
      </c>
      <c r="F236" s="15" t="s">
        <v>292</v>
      </c>
      <c r="G236" s="27">
        <v>1320.3</v>
      </c>
      <c r="H236" s="27">
        <v>4638.9499825700004</v>
      </c>
      <c r="I236" s="15" t="s">
        <v>55</v>
      </c>
      <c r="K236" s="15" t="s">
        <v>30</v>
      </c>
      <c r="L236" s="15" t="s">
        <v>377</v>
      </c>
    </row>
    <row r="237" spans="1:12">
      <c r="A237" s="24">
        <v>259</v>
      </c>
      <c r="B237" s="15" t="s">
        <v>56</v>
      </c>
      <c r="C237" s="23">
        <v>779285.02789999999</v>
      </c>
      <c r="D237" s="23">
        <v>2421132.5260000001</v>
      </c>
      <c r="E237" s="15">
        <v>621</v>
      </c>
      <c r="F237" s="15" t="s">
        <v>293</v>
      </c>
      <c r="G237" s="27">
        <v>594.13</v>
      </c>
      <c r="H237" s="27">
        <v>638.47260281700005</v>
      </c>
      <c r="K237" s="15" t="s">
        <v>24</v>
      </c>
      <c r="L237" s="15" t="s">
        <v>377</v>
      </c>
    </row>
    <row r="238" spans="1:12">
      <c r="A238" s="24">
        <v>260</v>
      </c>
      <c r="B238" s="15" t="s">
        <v>56</v>
      </c>
      <c r="C238" s="23">
        <v>779286.35360000003</v>
      </c>
      <c r="D238" s="23">
        <v>2421117.7220000001</v>
      </c>
      <c r="E238" s="15">
        <v>365</v>
      </c>
      <c r="F238" s="15" t="s">
        <v>293</v>
      </c>
      <c r="G238" s="27">
        <v>594.13</v>
      </c>
      <c r="H238" s="27">
        <v>987.696745781</v>
      </c>
      <c r="I238" s="15" t="s">
        <v>55</v>
      </c>
      <c r="K238" s="15" t="s">
        <v>24</v>
      </c>
      <c r="L238" s="15" t="s">
        <v>377</v>
      </c>
    </row>
    <row r="239" spans="1:12">
      <c r="A239" s="24">
        <v>261</v>
      </c>
      <c r="B239" s="15" t="s">
        <v>75</v>
      </c>
      <c r="C239" s="23">
        <v>779037.8835</v>
      </c>
      <c r="D239" s="23">
        <v>2421174.8709999998</v>
      </c>
      <c r="E239" s="15">
        <v>367</v>
      </c>
      <c r="F239" s="15" t="s">
        <v>294</v>
      </c>
      <c r="G239" s="27">
        <v>1204.81</v>
      </c>
      <c r="H239" s="27">
        <v>1661.6223942300001</v>
      </c>
      <c r="I239" s="15" t="s">
        <v>55</v>
      </c>
      <c r="K239" s="15" t="s">
        <v>24</v>
      </c>
      <c r="L239" s="15" t="s">
        <v>377</v>
      </c>
    </row>
    <row r="240" spans="1:12">
      <c r="A240" s="24">
        <v>262</v>
      </c>
      <c r="B240" s="15" t="s">
        <v>56</v>
      </c>
      <c r="C240" s="23">
        <v>780265.26190000004</v>
      </c>
      <c r="D240" s="23">
        <v>2421730.2370000002</v>
      </c>
      <c r="E240" s="15">
        <v>620</v>
      </c>
      <c r="F240" s="15" t="s">
        <v>259</v>
      </c>
      <c r="G240" s="27">
        <v>1366.69</v>
      </c>
      <c r="H240" s="27">
        <v>213.02791867400001</v>
      </c>
      <c r="K240" s="15" t="s">
        <v>30</v>
      </c>
      <c r="L240" s="15" t="s">
        <v>377</v>
      </c>
    </row>
    <row r="241" spans="1:12">
      <c r="A241" s="24">
        <v>263</v>
      </c>
      <c r="B241" s="15" t="s">
        <v>71</v>
      </c>
      <c r="C241" s="23">
        <v>778998.35430000001</v>
      </c>
      <c r="D241" s="23">
        <v>2418095.923</v>
      </c>
      <c r="E241" s="15">
        <v>391</v>
      </c>
      <c r="F241" s="15" t="s">
        <v>295</v>
      </c>
      <c r="G241" s="27">
        <v>464.22890000000001</v>
      </c>
      <c r="H241" s="27">
        <v>1814.88475159</v>
      </c>
      <c r="I241" s="15" t="s">
        <v>55</v>
      </c>
      <c r="K241" s="15" t="s">
        <v>25</v>
      </c>
      <c r="L241" s="15" t="s">
        <v>377</v>
      </c>
    </row>
    <row r="242" spans="1:12">
      <c r="A242" s="24">
        <v>264</v>
      </c>
      <c r="B242" s="15" t="s">
        <v>71</v>
      </c>
      <c r="C242" s="23">
        <v>779418.90330000001</v>
      </c>
      <c r="D242" s="23">
        <v>2418177.8450000002</v>
      </c>
      <c r="E242" s="15">
        <v>382</v>
      </c>
      <c r="F242" s="15" t="s">
        <v>296</v>
      </c>
      <c r="G242" s="27">
        <v>315.39</v>
      </c>
      <c r="H242" s="27">
        <v>323.54306229399998</v>
      </c>
      <c r="I242" s="15" t="s">
        <v>55</v>
      </c>
      <c r="K242" s="15" t="s">
        <v>28</v>
      </c>
      <c r="L242" s="15" t="s">
        <v>377</v>
      </c>
    </row>
    <row r="243" spans="1:12">
      <c r="A243" s="24">
        <v>265</v>
      </c>
      <c r="B243" s="15" t="s">
        <v>80</v>
      </c>
      <c r="C243" s="23">
        <v>784151.72490000003</v>
      </c>
      <c r="D243" s="23">
        <v>2419007.665</v>
      </c>
      <c r="E243" s="15">
        <v>505</v>
      </c>
      <c r="F243" s="15" t="s">
        <v>297</v>
      </c>
      <c r="G243" s="27">
        <v>1452.3</v>
      </c>
      <c r="H243" s="27">
        <v>1953.65735045</v>
      </c>
      <c r="I243" s="15" t="s">
        <v>55</v>
      </c>
      <c r="K243" s="15" t="s">
        <v>33</v>
      </c>
      <c r="L243" s="15" t="s">
        <v>377</v>
      </c>
    </row>
    <row r="244" spans="1:12">
      <c r="A244" s="24">
        <v>266</v>
      </c>
      <c r="B244" s="15" t="s">
        <v>80</v>
      </c>
      <c r="C244" s="23">
        <v>784552.25569999998</v>
      </c>
      <c r="D244" s="23">
        <v>2420277.727</v>
      </c>
      <c r="E244" s="15">
        <v>508</v>
      </c>
      <c r="F244" s="15" t="s">
        <v>298</v>
      </c>
      <c r="G244" s="27">
        <v>244.11</v>
      </c>
      <c r="H244" s="27">
        <v>1425.2252331499999</v>
      </c>
      <c r="I244" s="15" t="s">
        <v>55</v>
      </c>
      <c r="K244" s="15" t="s">
        <v>33</v>
      </c>
      <c r="L244" s="15" t="s">
        <v>377</v>
      </c>
    </row>
    <row r="245" spans="1:12">
      <c r="A245" s="24">
        <v>267</v>
      </c>
      <c r="B245" s="15" t="s">
        <v>80</v>
      </c>
      <c r="C245" s="23">
        <v>783575.38820000004</v>
      </c>
      <c r="D245" s="23">
        <v>2421996.983</v>
      </c>
      <c r="E245" s="15">
        <v>256</v>
      </c>
      <c r="F245" s="15" t="s">
        <v>299</v>
      </c>
      <c r="G245" s="27">
        <v>1174</v>
      </c>
      <c r="H245" s="27">
        <v>1896.20518262</v>
      </c>
      <c r="I245" s="15" t="s">
        <v>55</v>
      </c>
      <c r="K245" s="15" t="s">
        <v>33</v>
      </c>
      <c r="L245" s="15" t="s">
        <v>377</v>
      </c>
    </row>
    <row r="246" spans="1:12">
      <c r="A246" s="24">
        <v>268</v>
      </c>
      <c r="B246" s="15" t="s">
        <v>65</v>
      </c>
      <c r="C246" s="23">
        <v>781277.12890000001</v>
      </c>
      <c r="D246" s="23">
        <v>2424004.861</v>
      </c>
      <c r="E246" s="15">
        <v>260</v>
      </c>
      <c r="F246" s="15" t="s">
        <v>300</v>
      </c>
      <c r="G246" s="27">
        <v>1630.45</v>
      </c>
      <c r="H246" s="27">
        <v>2396.2385064999999</v>
      </c>
      <c r="I246" s="15" t="s">
        <v>55</v>
      </c>
      <c r="K246" s="15" t="s">
        <v>31</v>
      </c>
      <c r="L246" s="15" t="s">
        <v>377</v>
      </c>
    </row>
    <row r="247" spans="1:12">
      <c r="A247" s="24">
        <v>269</v>
      </c>
      <c r="B247" s="15" t="s">
        <v>65</v>
      </c>
      <c r="C247" s="23">
        <v>781641.73549999995</v>
      </c>
      <c r="D247" s="23">
        <v>2423988.6189999999</v>
      </c>
      <c r="E247" s="15">
        <v>234</v>
      </c>
      <c r="F247" s="15" t="s">
        <v>301</v>
      </c>
      <c r="G247" s="27">
        <v>4021.37</v>
      </c>
      <c r="H247" s="27">
        <v>7662.6866479500004</v>
      </c>
      <c r="I247" s="15" t="s">
        <v>55</v>
      </c>
      <c r="K247" s="15" t="s">
        <v>31</v>
      </c>
      <c r="L247" s="15" t="s">
        <v>377</v>
      </c>
    </row>
    <row r="248" spans="1:12">
      <c r="A248" s="24">
        <v>270</v>
      </c>
      <c r="B248" s="15" t="s">
        <v>65</v>
      </c>
      <c r="C248" s="23">
        <v>781786.48970000003</v>
      </c>
      <c r="D248" s="23">
        <v>2423820.3849999998</v>
      </c>
      <c r="E248" s="15">
        <v>182</v>
      </c>
      <c r="F248" s="15" t="s">
        <v>302</v>
      </c>
      <c r="G248" s="27">
        <v>0</v>
      </c>
      <c r="H248" s="27">
        <v>4134.6169363099998</v>
      </c>
      <c r="K248" s="15" t="s">
        <v>31</v>
      </c>
      <c r="L248" s="15" t="s">
        <v>377</v>
      </c>
    </row>
    <row r="249" spans="1:12">
      <c r="A249" s="24">
        <v>272</v>
      </c>
      <c r="B249" s="15" t="s">
        <v>65</v>
      </c>
      <c r="C249" s="23">
        <v>781868.72470000002</v>
      </c>
      <c r="D249" s="23">
        <v>2424002.5269999998</v>
      </c>
      <c r="E249" s="15">
        <v>220</v>
      </c>
      <c r="F249" s="15" t="s">
        <v>303</v>
      </c>
      <c r="G249" s="27">
        <v>0</v>
      </c>
      <c r="H249" s="27">
        <v>346.72904914399999</v>
      </c>
      <c r="K249" s="15" t="s">
        <v>31</v>
      </c>
      <c r="L249" s="15" t="s">
        <v>377</v>
      </c>
    </row>
    <row r="250" spans="1:12">
      <c r="A250" s="24">
        <v>273</v>
      </c>
      <c r="B250" s="15" t="s">
        <v>56</v>
      </c>
      <c r="C250" s="23">
        <v>778870.3175</v>
      </c>
      <c r="D250" s="23">
        <v>2421704.1469999999</v>
      </c>
      <c r="E250" s="15">
        <v>43</v>
      </c>
      <c r="F250" s="15" t="s">
        <v>304</v>
      </c>
      <c r="G250" s="27">
        <v>139.26</v>
      </c>
      <c r="H250" s="27">
        <v>498.87127302499999</v>
      </c>
      <c r="I250" s="15" t="s">
        <v>55</v>
      </c>
      <c r="K250" s="15" t="s">
        <v>24</v>
      </c>
      <c r="L250" s="15" t="s">
        <v>377</v>
      </c>
    </row>
    <row r="251" spans="1:12">
      <c r="A251" s="24">
        <v>274</v>
      </c>
      <c r="B251" s="15" t="s">
        <v>56</v>
      </c>
      <c r="C251" s="23">
        <v>778859.76500000001</v>
      </c>
      <c r="D251" s="23">
        <v>2421717.3620000002</v>
      </c>
      <c r="E251" s="15">
        <v>622</v>
      </c>
      <c r="F251" s="15" t="s">
        <v>304</v>
      </c>
      <c r="G251" s="27">
        <v>139.26</v>
      </c>
      <c r="H251" s="27">
        <v>270.17821484699999</v>
      </c>
      <c r="K251" s="15" t="s">
        <v>24</v>
      </c>
      <c r="L251" s="15" t="s">
        <v>377</v>
      </c>
    </row>
    <row r="252" spans="1:12">
      <c r="A252" s="24">
        <v>275</v>
      </c>
      <c r="B252" s="15" t="s">
        <v>82</v>
      </c>
      <c r="C252" s="23">
        <v>771143.54460000002</v>
      </c>
      <c r="D252" s="23">
        <v>2410709.9309999999</v>
      </c>
      <c r="E252" s="15">
        <v>381</v>
      </c>
      <c r="F252" s="15" t="s">
        <v>305</v>
      </c>
      <c r="G252" s="27">
        <v>480.25</v>
      </c>
      <c r="H252" s="27">
        <v>975.44437914299999</v>
      </c>
      <c r="I252" s="15" t="s">
        <v>55</v>
      </c>
      <c r="K252" s="15" t="s">
        <v>23</v>
      </c>
      <c r="L252" s="15" t="s">
        <v>377</v>
      </c>
    </row>
    <row r="253" spans="1:12">
      <c r="A253" s="24">
        <v>276</v>
      </c>
      <c r="B253" s="15" t="s">
        <v>107</v>
      </c>
      <c r="C253" s="23">
        <v>790649.98629999999</v>
      </c>
      <c r="D253" s="23">
        <v>2416413.017</v>
      </c>
      <c r="E253" s="15">
        <v>492</v>
      </c>
      <c r="F253" s="15" t="s">
        <v>306</v>
      </c>
      <c r="G253" s="27">
        <v>2735.13</v>
      </c>
      <c r="H253" s="27">
        <v>5617.8925579099996</v>
      </c>
      <c r="I253" s="15" t="s">
        <v>55</v>
      </c>
      <c r="K253" s="15" t="s">
        <v>22</v>
      </c>
      <c r="L253" s="15" t="s">
        <v>377</v>
      </c>
    </row>
    <row r="254" spans="1:12">
      <c r="A254" s="24">
        <v>278</v>
      </c>
      <c r="B254" s="15" t="s">
        <v>56</v>
      </c>
      <c r="C254" s="23">
        <v>780625.82649999997</v>
      </c>
      <c r="D254" s="23">
        <v>2422295.0890000002</v>
      </c>
      <c r="E254" s="15">
        <v>217</v>
      </c>
      <c r="F254" s="15" t="s">
        <v>307</v>
      </c>
      <c r="G254" s="27">
        <v>0</v>
      </c>
      <c r="H254" s="27">
        <v>636.61789881100003</v>
      </c>
      <c r="K254" s="15" t="s">
        <v>30</v>
      </c>
      <c r="L254" s="15" t="s">
        <v>377</v>
      </c>
    </row>
    <row r="255" spans="1:12">
      <c r="A255" s="24">
        <v>279</v>
      </c>
      <c r="B255" s="15" t="s">
        <v>56</v>
      </c>
      <c r="C255" s="23">
        <v>780732.46609999996</v>
      </c>
      <c r="D255" s="23">
        <v>2422304.1290000002</v>
      </c>
      <c r="E255" s="15">
        <v>601</v>
      </c>
      <c r="F255" s="15" t="s">
        <v>308</v>
      </c>
      <c r="G255" s="27">
        <v>0</v>
      </c>
      <c r="H255" s="27">
        <v>521.60442557299996</v>
      </c>
      <c r="K255" s="15" t="s">
        <v>30</v>
      </c>
      <c r="L255" s="15" t="s">
        <v>377</v>
      </c>
    </row>
    <row r="256" spans="1:12">
      <c r="A256" s="24">
        <v>283</v>
      </c>
      <c r="B256" s="15" t="s">
        <v>56</v>
      </c>
      <c r="C256" s="23">
        <v>779421.03330000001</v>
      </c>
      <c r="D256" s="23">
        <v>2422058.889</v>
      </c>
      <c r="E256" s="15">
        <v>574</v>
      </c>
      <c r="F256" s="15" t="s">
        <v>309</v>
      </c>
      <c r="G256" s="27">
        <v>0</v>
      </c>
      <c r="H256" s="27">
        <v>32.750879890299998</v>
      </c>
      <c r="K256" s="15" t="s">
        <v>24</v>
      </c>
      <c r="L256" s="15" t="s">
        <v>377</v>
      </c>
    </row>
    <row r="257" spans="1:12">
      <c r="A257" s="24">
        <v>284</v>
      </c>
      <c r="B257" s="15" t="s">
        <v>56</v>
      </c>
      <c r="C257" s="23">
        <v>779433.80009999999</v>
      </c>
      <c r="D257" s="23">
        <v>2422086.8229999999</v>
      </c>
      <c r="E257" s="15">
        <v>572</v>
      </c>
      <c r="F257" s="15" t="s">
        <v>62</v>
      </c>
      <c r="G257" s="27">
        <v>2133.06</v>
      </c>
      <c r="H257" s="27">
        <v>226.58422980099999</v>
      </c>
      <c r="K257" s="15" t="s">
        <v>24</v>
      </c>
      <c r="L257" s="15" t="s">
        <v>377</v>
      </c>
    </row>
    <row r="258" spans="1:12">
      <c r="A258" s="24">
        <v>285</v>
      </c>
      <c r="B258" s="15" t="s">
        <v>56</v>
      </c>
      <c r="C258" s="23">
        <v>779401.00569999998</v>
      </c>
      <c r="D258" s="23">
        <v>2422103.923</v>
      </c>
      <c r="E258" s="15">
        <v>573</v>
      </c>
      <c r="F258" s="15" t="s">
        <v>309</v>
      </c>
      <c r="G258" s="27">
        <v>0</v>
      </c>
      <c r="H258" s="27">
        <v>56.137776032399998</v>
      </c>
      <c r="K258" s="15" t="s">
        <v>24</v>
      </c>
      <c r="L258" s="15" t="s">
        <v>377</v>
      </c>
    </row>
    <row r="259" spans="1:12">
      <c r="A259" s="24">
        <v>288</v>
      </c>
      <c r="B259" s="15" t="s">
        <v>56</v>
      </c>
      <c r="C259" s="23">
        <v>778670.09039999999</v>
      </c>
      <c r="D259" s="23">
        <v>2421943.4610000001</v>
      </c>
      <c r="E259" s="15">
        <v>579</v>
      </c>
      <c r="F259" s="15" t="s">
        <v>310</v>
      </c>
      <c r="G259" s="27">
        <v>6359.46</v>
      </c>
      <c r="H259" s="27">
        <v>4.7088529618399999</v>
      </c>
      <c r="K259" s="15" t="s">
        <v>24</v>
      </c>
      <c r="L259" s="15" t="s">
        <v>377</v>
      </c>
    </row>
    <row r="260" spans="1:12">
      <c r="A260" s="24">
        <v>289</v>
      </c>
      <c r="B260" s="15" t="s">
        <v>56</v>
      </c>
      <c r="C260" s="23">
        <v>779752.82640000002</v>
      </c>
      <c r="D260" s="23">
        <v>2421437.2880000002</v>
      </c>
      <c r="E260" s="15">
        <v>562</v>
      </c>
      <c r="F260" s="15" t="s">
        <v>260</v>
      </c>
      <c r="G260" s="27">
        <v>1514.92</v>
      </c>
      <c r="H260" s="27">
        <v>42.6709522763</v>
      </c>
      <c r="K260" s="15" t="s">
        <v>30</v>
      </c>
      <c r="L260" s="15" t="s">
        <v>377</v>
      </c>
    </row>
    <row r="261" spans="1:12">
      <c r="A261" s="24">
        <v>292</v>
      </c>
      <c r="B261" s="15" t="s">
        <v>56</v>
      </c>
      <c r="C261" s="23">
        <v>779587.54359999998</v>
      </c>
      <c r="D261" s="23">
        <v>2422028.983</v>
      </c>
      <c r="E261" s="15">
        <v>624</v>
      </c>
      <c r="F261" s="15" t="s">
        <v>311</v>
      </c>
      <c r="G261" s="27">
        <v>299.74</v>
      </c>
      <c r="H261" s="27">
        <v>106.309220759</v>
      </c>
      <c r="K261" s="15" t="s">
        <v>30</v>
      </c>
      <c r="L261" s="15" t="s">
        <v>377</v>
      </c>
    </row>
    <row r="262" spans="1:12">
      <c r="A262" s="24">
        <v>293</v>
      </c>
      <c r="B262" s="15" t="s">
        <v>56</v>
      </c>
      <c r="C262" s="23">
        <v>780294.18489999999</v>
      </c>
      <c r="D262" s="23">
        <v>2422414.8289999999</v>
      </c>
      <c r="E262" s="15">
        <v>223</v>
      </c>
      <c r="F262" s="15" t="s">
        <v>312</v>
      </c>
      <c r="G262" s="27">
        <v>0</v>
      </c>
      <c r="H262" s="27">
        <v>420.02454080799998</v>
      </c>
      <c r="I262" s="15" t="s">
        <v>55</v>
      </c>
      <c r="K262" s="15" t="s">
        <v>30</v>
      </c>
      <c r="L262" s="15" t="s">
        <v>377</v>
      </c>
    </row>
    <row r="263" spans="1:12">
      <c r="A263" s="24">
        <v>294</v>
      </c>
      <c r="B263" s="15" t="s">
        <v>53</v>
      </c>
      <c r="C263" s="23">
        <v>778132.81900000002</v>
      </c>
      <c r="D263" s="23">
        <v>2424531.2259999998</v>
      </c>
      <c r="E263" s="15">
        <v>559</v>
      </c>
      <c r="F263" s="15" t="s">
        <v>313</v>
      </c>
      <c r="G263" s="27">
        <v>0</v>
      </c>
      <c r="H263" s="27">
        <v>143.85511945499999</v>
      </c>
      <c r="K263" s="15" t="s">
        <v>26</v>
      </c>
      <c r="L263" s="15" t="s">
        <v>377</v>
      </c>
    </row>
    <row r="264" spans="1:12">
      <c r="A264" s="24">
        <v>295</v>
      </c>
      <c r="B264" s="15" t="s">
        <v>69</v>
      </c>
      <c r="C264" s="23">
        <v>778200.40370000002</v>
      </c>
      <c r="D264" s="23">
        <v>2424506.4500000002</v>
      </c>
      <c r="E264" s="15">
        <v>588</v>
      </c>
      <c r="F264" s="15" t="s">
        <v>314</v>
      </c>
      <c r="G264" s="27">
        <v>1784.04</v>
      </c>
      <c r="H264" s="27">
        <v>279.54690674199998</v>
      </c>
      <c r="K264" s="15" t="s">
        <v>26</v>
      </c>
      <c r="L264" s="15" t="s">
        <v>377</v>
      </c>
    </row>
    <row r="265" spans="1:12">
      <c r="A265" s="24">
        <v>296</v>
      </c>
      <c r="B265" s="15" t="s">
        <v>75</v>
      </c>
      <c r="C265" s="23">
        <v>779935.10179999995</v>
      </c>
      <c r="D265" s="23">
        <v>2419328.6919999998</v>
      </c>
      <c r="E265" s="15">
        <v>653</v>
      </c>
      <c r="F265" s="15" t="s">
        <v>315</v>
      </c>
      <c r="G265" s="27">
        <v>0</v>
      </c>
      <c r="H265" s="27">
        <v>16327.1130101</v>
      </c>
      <c r="K265" s="15" t="s">
        <v>28</v>
      </c>
      <c r="L265" s="15" t="s">
        <v>377</v>
      </c>
    </row>
    <row r="266" spans="1:12">
      <c r="A266" s="24">
        <v>297</v>
      </c>
      <c r="B266" s="15" t="s">
        <v>116</v>
      </c>
      <c r="C266" s="23">
        <v>785694.79610000004</v>
      </c>
      <c r="D266" s="23">
        <v>2420300.6800000002</v>
      </c>
      <c r="E266" s="15">
        <v>518</v>
      </c>
      <c r="F266" s="15" t="s">
        <v>316</v>
      </c>
      <c r="G266" s="27">
        <v>410.46550000000002</v>
      </c>
      <c r="H266" s="27">
        <v>2596.6501056400002</v>
      </c>
      <c r="I266" s="15" t="s">
        <v>55</v>
      </c>
      <c r="K266" s="15" t="s">
        <v>32</v>
      </c>
      <c r="L266" s="15" t="s">
        <v>377</v>
      </c>
    </row>
    <row r="267" spans="1:12">
      <c r="A267" s="24">
        <v>298</v>
      </c>
      <c r="B267" s="15" t="s">
        <v>65</v>
      </c>
      <c r="C267" s="23">
        <v>780474.56759999995</v>
      </c>
      <c r="D267" s="23">
        <v>2427230.1340000001</v>
      </c>
      <c r="E267" s="15">
        <v>236</v>
      </c>
      <c r="F267" s="15" t="s">
        <v>317</v>
      </c>
      <c r="G267" s="27">
        <v>754.47</v>
      </c>
      <c r="H267" s="27">
        <v>2983.9178064399998</v>
      </c>
      <c r="I267" s="15" t="s">
        <v>55</v>
      </c>
      <c r="K267" s="15" t="s">
        <v>35</v>
      </c>
      <c r="L267" s="15" t="s">
        <v>377</v>
      </c>
    </row>
    <row r="268" spans="1:12">
      <c r="A268" s="24">
        <v>299</v>
      </c>
      <c r="B268" s="15" t="s">
        <v>65</v>
      </c>
      <c r="C268" s="23">
        <v>780948.05420000001</v>
      </c>
      <c r="D268" s="23">
        <v>2428042.2560000001</v>
      </c>
      <c r="E268" s="15">
        <v>264</v>
      </c>
      <c r="F268" s="15" t="s">
        <v>318</v>
      </c>
      <c r="G268" s="27">
        <v>436</v>
      </c>
      <c r="H268" s="27">
        <v>1196.88584259</v>
      </c>
      <c r="I268" s="15" t="s">
        <v>55</v>
      </c>
      <c r="K268" s="15" t="s">
        <v>35</v>
      </c>
      <c r="L268" s="15" t="s">
        <v>377</v>
      </c>
    </row>
    <row r="269" spans="1:12">
      <c r="A269" s="24">
        <v>300</v>
      </c>
      <c r="B269" s="15" t="s">
        <v>75</v>
      </c>
      <c r="C269" s="23">
        <v>778951.42909999995</v>
      </c>
      <c r="D269" s="23">
        <v>2421302.4079999998</v>
      </c>
      <c r="E269" s="15">
        <v>363</v>
      </c>
      <c r="F269" s="15" t="s">
        <v>319</v>
      </c>
      <c r="G269" s="27">
        <v>0</v>
      </c>
      <c r="H269" s="27">
        <v>726.59304181100003</v>
      </c>
      <c r="K269" s="15" t="s">
        <v>24</v>
      </c>
      <c r="L269" s="15" t="s">
        <v>377</v>
      </c>
    </row>
    <row r="270" spans="1:12">
      <c r="A270" s="24">
        <v>301</v>
      </c>
      <c r="B270" s="15" t="s">
        <v>56</v>
      </c>
      <c r="C270" s="23">
        <v>779881.24580000003</v>
      </c>
      <c r="D270" s="23">
        <v>2420980.4900000002</v>
      </c>
      <c r="E270" s="15">
        <v>431</v>
      </c>
      <c r="F270" s="15" t="s">
        <v>320</v>
      </c>
      <c r="G270" s="27">
        <v>0</v>
      </c>
      <c r="H270" s="27">
        <v>1653.19411046</v>
      </c>
      <c r="K270" s="15" t="s">
        <v>30</v>
      </c>
      <c r="L270" s="15" t="s">
        <v>377</v>
      </c>
    </row>
    <row r="271" spans="1:12">
      <c r="A271" s="24">
        <v>302</v>
      </c>
      <c r="B271" s="15" t="s">
        <v>56</v>
      </c>
      <c r="C271" s="23">
        <v>779574.04890000005</v>
      </c>
      <c r="D271" s="23">
        <v>2421211.4580000001</v>
      </c>
      <c r="E271" s="15">
        <v>326</v>
      </c>
      <c r="F271" s="15" t="s">
        <v>321</v>
      </c>
      <c r="G271" s="27">
        <v>0</v>
      </c>
      <c r="H271" s="27">
        <v>6523.9405793300002</v>
      </c>
      <c r="K271" s="15" t="s">
        <v>30</v>
      </c>
      <c r="L271" s="15" t="s">
        <v>377</v>
      </c>
    </row>
    <row r="272" spans="1:12">
      <c r="A272" s="24">
        <v>305</v>
      </c>
      <c r="B272" s="15" t="s">
        <v>67</v>
      </c>
      <c r="C272" s="23">
        <v>783754.95019999996</v>
      </c>
      <c r="D272" s="23">
        <v>2418974.7629999998</v>
      </c>
      <c r="E272" s="15">
        <v>670</v>
      </c>
      <c r="F272" s="15" t="s">
        <v>322</v>
      </c>
      <c r="G272" s="27">
        <v>0</v>
      </c>
      <c r="H272" s="27">
        <v>2169.0682850899998</v>
      </c>
      <c r="K272" s="15" t="s">
        <v>33</v>
      </c>
      <c r="L272" s="15" t="s">
        <v>377</v>
      </c>
    </row>
    <row r="273" spans="1:12">
      <c r="A273" s="24">
        <v>306</v>
      </c>
      <c r="B273" s="15" t="s">
        <v>80</v>
      </c>
      <c r="C273" s="23">
        <v>783979.78689999995</v>
      </c>
      <c r="D273" s="23">
        <v>2422461.2549999999</v>
      </c>
      <c r="E273" s="15">
        <v>675</v>
      </c>
      <c r="F273" s="15" t="s">
        <v>323</v>
      </c>
      <c r="G273" s="27">
        <v>0</v>
      </c>
      <c r="H273" s="27">
        <v>1818.5520245</v>
      </c>
      <c r="K273" s="15" t="s">
        <v>33</v>
      </c>
      <c r="L273" s="15" t="s">
        <v>377</v>
      </c>
    </row>
    <row r="274" spans="1:12">
      <c r="A274" s="24">
        <v>307</v>
      </c>
      <c r="B274" s="15" t="s">
        <v>80</v>
      </c>
      <c r="C274" s="23">
        <v>783988.77060000005</v>
      </c>
      <c r="D274" s="23">
        <v>2422521.9410000001</v>
      </c>
      <c r="E274" s="15">
        <v>676</v>
      </c>
      <c r="F274" s="15" t="s">
        <v>324</v>
      </c>
      <c r="G274" s="27">
        <v>0</v>
      </c>
      <c r="H274" s="27">
        <v>1636.3607997700001</v>
      </c>
      <c r="K274" s="15" t="s">
        <v>33</v>
      </c>
      <c r="L274" s="15" t="s">
        <v>377</v>
      </c>
    </row>
    <row r="275" spans="1:12">
      <c r="A275" s="24">
        <v>308</v>
      </c>
      <c r="B275" s="15" t="s">
        <v>80</v>
      </c>
      <c r="C275" s="23">
        <v>784106.03289999999</v>
      </c>
      <c r="D275" s="23">
        <v>2422241.0619999999</v>
      </c>
      <c r="E275" s="15">
        <v>673</v>
      </c>
      <c r="F275" s="15" t="s">
        <v>325</v>
      </c>
      <c r="G275" s="27">
        <v>0</v>
      </c>
      <c r="H275" s="27">
        <v>1978.2955676199999</v>
      </c>
      <c r="K275" s="15" t="s">
        <v>33</v>
      </c>
      <c r="L275" s="15" t="s">
        <v>377</v>
      </c>
    </row>
    <row r="276" spans="1:12">
      <c r="A276" s="24">
        <v>310</v>
      </c>
      <c r="B276" s="15" t="s">
        <v>135</v>
      </c>
      <c r="C276" s="23">
        <v>783281.69319999998</v>
      </c>
      <c r="D276" s="23">
        <v>2428579.25</v>
      </c>
      <c r="E276" s="15">
        <v>286</v>
      </c>
      <c r="F276" s="15" t="s">
        <v>326</v>
      </c>
      <c r="G276" s="27">
        <v>1884.2266</v>
      </c>
      <c r="H276" s="27">
        <v>4789.9904555000003</v>
      </c>
      <c r="I276" s="15" t="s">
        <v>55</v>
      </c>
      <c r="K276" s="15" t="s">
        <v>34</v>
      </c>
      <c r="L276" s="15" t="s">
        <v>377</v>
      </c>
    </row>
    <row r="277" spans="1:12">
      <c r="A277" s="24">
        <v>311</v>
      </c>
      <c r="B277" s="15" t="s">
        <v>97</v>
      </c>
      <c r="C277" s="23">
        <v>785759.299</v>
      </c>
      <c r="D277" s="23">
        <v>2422911.699</v>
      </c>
      <c r="E277" s="15">
        <v>688</v>
      </c>
      <c r="F277" s="15" t="s">
        <v>327</v>
      </c>
      <c r="G277" s="27">
        <v>0</v>
      </c>
      <c r="H277" s="27">
        <v>1578.92222186</v>
      </c>
      <c r="K277" s="15" t="s">
        <v>32</v>
      </c>
      <c r="L277" s="15" t="s">
        <v>377</v>
      </c>
    </row>
    <row r="278" spans="1:12">
      <c r="A278" s="24">
        <v>312</v>
      </c>
      <c r="B278" s="15" t="s">
        <v>97</v>
      </c>
      <c r="C278" s="23">
        <v>785448.72919999994</v>
      </c>
      <c r="D278" s="23">
        <v>2422245.818</v>
      </c>
      <c r="E278" s="15">
        <v>272</v>
      </c>
      <c r="F278" s="15" t="s">
        <v>114</v>
      </c>
      <c r="G278" s="27">
        <v>2355.4850999999999</v>
      </c>
      <c r="H278" s="27">
        <v>3025.0006400299999</v>
      </c>
      <c r="I278" s="15" t="s">
        <v>55</v>
      </c>
      <c r="K278" s="15" t="s">
        <v>32</v>
      </c>
      <c r="L278" s="15" t="s">
        <v>377</v>
      </c>
    </row>
    <row r="279" spans="1:12">
      <c r="A279" s="24">
        <v>313</v>
      </c>
      <c r="B279" s="15" t="s">
        <v>107</v>
      </c>
      <c r="C279" s="23">
        <v>793083.91130000004</v>
      </c>
      <c r="D279" s="23">
        <v>2411251.0469999998</v>
      </c>
      <c r="E279" s="15">
        <v>702</v>
      </c>
      <c r="F279" s="15" t="s">
        <v>328</v>
      </c>
      <c r="G279" s="27">
        <v>0</v>
      </c>
      <c r="H279" s="27">
        <v>935.21797431899995</v>
      </c>
      <c r="K279" s="15" t="s">
        <v>22</v>
      </c>
      <c r="L279" s="15" t="s">
        <v>377</v>
      </c>
    </row>
    <row r="280" spans="1:12">
      <c r="A280" s="24">
        <v>314</v>
      </c>
      <c r="B280" s="15" t="s">
        <v>372</v>
      </c>
      <c r="C280" s="23">
        <v>779538.30449999997</v>
      </c>
      <c r="D280" s="23">
        <v>2403903.9730000002</v>
      </c>
      <c r="E280" s="15">
        <v>706</v>
      </c>
      <c r="F280" s="15" t="s">
        <v>369</v>
      </c>
      <c r="G280" s="27">
        <v>0</v>
      </c>
      <c r="H280" s="27">
        <v>768.32807799499994</v>
      </c>
      <c r="K280" s="15" t="s">
        <v>45</v>
      </c>
      <c r="L280" s="15" t="s">
        <v>377</v>
      </c>
    </row>
    <row r="281" spans="1:12">
      <c r="A281" s="24">
        <v>315</v>
      </c>
      <c r="B281" s="15" t="s">
        <v>135</v>
      </c>
      <c r="C281" s="23">
        <v>784078.14399999997</v>
      </c>
      <c r="D281" s="23">
        <v>2426008.0129999998</v>
      </c>
      <c r="E281" s="15">
        <v>257</v>
      </c>
      <c r="F281" s="15" t="s">
        <v>329</v>
      </c>
      <c r="G281" s="27">
        <v>680.45</v>
      </c>
      <c r="H281" s="27">
        <v>1254.60379072</v>
      </c>
      <c r="I281" s="15" t="s">
        <v>55</v>
      </c>
      <c r="K281" s="15" t="s">
        <v>34</v>
      </c>
      <c r="L281" s="15" t="s">
        <v>377</v>
      </c>
    </row>
    <row r="282" spans="1:12">
      <c r="A282" s="24">
        <v>316</v>
      </c>
      <c r="B282" s="15" t="s">
        <v>65</v>
      </c>
      <c r="C282" s="23">
        <v>781122.45970000001</v>
      </c>
      <c r="D282" s="23">
        <v>2426948.4040000001</v>
      </c>
      <c r="E282" s="15">
        <v>581</v>
      </c>
      <c r="F282" s="15" t="s">
        <v>194</v>
      </c>
      <c r="G282" s="27">
        <v>1037.8399999999999</v>
      </c>
      <c r="H282" s="27">
        <v>44.369651413200003</v>
      </c>
      <c r="K282" s="15" t="s">
        <v>35</v>
      </c>
      <c r="L282" s="15" t="s">
        <v>377</v>
      </c>
    </row>
    <row r="283" spans="1:12">
      <c r="A283" s="24">
        <v>317</v>
      </c>
      <c r="B283" s="15" t="s">
        <v>80</v>
      </c>
      <c r="C283" s="23">
        <v>782990.38639999996</v>
      </c>
      <c r="D283" s="23">
        <v>2417975.3130000001</v>
      </c>
      <c r="E283" s="15">
        <v>516</v>
      </c>
      <c r="F283" s="15" t="s">
        <v>115</v>
      </c>
      <c r="G283" s="27">
        <v>590.4</v>
      </c>
      <c r="H283" s="27">
        <v>873.75925671000005</v>
      </c>
      <c r="I283" s="15" t="s">
        <v>55</v>
      </c>
      <c r="K283" s="15" t="s">
        <v>28</v>
      </c>
      <c r="L283" s="15" t="s">
        <v>377</v>
      </c>
    </row>
    <row r="284" spans="1:12">
      <c r="A284" s="24">
        <v>318</v>
      </c>
      <c r="B284" s="15" t="s">
        <v>67</v>
      </c>
      <c r="C284" s="23">
        <v>782704.43680000002</v>
      </c>
      <c r="D284" s="23">
        <v>2420919.0690000001</v>
      </c>
      <c r="E284" s="15">
        <v>513</v>
      </c>
      <c r="F284" s="15" t="s">
        <v>330</v>
      </c>
      <c r="G284" s="27">
        <v>0</v>
      </c>
      <c r="H284" s="27">
        <v>4756.8139487899998</v>
      </c>
      <c r="I284" s="15" t="s">
        <v>55</v>
      </c>
      <c r="K284" s="15" t="s">
        <v>27</v>
      </c>
      <c r="L284" s="15" t="s">
        <v>377</v>
      </c>
    </row>
    <row r="285" spans="1:12">
      <c r="A285" s="24">
        <v>3</v>
      </c>
      <c r="B285" s="15" t="s">
        <v>56</v>
      </c>
      <c r="C285" s="23">
        <v>779567.02729999996</v>
      </c>
      <c r="D285" s="23">
        <v>2422065.1889999998</v>
      </c>
      <c r="E285" s="15">
        <v>549</v>
      </c>
      <c r="F285" s="15" t="s">
        <v>311</v>
      </c>
      <c r="G285" s="27">
        <v>299.74</v>
      </c>
      <c r="H285" s="27">
        <v>1257.1725984300001</v>
      </c>
      <c r="I285" s="15" t="s">
        <v>55</v>
      </c>
      <c r="K285" s="15" t="s">
        <v>30</v>
      </c>
      <c r="L285" s="15" t="s">
        <v>377</v>
      </c>
    </row>
    <row r="286" spans="1:12">
      <c r="A286" s="24">
        <v>14</v>
      </c>
      <c r="B286" s="15" t="s">
        <v>56</v>
      </c>
      <c r="C286" s="23">
        <v>781022.75260000001</v>
      </c>
      <c r="D286" s="23">
        <v>2420443.5260000001</v>
      </c>
      <c r="E286" s="15">
        <v>504</v>
      </c>
      <c r="F286" s="15" t="s">
        <v>331</v>
      </c>
      <c r="G286" s="27">
        <v>3740.59</v>
      </c>
      <c r="H286" s="27">
        <v>15439.9216801</v>
      </c>
      <c r="I286" s="15" t="s">
        <v>55</v>
      </c>
      <c r="K286" s="15" t="s">
        <v>30</v>
      </c>
      <c r="L286" s="15" t="s">
        <v>377</v>
      </c>
    </row>
    <row r="287" spans="1:12">
      <c r="A287" s="24">
        <v>14</v>
      </c>
      <c r="B287" s="15" t="s">
        <v>56</v>
      </c>
      <c r="C287" s="23">
        <v>781022.75260000001</v>
      </c>
      <c r="D287" s="23">
        <v>2420443.5260000001</v>
      </c>
      <c r="E287" s="15">
        <v>504</v>
      </c>
      <c r="F287" s="15" t="s">
        <v>331</v>
      </c>
      <c r="G287" s="27">
        <v>3740.59</v>
      </c>
      <c r="H287" s="27">
        <v>15439.9216801</v>
      </c>
      <c r="I287" s="15" t="s">
        <v>55</v>
      </c>
      <c r="K287" s="15" t="s">
        <v>30</v>
      </c>
      <c r="L287" s="15" t="s">
        <v>377</v>
      </c>
    </row>
    <row r="288" spans="1:12">
      <c r="A288" s="24">
        <v>14</v>
      </c>
      <c r="B288" s="15" t="s">
        <v>56</v>
      </c>
      <c r="C288" s="23">
        <v>781022.75260000001</v>
      </c>
      <c r="D288" s="23">
        <v>2420443.5260000001</v>
      </c>
      <c r="E288" s="15">
        <v>504</v>
      </c>
      <c r="F288" s="15" t="s">
        <v>331</v>
      </c>
      <c r="G288" s="27">
        <v>3740.59</v>
      </c>
      <c r="H288" s="27">
        <v>15439.9216801</v>
      </c>
      <c r="I288" s="15" t="s">
        <v>55</v>
      </c>
      <c r="K288" s="15" t="s">
        <v>30</v>
      </c>
      <c r="L288" s="15" t="s">
        <v>377</v>
      </c>
    </row>
    <row r="289" spans="1:12">
      <c r="A289" s="24">
        <v>22</v>
      </c>
      <c r="B289" s="15" t="s">
        <v>97</v>
      </c>
      <c r="C289" s="23">
        <v>785653.02289999998</v>
      </c>
      <c r="D289" s="23">
        <v>2420616.0279999999</v>
      </c>
      <c r="E289" s="15">
        <v>288</v>
      </c>
      <c r="F289" s="15" t="s">
        <v>370</v>
      </c>
      <c r="G289" s="27">
        <v>0</v>
      </c>
      <c r="H289" s="27">
        <v>43076.325794700002</v>
      </c>
      <c r="I289" s="15" t="s">
        <v>55</v>
      </c>
      <c r="K289" s="15" t="s">
        <v>32</v>
      </c>
      <c r="L289" s="15" t="s">
        <v>377</v>
      </c>
    </row>
    <row r="290" spans="1:12">
      <c r="A290" s="24">
        <v>22</v>
      </c>
      <c r="B290" s="15" t="s">
        <v>97</v>
      </c>
      <c r="C290" s="23">
        <v>785653.02289999998</v>
      </c>
      <c r="D290" s="23">
        <v>2420616.0279999999</v>
      </c>
      <c r="E290" s="15">
        <v>288</v>
      </c>
      <c r="F290" s="15" t="s">
        <v>370</v>
      </c>
      <c r="G290" s="27">
        <v>0</v>
      </c>
      <c r="H290" s="27">
        <v>43076.325794700002</v>
      </c>
      <c r="I290" s="15" t="s">
        <v>55</v>
      </c>
      <c r="K290" s="15" t="s">
        <v>32</v>
      </c>
      <c r="L290" s="15" t="s">
        <v>377</v>
      </c>
    </row>
    <row r="291" spans="1:12">
      <c r="A291" s="24">
        <v>22</v>
      </c>
      <c r="B291" s="15" t="s">
        <v>97</v>
      </c>
      <c r="C291" s="23">
        <v>785653.02289999998</v>
      </c>
      <c r="D291" s="23">
        <v>2420616.0279999999</v>
      </c>
      <c r="E291" s="15">
        <v>288</v>
      </c>
      <c r="F291" s="15" t="s">
        <v>370</v>
      </c>
      <c r="G291" s="27">
        <v>0</v>
      </c>
      <c r="H291" s="27">
        <v>43076.325794700002</v>
      </c>
      <c r="I291" s="15" t="s">
        <v>55</v>
      </c>
      <c r="K291" s="15" t="s">
        <v>32</v>
      </c>
      <c r="L291" s="15" t="s">
        <v>377</v>
      </c>
    </row>
    <row r="292" spans="1:12">
      <c r="A292" s="24">
        <v>22</v>
      </c>
      <c r="B292" s="15" t="s">
        <v>97</v>
      </c>
      <c r="C292" s="23">
        <v>785653.02289999998</v>
      </c>
      <c r="D292" s="23">
        <v>2420616.0279999999</v>
      </c>
      <c r="E292" s="15">
        <v>288</v>
      </c>
      <c r="F292" s="15" t="s">
        <v>370</v>
      </c>
      <c r="G292" s="27">
        <v>0</v>
      </c>
      <c r="H292" s="27">
        <v>43076.325794700002</v>
      </c>
      <c r="I292" s="15" t="s">
        <v>55</v>
      </c>
      <c r="K292" s="15" t="s">
        <v>32</v>
      </c>
      <c r="L292" s="15" t="s">
        <v>377</v>
      </c>
    </row>
    <row r="293" spans="1:12">
      <c r="A293" s="24">
        <v>22</v>
      </c>
      <c r="B293" s="15" t="s">
        <v>97</v>
      </c>
      <c r="C293" s="23">
        <v>785653.02289999998</v>
      </c>
      <c r="D293" s="23">
        <v>2420616.0279999999</v>
      </c>
      <c r="E293" s="15">
        <v>288</v>
      </c>
      <c r="F293" s="15" t="s">
        <v>370</v>
      </c>
      <c r="G293" s="27">
        <v>0</v>
      </c>
      <c r="H293" s="27">
        <v>43076.325794700002</v>
      </c>
      <c r="I293" s="15" t="s">
        <v>55</v>
      </c>
      <c r="K293" s="15" t="s">
        <v>32</v>
      </c>
      <c r="L293" s="15" t="s">
        <v>377</v>
      </c>
    </row>
    <row r="294" spans="1:12">
      <c r="A294" s="24">
        <v>22</v>
      </c>
      <c r="B294" s="15" t="s">
        <v>97</v>
      </c>
      <c r="C294" s="23">
        <v>785653.02289999998</v>
      </c>
      <c r="D294" s="23">
        <v>2420616.0279999999</v>
      </c>
      <c r="E294" s="15">
        <v>288</v>
      </c>
      <c r="F294" s="15" t="s">
        <v>370</v>
      </c>
      <c r="G294" s="27">
        <v>0</v>
      </c>
      <c r="H294" s="27">
        <v>43076.325794700002</v>
      </c>
      <c r="I294" s="15" t="s">
        <v>55</v>
      </c>
      <c r="K294" s="15" t="s">
        <v>32</v>
      </c>
      <c r="L294" s="15" t="s">
        <v>377</v>
      </c>
    </row>
    <row r="295" spans="1:12">
      <c r="A295" s="24">
        <v>22</v>
      </c>
      <c r="B295" s="15" t="s">
        <v>97</v>
      </c>
      <c r="C295" s="23">
        <v>785653.02289999998</v>
      </c>
      <c r="D295" s="23">
        <v>2420616.0279999999</v>
      </c>
      <c r="E295" s="15">
        <v>288</v>
      </c>
      <c r="F295" s="15" t="s">
        <v>370</v>
      </c>
      <c r="G295" s="27">
        <v>0</v>
      </c>
      <c r="H295" s="27">
        <v>43076.325794700002</v>
      </c>
      <c r="I295" s="15" t="s">
        <v>55</v>
      </c>
      <c r="K295" s="15" t="s">
        <v>32</v>
      </c>
      <c r="L295" s="15" t="s">
        <v>377</v>
      </c>
    </row>
    <row r="296" spans="1:12">
      <c r="A296" s="24">
        <v>45</v>
      </c>
      <c r="B296" s="15" t="s">
        <v>107</v>
      </c>
      <c r="C296" s="23">
        <v>789787.40899999999</v>
      </c>
      <c r="D296" s="23">
        <v>2415810.0830000001</v>
      </c>
      <c r="E296" s="15">
        <v>700</v>
      </c>
      <c r="F296" s="15" t="s">
        <v>332</v>
      </c>
      <c r="G296" s="27">
        <v>0</v>
      </c>
      <c r="H296" s="27">
        <v>11863.925486800001</v>
      </c>
      <c r="K296" s="15" t="s">
        <v>22</v>
      </c>
      <c r="L296" s="15" t="s">
        <v>377</v>
      </c>
    </row>
    <row r="297" spans="1:12">
      <c r="A297" s="24">
        <v>45</v>
      </c>
      <c r="B297" s="15" t="s">
        <v>107</v>
      </c>
      <c r="C297" s="23">
        <v>789787.40899999999</v>
      </c>
      <c r="D297" s="23">
        <v>2415810.0830000001</v>
      </c>
      <c r="E297" s="15">
        <v>700</v>
      </c>
      <c r="F297" s="15" t="s">
        <v>332</v>
      </c>
      <c r="G297" s="27">
        <v>0</v>
      </c>
      <c r="H297" s="27">
        <v>11863.925486800001</v>
      </c>
      <c r="K297" s="15" t="s">
        <v>22</v>
      </c>
      <c r="L297" s="15" t="s">
        <v>377</v>
      </c>
    </row>
    <row r="298" spans="1:12">
      <c r="A298" s="24">
        <v>62</v>
      </c>
      <c r="B298" s="15" t="s">
        <v>97</v>
      </c>
      <c r="C298" s="23">
        <v>784862.78300000005</v>
      </c>
      <c r="D298" s="23">
        <v>2422532.341</v>
      </c>
      <c r="E298" s="15">
        <v>651</v>
      </c>
      <c r="F298" s="15" t="s">
        <v>333</v>
      </c>
      <c r="G298" s="27">
        <v>0</v>
      </c>
      <c r="H298" s="27">
        <v>357698.19833799999</v>
      </c>
      <c r="K298" s="15" t="s">
        <v>32</v>
      </c>
      <c r="L298" s="15" t="s">
        <v>377</v>
      </c>
    </row>
    <row r="299" spans="1:12">
      <c r="A299" s="24">
        <v>62</v>
      </c>
      <c r="B299" s="15" t="s">
        <v>97</v>
      </c>
      <c r="C299" s="23">
        <v>784862.78300000005</v>
      </c>
      <c r="D299" s="23">
        <v>2422532.341</v>
      </c>
      <c r="E299" s="15">
        <v>651</v>
      </c>
      <c r="F299" s="15" t="s">
        <v>333</v>
      </c>
      <c r="G299" s="27">
        <v>0</v>
      </c>
      <c r="H299" s="27">
        <v>357698.19833799999</v>
      </c>
      <c r="K299" s="15" t="s">
        <v>32</v>
      </c>
      <c r="L299" s="15" t="s">
        <v>377</v>
      </c>
    </row>
    <row r="300" spans="1:12">
      <c r="A300" s="24">
        <v>62</v>
      </c>
      <c r="B300" s="15" t="s">
        <v>97</v>
      </c>
      <c r="C300" s="23">
        <v>784862.78300000005</v>
      </c>
      <c r="D300" s="23">
        <v>2422532.341</v>
      </c>
      <c r="E300" s="15">
        <v>651</v>
      </c>
      <c r="F300" s="15" t="s">
        <v>333</v>
      </c>
      <c r="G300" s="27">
        <v>0</v>
      </c>
      <c r="H300" s="27">
        <v>357698.19833799999</v>
      </c>
      <c r="K300" s="15" t="s">
        <v>32</v>
      </c>
      <c r="L300" s="15" t="s">
        <v>377</v>
      </c>
    </row>
    <row r="301" spans="1:12">
      <c r="A301" s="24">
        <v>212</v>
      </c>
      <c r="B301" s="15" t="s">
        <v>56</v>
      </c>
      <c r="C301" s="23">
        <v>778715.76269999996</v>
      </c>
      <c r="D301" s="23">
        <v>2421953.4210000001</v>
      </c>
      <c r="E301" s="15">
        <v>547</v>
      </c>
      <c r="F301" s="15" t="s">
        <v>310</v>
      </c>
      <c r="G301" s="27">
        <v>6359.46</v>
      </c>
      <c r="H301" s="27">
        <v>15139.318653800001</v>
      </c>
      <c r="I301" s="15" t="s">
        <v>55</v>
      </c>
      <c r="K301" s="15" t="s">
        <v>24</v>
      </c>
      <c r="L301" s="15" t="s">
        <v>377</v>
      </c>
    </row>
    <row r="302" spans="1:12">
      <c r="A302" s="24">
        <v>238</v>
      </c>
      <c r="B302" s="15" t="s">
        <v>97</v>
      </c>
      <c r="C302" s="23">
        <v>784949.07860000001</v>
      </c>
      <c r="D302" s="23">
        <v>2423165.2039999999</v>
      </c>
      <c r="E302" s="15">
        <v>649</v>
      </c>
      <c r="F302" s="15" t="s">
        <v>334</v>
      </c>
      <c r="G302" s="27">
        <v>0</v>
      </c>
      <c r="H302" s="27">
        <v>50021.338616699999</v>
      </c>
      <c r="K302" s="15" t="s">
        <v>32</v>
      </c>
      <c r="L302" s="15" t="s">
        <v>377</v>
      </c>
    </row>
    <row r="303" spans="1:12">
      <c r="A303" s="24">
        <v>238</v>
      </c>
      <c r="B303" s="15" t="s">
        <v>97</v>
      </c>
      <c r="C303" s="23">
        <v>784949.07860000001</v>
      </c>
      <c r="D303" s="23">
        <v>2423165.2039999999</v>
      </c>
      <c r="E303" s="15">
        <v>649</v>
      </c>
      <c r="F303" s="15" t="s">
        <v>334</v>
      </c>
      <c r="G303" s="27">
        <v>0</v>
      </c>
      <c r="H303" s="27">
        <v>50021.338616699999</v>
      </c>
      <c r="K303" s="15" t="s">
        <v>32</v>
      </c>
      <c r="L303" s="15" t="s">
        <v>377</v>
      </c>
    </row>
    <row r="304" spans="1:12">
      <c r="A304" s="24">
        <v>238</v>
      </c>
      <c r="B304" s="15" t="s">
        <v>97</v>
      </c>
      <c r="C304" s="23">
        <v>784949.07860000001</v>
      </c>
      <c r="D304" s="23">
        <v>2423165.2039999999</v>
      </c>
      <c r="E304" s="15">
        <v>649</v>
      </c>
      <c r="F304" s="15" t="s">
        <v>334</v>
      </c>
      <c r="G304" s="27">
        <v>0</v>
      </c>
      <c r="H304" s="27">
        <v>50021.338616699999</v>
      </c>
      <c r="K304" s="15" t="s">
        <v>32</v>
      </c>
      <c r="L304" s="15" t="s">
        <v>377</v>
      </c>
    </row>
    <row r="305" spans="1:12">
      <c r="A305" s="24">
        <v>238</v>
      </c>
      <c r="B305" s="15" t="s">
        <v>97</v>
      </c>
      <c r="C305" s="23">
        <v>784949.07860000001</v>
      </c>
      <c r="D305" s="23">
        <v>2423165.2039999999</v>
      </c>
      <c r="E305" s="15">
        <v>649</v>
      </c>
      <c r="F305" s="15" t="s">
        <v>334</v>
      </c>
      <c r="G305" s="27">
        <v>0</v>
      </c>
      <c r="H305" s="27">
        <v>50021.338616699999</v>
      </c>
      <c r="K305" s="15" t="s">
        <v>32</v>
      </c>
      <c r="L305" s="15" t="s">
        <v>377</v>
      </c>
    </row>
    <row r="306" spans="1:12">
      <c r="A306" s="24">
        <v>253</v>
      </c>
      <c r="B306" s="15" t="s">
        <v>56</v>
      </c>
      <c r="C306" s="23">
        <v>780646.94169999997</v>
      </c>
      <c r="D306" s="23">
        <v>2420708.1919999998</v>
      </c>
      <c r="E306" s="15">
        <v>491</v>
      </c>
      <c r="F306" s="15" t="s">
        <v>335</v>
      </c>
      <c r="G306" s="27">
        <v>6125.49</v>
      </c>
      <c r="H306" s="27">
        <v>20864.109052600001</v>
      </c>
      <c r="I306" s="15" t="s">
        <v>55</v>
      </c>
      <c r="K306" s="15" t="s">
        <v>30</v>
      </c>
      <c r="L306" s="15" t="s">
        <v>377</v>
      </c>
    </row>
    <row r="307" spans="1:12">
      <c r="A307" s="24">
        <v>253</v>
      </c>
      <c r="B307" s="15" t="s">
        <v>56</v>
      </c>
      <c r="C307" s="23">
        <v>780646.94169999997</v>
      </c>
      <c r="D307" s="23">
        <v>2420708.1919999998</v>
      </c>
      <c r="E307" s="15">
        <v>491</v>
      </c>
      <c r="F307" s="15" t="s">
        <v>335</v>
      </c>
      <c r="G307" s="27">
        <v>6125.49</v>
      </c>
      <c r="H307" s="27">
        <v>20864.109052600001</v>
      </c>
      <c r="I307" s="15" t="s">
        <v>55</v>
      </c>
      <c r="K307" s="15" t="s">
        <v>30</v>
      </c>
      <c r="L307" s="15" t="s">
        <v>377</v>
      </c>
    </row>
    <row r="308" spans="1:12">
      <c r="A308" s="24">
        <v>277</v>
      </c>
      <c r="B308" s="15" t="s">
        <v>56</v>
      </c>
      <c r="C308" s="23">
        <v>780559.54909999995</v>
      </c>
      <c r="D308" s="23">
        <v>2422300.3769999999</v>
      </c>
      <c r="E308" s="15">
        <v>222</v>
      </c>
      <c r="F308" s="15" t="s">
        <v>336</v>
      </c>
      <c r="G308" s="27">
        <v>1117</v>
      </c>
      <c r="H308" s="27">
        <v>2696.19878672</v>
      </c>
      <c r="I308" s="15" t="s">
        <v>55</v>
      </c>
      <c r="K308" s="15" t="s">
        <v>30</v>
      </c>
      <c r="L308" s="15" t="s">
        <v>377</v>
      </c>
    </row>
    <row r="309" spans="1:12">
      <c r="A309" s="24">
        <v>277</v>
      </c>
      <c r="B309" s="15" t="s">
        <v>56</v>
      </c>
      <c r="C309" s="23">
        <v>780559.54909999995</v>
      </c>
      <c r="D309" s="23">
        <v>2422300.3769999999</v>
      </c>
      <c r="E309" s="15">
        <v>222</v>
      </c>
      <c r="F309" s="15" t="s">
        <v>336</v>
      </c>
      <c r="G309" s="27">
        <v>1117</v>
      </c>
      <c r="H309" s="27">
        <v>2696.19878672</v>
      </c>
      <c r="I309" s="15" t="s">
        <v>55</v>
      </c>
      <c r="K309" s="15" t="s">
        <v>30</v>
      </c>
      <c r="L309" s="15" t="s">
        <v>377</v>
      </c>
    </row>
    <row r="310" spans="1:12">
      <c r="A310" s="24">
        <v>277</v>
      </c>
      <c r="B310" s="15" t="s">
        <v>56</v>
      </c>
      <c r="C310" s="23">
        <v>780559.54909999995</v>
      </c>
      <c r="D310" s="23">
        <v>2422300.3769999999</v>
      </c>
      <c r="E310" s="15">
        <v>222</v>
      </c>
      <c r="F310" s="15" t="s">
        <v>336</v>
      </c>
      <c r="G310" s="27">
        <v>1117</v>
      </c>
      <c r="H310" s="27">
        <v>2696.19878672</v>
      </c>
      <c r="I310" s="15" t="s">
        <v>55</v>
      </c>
      <c r="K310" s="15" t="s">
        <v>30</v>
      </c>
      <c r="L310" s="15" t="s">
        <v>377</v>
      </c>
    </row>
    <row r="311" spans="1:12">
      <c r="A311" s="24">
        <v>280</v>
      </c>
      <c r="B311" s="15" t="s">
        <v>56</v>
      </c>
      <c r="C311" s="23">
        <v>781441.00890000002</v>
      </c>
      <c r="D311" s="23">
        <v>2422425.051</v>
      </c>
      <c r="E311" s="15">
        <v>543</v>
      </c>
      <c r="F311" s="15" t="s">
        <v>337</v>
      </c>
      <c r="G311" s="27">
        <v>21639.02</v>
      </c>
      <c r="H311" s="27">
        <v>30188.801271600001</v>
      </c>
      <c r="I311" s="15" t="s">
        <v>55</v>
      </c>
      <c r="K311" s="15" t="s">
        <v>30</v>
      </c>
      <c r="L311" s="15" t="s">
        <v>377</v>
      </c>
    </row>
    <row r="312" spans="1:12">
      <c r="A312" s="24">
        <v>280</v>
      </c>
      <c r="B312" s="15" t="s">
        <v>56</v>
      </c>
      <c r="C312" s="23">
        <v>781441.00890000002</v>
      </c>
      <c r="D312" s="23">
        <v>2422425.051</v>
      </c>
      <c r="E312" s="15">
        <v>543</v>
      </c>
      <c r="F312" s="15" t="s">
        <v>337</v>
      </c>
      <c r="G312" s="27">
        <v>21639.02</v>
      </c>
      <c r="H312" s="27">
        <v>30188.801271600001</v>
      </c>
      <c r="I312" s="15" t="s">
        <v>55</v>
      </c>
      <c r="K312" s="15" t="s">
        <v>30</v>
      </c>
      <c r="L312" s="15" t="s">
        <v>377</v>
      </c>
    </row>
    <row r="313" spans="1:12">
      <c r="A313" s="24">
        <v>280</v>
      </c>
      <c r="B313" s="15" t="s">
        <v>56</v>
      </c>
      <c r="C313" s="23">
        <v>781441.00890000002</v>
      </c>
      <c r="D313" s="23">
        <v>2422425.051</v>
      </c>
      <c r="E313" s="15">
        <v>543</v>
      </c>
      <c r="F313" s="15" t="s">
        <v>337</v>
      </c>
      <c r="G313" s="27">
        <v>21639.02</v>
      </c>
      <c r="H313" s="27">
        <v>30188.801271600001</v>
      </c>
      <c r="I313" s="15" t="s">
        <v>55</v>
      </c>
      <c r="K313" s="15" t="s">
        <v>30</v>
      </c>
      <c r="L313" s="15" t="s">
        <v>377</v>
      </c>
    </row>
    <row r="314" spans="1:12">
      <c r="A314" s="24">
        <v>280</v>
      </c>
      <c r="B314" s="15" t="s">
        <v>56</v>
      </c>
      <c r="C314" s="23">
        <v>781441.00890000002</v>
      </c>
      <c r="D314" s="23">
        <v>2422425.051</v>
      </c>
      <c r="E314" s="15">
        <v>543</v>
      </c>
      <c r="F314" s="15" t="s">
        <v>337</v>
      </c>
      <c r="G314" s="27">
        <v>21639.02</v>
      </c>
      <c r="H314" s="27">
        <v>30188.801271600001</v>
      </c>
      <c r="I314" s="15" t="s">
        <v>55</v>
      </c>
      <c r="K314" s="15" t="s">
        <v>30</v>
      </c>
      <c r="L314" s="15" t="s">
        <v>377</v>
      </c>
    </row>
    <row r="315" spans="1:12">
      <c r="A315" s="24">
        <v>280</v>
      </c>
      <c r="B315" s="15" t="s">
        <v>56</v>
      </c>
      <c r="C315" s="23">
        <v>781441.00890000002</v>
      </c>
      <c r="D315" s="23">
        <v>2422425.051</v>
      </c>
      <c r="E315" s="15">
        <v>543</v>
      </c>
      <c r="F315" s="15" t="s">
        <v>337</v>
      </c>
      <c r="G315" s="27">
        <v>21639.02</v>
      </c>
      <c r="H315" s="27">
        <v>30188.801271600001</v>
      </c>
      <c r="I315" s="15" t="s">
        <v>55</v>
      </c>
      <c r="K315" s="15" t="s">
        <v>30</v>
      </c>
      <c r="L315" s="15" t="s">
        <v>377</v>
      </c>
    </row>
    <row r="316" spans="1:12">
      <c r="A316" s="24">
        <v>280</v>
      </c>
      <c r="B316" s="15" t="s">
        <v>56</v>
      </c>
      <c r="C316" s="23">
        <v>781441.00890000002</v>
      </c>
      <c r="D316" s="23">
        <v>2422425.051</v>
      </c>
      <c r="E316" s="15">
        <v>543</v>
      </c>
      <c r="F316" s="15" t="s">
        <v>337</v>
      </c>
      <c r="G316" s="27">
        <v>21639.02</v>
      </c>
      <c r="H316" s="27">
        <v>30188.801271600001</v>
      </c>
      <c r="I316" s="15" t="s">
        <v>55</v>
      </c>
      <c r="K316" s="15" t="s">
        <v>30</v>
      </c>
      <c r="L316" s="15" t="s">
        <v>377</v>
      </c>
    </row>
    <row r="317" spans="1:12">
      <c r="A317" s="24">
        <v>280</v>
      </c>
      <c r="B317" s="15" t="s">
        <v>56</v>
      </c>
      <c r="C317" s="23">
        <v>781441.00890000002</v>
      </c>
      <c r="D317" s="23">
        <v>2422425.051</v>
      </c>
      <c r="E317" s="15">
        <v>543</v>
      </c>
      <c r="F317" s="15" t="s">
        <v>337</v>
      </c>
      <c r="G317" s="27">
        <v>21639.02</v>
      </c>
      <c r="H317" s="27">
        <v>30188.801271600001</v>
      </c>
      <c r="I317" s="15" t="s">
        <v>55</v>
      </c>
      <c r="K317" s="15" t="s">
        <v>30</v>
      </c>
      <c r="L317" s="15" t="s">
        <v>377</v>
      </c>
    </row>
    <row r="318" spans="1:12">
      <c r="A318" s="24">
        <v>280</v>
      </c>
      <c r="B318" s="15" t="s">
        <v>56</v>
      </c>
      <c r="C318" s="23">
        <v>781441.00890000002</v>
      </c>
      <c r="D318" s="23">
        <v>2422425.051</v>
      </c>
      <c r="E318" s="15">
        <v>543</v>
      </c>
      <c r="F318" s="15" t="s">
        <v>337</v>
      </c>
      <c r="G318" s="27">
        <v>21639.02</v>
      </c>
      <c r="H318" s="27">
        <v>30188.801271600001</v>
      </c>
      <c r="I318" s="15" t="s">
        <v>55</v>
      </c>
      <c r="K318" s="15" t="s">
        <v>30</v>
      </c>
      <c r="L318" s="15" t="s">
        <v>377</v>
      </c>
    </row>
    <row r="319" spans="1:12">
      <c r="A319" s="24">
        <v>280</v>
      </c>
      <c r="B319" s="15" t="s">
        <v>56</v>
      </c>
      <c r="C319" s="23">
        <v>781441.00890000002</v>
      </c>
      <c r="D319" s="23">
        <v>2422425.051</v>
      </c>
      <c r="E319" s="15">
        <v>543</v>
      </c>
      <c r="F319" s="15" t="s">
        <v>337</v>
      </c>
      <c r="G319" s="27">
        <v>21639.02</v>
      </c>
      <c r="H319" s="27">
        <v>30188.801271600001</v>
      </c>
      <c r="I319" s="15" t="s">
        <v>55</v>
      </c>
      <c r="K319" s="15" t="s">
        <v>30</v>
      </c>
      <c r="L319" s="15" t="s">
        <v>377</v>
      </c>
    </row>
    <row r="320" spans="1:12">
      <c r="A320" s="24">
        <v>280</v>
      </c>
      <c r="B320" s="15" t="s">
        <v>56</v>
      </c>
      <c r="C320" s="23">
        <v>781441.00890000002</v>
      </c>
      <c r="D320" s="23">
        <v>2422425.051</v>
      </c>
      <c r="E320" s="15">
        <v>543</v>
      </c>
      <c r="F320" s="15" t="s">
        <v>337</v>
      </c>
      <c r="G320" s="27">
        <v>21639.02</v>
      </c>
      <c r="H320" s="27">
        <v>30188.801271600001</v>
      </c>
      <c r="I320" s="15" t="s">
        <v>55</v>
      </c>
      <c r="K320" s="15" t="s">
        <v>30</v>
      </c>
      <c r="L320" s="15" t="s">
        <v>377</v>
      </c>
    </row>
    <row r="321" spans="1:12">
      <c r="A321" s="24">
        <v>280</v>
      </c>
      <c r="B321" s="15" t="s">
        <v>56</v>
      </c>
      <c r="C321" s="23">
        <v>781441.00890000002</v>
      </c>
      <c r="D321" s="23">
        <v>2422425.051</v>
      </c>
      <c r="E321" s="15">
        <v>543</v>
      </c>
      <c r="F321" s="15" t="s">
        <v>337</v>
      </c>
      <c r="G321" s="27">
        <v>21639.02</v>
      </c>
      <c r="H321" s="27">
        <v>30188.801271600001</v>
      </c>
      <c r="I321" s="15" t="s">
        <v>55</v>
      </c>
      <c r="K321" s="15" t="s">
        <v>30</v>
      </c>
      <c r="L321" s="15" t="s">
        <v>377</v>
      </c>
    </row>
    <row r="322" spans="1:12">
      <c r="A322" s="24">
        <v>280</v>
      </c>
      <c r="B322" s="15" t="s">
        <v>56</v>
      </c>
      <c r="C322" s="23">
        <v>781441.00890000002</v>
      </c>
      <c r="D322" s="23">
        <v>2422425.051</v>
      </c>
      <c r="E322" s="15">
        <v>543</v>
      </c>
      <c r="F322" s="15" t="s">
        <v>337</v>
      </c>
      <c r="G322" s="27">
        <v>21639.02</v>
      </c>
      <c r="H322" s="27">
        <v>30188.801271600001</v>
      </c>
      <c r="I322" s="15" t="s">
        <v>55</v>
      </c>
      <c r="K322" s="15" t="s">
        <v>30</v>
      </c>
      <c r="L322" s="15" t="s">
        <v>377</v>
      </c>
    </row>
    <row r="323" spans="1:12">
      <c r="A323" s="24">
        <v>280</v>
      </c>
      <c r="B323" s="15" t="s">
        <v>56</v>
      </c>
      <c r="C323" s="23">
        <v>781441.00890000002</v>
      </c>
      <c r="D323" s="23">
        <v>2422425.051</v>
      </c>
      <c r="E323" s="15">
        <v>543</v>
      </c>
      <c r="F323" s="15" t="s">
        <v>337</v>
      </c>
      <c r="G323" s="27">
        <v>21639.02</v>
      </c>
      <c r="H323" s="27">
        <v>30188.801271600001</v>
      </c>
      <c r="I323" s="15" t="s">
        <v>55</v>
      </c>
      <c r="K323" s="15" t="s">
        <v>30</v>
      </c>
      <c r="L323" s="15" t="s">
        <v>377</v>
      </c>
    </row>
    <row r="324" spans="1:12">
      <c r="A324" s="24">
        <v>280</v>
      </c>
      <c r="B324" s="15" t="s">
        <v>56</v>
      </c>
      <c r="C324" s="23">
        <v>781441.00890000002</v>
      </c>
      <c r="D324" s="23">
        <v>2422425.051</v>
      </c>
      <c r="E324" s="15">
        <v>543</v>
      </c>
      <c r="F324" s="15" t="s">
        <v>337</v>
      </c>
      <c r="G324" s="27">
        <v>21639.02</v>
      </c>
      <c r="H324" s="27">
        <v>30188.801271600001</v>
      </c>
      <c r="I324" s="15" t="s">
        <v>55</v>
      </c>
      <c r="K324" s="15" t="s">
        <v>30</v>
      </c>
      <c r="L324" s="15" t="s">
        <v>377</v>
      </c>
    </row>
    <row r="325" spans="1:12">
      <c r="A325" s="24">
        <v>280</v>
      </c>
      <c r="B325" s="15" t="s">
        <v>56</v>
      </c>
      <c r="C325" s="23">
        <v>781441.00890000002</v>
      </c>
      <c r="D325" s="23">
        <v>2422425.051</v>
      </c>
      <c r="E325" s="15">
        <v>543</v>
      </c>
      <c r="F325" s="15" t="s">
        <v>337</v>
      </c>
      <c r="G325" s="27">
        <v>21639.02</v>
      </c>
      <c r="H325" s="27">
        <v>30188.801271600001</v>
      </c>
      <c r="I325" s="15" t="s">
        <v>55</v>
      </c>
      <c r="K325" s="15" t="s">
        <v>30</v>
      </c>
      <c r="L325" s="15" t="s">
        <v>377</v>
      </c>
    </row>
    <row r="326" spans="1:12">
      <c r="A326" s="24">
        <v>280</v>
      </c>
      <c r="B326" s="15" t="s">
        <v>56</v>
      </c>
      <c r="C326" s="23">
        <v>781441.00890000002</v>
      </c>
      <c r="D326" s="23">
        <v>2422425.051</v>
      </c>
      <c r="E326" s="15">
        <v>543</v>
      </c>
      <c r="F326" s="15" t="s">
        <v>337</v>
      </c>
      <c r="G326" s="27">
        <v>21639.02</v>
      </c>
      <c r="H326" s="27">
        <v>30188.801271600001</v>
      </c>
      <c r="I326" s="15" t="s">
        <v>55</v>
      </c>
      <c r="K326" s="15" t="s">
        <v>30</v>
      </c>
      <c r="L326" s="15" t="s">
        <v>377</v>
      </c>
    </row>
    <row r="327" spans="1:12">
      <c r="A327" s="24">
        <v>280</v>
      </c>
      <c r="B327" s="15" t="s">
        <v>56</v>
      </c>
      <c r="C327" s="23">
        <v>781441.00890000002</v>
      </c>
      <c r="D327" s="23">
        <v>2422425.051</v>
      </c>
      <c r="E327" s="15">
        <v>543</v>
      </c>
      <c r="F327" s="15" t="s">
        <v>337</v>
      </c>
      <c r="G327" s="27">
        <v>21639.02</v>
      </c>
      <c r="H327" s="27">
        <v>30188.801271600001</v>
      </c>
      <c r="I327" s="15" t="s">
        <v>55</v>
      </c>
      <c r="K327" s="15" t="s">
        <v>30</v>
      </c>
      <c r="L327" s="15" t="s">
        <v>377</v>
      </c>
    </row>
    <row r="328" spans="1:12">
      <c r="A328" s="24">
        <v>281</v>
      </c>
      <c r="B328" s="15" t="s">
        <v>56</v>
      </c>
      <c r="C328" s="23">
        <v>780990.19149999996</v>
      </c>
      <c r="D328" s="23">
        <v>2422346.1949999998</v>
      </c>
      <c r="E328" s="15">
        <v>159</v>
      </c>
      <c r="F328" s="15" t="s">
        <v>308</v>
      </c>
      <c r="G328" s="27">
        <v>0</v>
      </c>
      <c r="H328" s="27">
        <v>818.70403470899998</v>
      </c>
      <c r="K328" s="15" t="s">
        <v>30</v>
      </c>
      <c r="L328" s="15" t="s">
        <v>377</v>
      </c>
    </row>
    <row r="329" spans="1:12">
      <c r="A329" s="24">
        <v>281</v>
      </c>
      <c r="B329" s="15" t="s">
        <v>56</v>
      </c>
      <c r="C329" s="23">
        <v>780990.19149999996</v>
      </c>
      <c r="D329" s="23">
        <v>2422346.1949999998</v>
      </c>
      <c r="E329" s="15">
        <v>159</v>
      </c>
      <c r="F329" s="15" t="s">
        <v>308</v>
      </c>
      <c r="G329" s="27">
        <v>0</v>
      </c>
      <c r="H329" s="27">
        <v>818.70403470899998</v>
      </c>
      <c r="K329" s="15" t="s">
        <v>30</v>
      </c>
      <c r="L329" s="15" t="s">
        <v>377</v>
      </c>
    </row>
    <row r="330" spans="1:12">
      <c r="A330" s="24">
        <v>282</v>
      </c>
      <c r="B330" s="15" t="s">
        <v>56</v>
      </c>
      <c r="C330" s="23">
        <v>779332.01580000005</v>
      </c>
      <c r="D330" s="23">
        <v>2422054.068</v>
      </c>
      <c r="E330" s="15">
        <v>546</v>
      </c>
      <c r="F330" s="15" t="s">
        <v>338</v>
      </c>
      <c r="G330" s="27">
        <v>0</v>
      </c>
      <c r="H330" s="27">
        <v>6628.6899045299997</v>
      </c>
      <c r="I330" s="15" t="s">
        <v>55</v>
      </c>
      <c r="K330" s="15" t="s">
        <v>24</v>
      </c>
      <c r="L330" s="15" t="s">
        <v>377</v>
      </c>
    </row>
    <row r="331" spans="1:12">
      <c r="A331" s="24">
        <v>286</v>
      </c>
      <c r="B331" s="15" t="s">
        <v>56</v>
      </c>
      <c r="C331" s="23">
        <v>779447.97609999997</v>
      </c>
      <c r="D331" s="23">
        <v>2422092.73</v>
      </c>
      <c r="E331" s="15">
        <v>545</v>
      </c>
      <c r="F331" s="15" t="s">
        <v>309</v>
      </c>
      <c r="G331" s="27">
        <v>0</v>
      </c>
      <c r="H331" s="27">
        <v>5692.7302360000003</v>
      </c>
      <c r="I331" s="15" t="s">
        <v>55</v>
      </c>
      <c r="K331" s="15" t="s">
        <v>24</v>
      </c>
      <c r="L331" s="15" t="s">
        <v>377</v>
      </c>
    </row>
    <row r="332" spans="1:12">
      <c r="A332" s="24">
        <v>287</v>
      </c>
      <c r="B332" s="15" t="s">
        <v>56</v>
      </c>
      <c r="C332" s="23">
        <v>778672.30420000001</v>
      </c>
      <c r="D332" s="23">
        <v>2421943.2209999999</v>
      </c>
      <c r="E332" s="15">
        <v>580</v>
      </c>
      <c r="F332" s="15" t="s">
        <v>310</v>
      </c>
      <c r="G332" s="27">
        <v>6359.46</v>
      </c>
      <c r="H332" s="27">
        <v>40.376008138700001</v>
      </c>
      <c r="K332" s="15" t="s">
        <v>24</v>
      </c>
      <c r="L332" s="15" t="s">
        <v>377</v>
      </c>
    </row>
    <row r="333" spans="1:12">
      <c r="A333" s="24">
        <v>290</v>
      </c>
      <c r="B333" s="15" t="s">
        <v>56</v>
      </c>
      <c r="C333" s="23">
        <v>779766.72470000002</v>
      </c>
      <c r="D333" s="23">
        <v>2421442.2370000002</v>
      </c>
      <c r="E333" s="15">
        <v>548</v>
      </c>
      <c r="F333" s="15" t="s">
        <v>260</v>
      </c>
      <c r="G333" s="27">
        <v>1514.92</v>
      </c>
      <c r="H333" s="27">
        <v>2314.7267770499998</v>
      </c>
      <c r="I333" s="15" t="s">
        <v>55</v>
      </c>
      <c r="K333" s="15" t="s">
        <v>30</v>
      </c>
      <c r="L333" s="15" t="s">
        <v>377</v>
      </c>
    </row>
    <row r="334" spans="1:12">
      <c r="A334" s="24">
        <v>291</v>
      </c>
      <c r="B334" s="15" t="s">
        <v>56</v>
      </c>
      <c r="C334" s="23">
        <v>779574.43070000003</v>
      </c>
      <c r="D334" s="23">
        <v>2422054.9550000001</v>
      </c>
      <c r="E334" s="15">
        <v>571</v>
      </c>
      <c r="F334" s="15" t="s">
        <v>311</v>
      </c>
      <c r="G334" s="27">
        <v>299.74</v>
      </c>
      <c r="H334" s="27">
        <v>76.324964622400003</v>
      </c>
      <c r="K334" s="15" t="s">
        <v>30</v>
      </c>
      <c r="L334" s="15" t="s">
        <v>377</v>
      </c>
    </row>
    <row r="335" spans="1:12">
      <c r="A335" s="24">
        <v>291</v>
      </c>
      <c r="B335" s="15" t="s">
        <v>56</v>
      </c>
      <c r="C335" s="23">
        <v>779574.43070000003</v>
      </c>
      <c r="D335" s="23">
        <v>2422054.9550000001</v>
      </c>
      <c r="E335" s="15">
        <v>571</v>
      </c>
      <c r="F335" s="15" t="s">
        <v>311</v>
      </c>
      <c r="G335" s="27">
        <v>299.74</v>
      </c>
      <c r="H335" s="27">
        <v>76.324964622400003</v>
      </c>
      <c r="K335" s="15" t="s">
        <v>30</v>
      </c>
      <c r="L335" s="15" t="s">
        <v>377</v>
      </c>
    </row>
    <row r="336" spans="1:12">
      <c r="A336" s="24">
        <v>303</v>
      </c>
      <c r="B336" s="15" t="s">
        <v>75</v>
      </c>
      <c r="C336" s="23">
        <v>778192.92090000003</v>
      </c>
      <c r="D336" s="23">
        <v>2420781.8119999999</v>
      </c>
      <c r="E336" s="15">
        <v>659</v>
      </c>
      <c r="F336" s="15" t="s">
        <v>339</v>
      </c>
      <c r="G336" s="27">
        <v>0</v>
      </c>
      <c r="H336" s="27">
        <v>8900.2523600299992</v>
      </c>
      <c r="K336" s="15" t="s">
        <v>24</v>
      </c>
      <c r="L336" s="15" t="s">
        <v>377</v>
      </c>
    </row>
    <row r="337" spans="1:12">
      <c r="A337" s="24">
        <v>303</v>
      </c>
      <c r="B337" s="15" t="s">
        <v>75</v>
      </c>
      <c r="C337" s="23">
        <v>778192.92090000003</v>
      </c>
      <c r="D337" s="23">
        <v>2420781.8119999999</v>
      </c>
      <c r="E337" s="15">
        <v>659</v>
      </c>
      <c r="F337" s="15" t="s">
        <v>339</v>
      </c>
      <c r="G337" s="27">
        <v>0</v>
      </c>
      <c r="H337" s="27">
        <v>8900.2523600299992</v>
      </c>
      <c r="K337" s="15" t="s">
        <v>24</v>
      </c>
      <c r="L337" s="15" t="s">
        <v>377</v>
      </c>
    </row>
    <row r="338" spans="1:12">
      <c r="A338" s="24">
        <v>303</v>
      </c>
      <c r="B338" s="15" t="s">
        <v>75</v>
      </c>
      <c r="C338" s="23">
        <v>778192.92090000003</v>
      </c>
      <c r="D338" s="23">
        <v>2420781.8119999999</v>
      </c>
      <c r="E338" s="15">
        <v>659</v>
      </c>
      <c r="F338" s="15" t="s">
        <v>339</v>
      </c>
      <c r="G338" s="27">
        <v>0</v>
      </c>
      <c r="H338" s="27">
        <v>8900.2523600299992</v>
      </c>
      <c r="K338" s="15" t="s">
        <v>24</v>
      </c>
      <c r="L338" s="15" t="s">
        <v>377</v>
      </c>
    </row>
    <row r="339" spans="1:12">
      <c r="A339" s="24">
        <v>303</v>
      </c>
      <c r="B339" s="15" t="s">
        <v>75</v>
      </c>
      <c r="C339" s="23">
        <v>778192.92090000003</v>
      </c>
      <c r="D339" s="23">
        <v>2420781.8119999999</v>
      </c>
      <c r="E339" s="15">
        <v>659</v>
      </c>
      <c r="F339" s="15" t="s">
        <v>339</v>
      </c>
      <c r="G339" s="27">
        <v>0</v>
      </c>
      <c r="H339" s="27">
        <v>8900.2523600299992</v>
      </c>
      <c r="K339" s="15" t="s">
        <v>24</v>
      </c>
      <c r="L339" s="15" t="s">
        <v>377</v>
      </c>
    </row>
    <row r="340" spans="1:12">
      <c r="A340" s="24">
        <v>303</v>
      </c>
      <c r="B340" s="15" t="s">
        <v>75</v>
      </c>
      <c r="C340" s="23">
        <v>778192.92090000003</v>
      </c>
      <c r="D340" s="23">
        <v>2420781.8119999999</v>
      </c>
      <c r="E340" s="15">
        <v>659</v>
      </c>
      <c r="F340" s="15" t="s">
        <v>339</v>
      </c>
      <c r="G340" s="27">
        <v>0</v>
      </c>
      <c r="H340" s="27">
        <v>8900.2523600299992</v>
      </c>
      <c r="K340" s="15" t="s">
        <v>24</v>
      </c>
      <c r="L340" s="15" t="s">
        <v>377</v>
      </c>
    </row>
    <row r="341" spans="1:12">
      <c r="A341" s="24">
        <v>303</v>
      </c>
      <c r="B341" s="15" t="s">
        <v>75</v>
      </c>
      <c r="C341" s="23">
        <v>778192.92090000003</v>
      </c>
      <c r="D341" s="23">
        <v>2420781.8119999999</v>
      </c>
      <c r="E341" s="15">
        <v>659</v>
      </c>
      <c r="F341" s="15" t="s">
        <v>339</v>
      </c>
      <c r="G341" s="27">
        <v>0</v>
      </c>
      <c r="H341" s="27">
        <v>8900.2523600299992</v>
      </c>
      <c r="K341" s="15" t="s">
        <v>24</v>
      </c>
      <c r="L341" s="15" t="s">
        <v>377</v>
      </c>
    </row>
    <row r="342" spans="1:12">
      <c r="A342" s="24">
        <v>303</v>
      </c>
      <c r="B342" s="15" t="s">
        <v>75</v>
      </c>
      <c r="C342" s="23">
        <v>778192.92090000003</v>
      </c>
      <c r="D342" s="23">
        <v>2420781.8119999999</v>
      </c>
      <c r="E342" s="15">
        <v>659</v>
      </c>
      <c r="F342" s="15" t="s">
        <v>339</v>
      </c>
      <c r="G342" s="27">
        <v>0</v>
      </c>
      <c r="H342" s="27">
        <v>8900.2523600299992</v>
      </c>
      <c r="K342" s="15" t="s">
        <v>24</v>
      </c>
      <c r="L342" s="15" t="s">
        <v>377</v>
      </c>
    </row>
    <row r="343" spans="1:12">
      <c r="A343" s="24">
        <v>309</v>
      </c>
      <c r="B343" s="15" t="s">
        <v>135</v>
      </c>
      <c r="C343" s="23">
        <v>780603.22400000005</v>
      </c>
      <c r="D343" s="23">
        <v>2424107.497</v>
      </c>
      <c r="E343" s="15">
        <v>679</v>
      </c>
      <c r="F343" s="15" t="s">
        <v>340</v>
      </c>
      <c r="G343" s="27">
        <v>0</v>
      </c>
      <c r="H343" s="27">
        <v>53382.581198</v>
      </c>
      <c r="K343" s="15" t="s">
        <v>30</v>
      </c>
      <c r="L343" s="15" t="s">
        <v>377</v>
      </c>
    </row>
    <row r="344" spans="1:12">
      <c r="A344" s="24">
        <v>309</v>
      </c>
      <c r="B344" s="15" t="s">
        <v>135</v>
      </c>
      <c r="C344" s="23">
        <v>780603.22400000005</v>
      </c>
      <c r="D344" s="23">
        <v>2424107.497</v>
      </c>
      <c r="E344" s="15">
        <v>679</v>
      </c>
      <c r="F344" s="15" t="s">
        <v>340</v>
      </c>
      <c r="G344" s="27">
        <v>0</v>
      </c>
      <c r="H344" s="27">
        <v>53382.581198</v>
      </c>
      <c r="K344" s="15" t="s">
        <v>30</v>
      </c>
      <c r="L344" s="15" t="s">
        <v>377</v>
      </c>
    </row>
    <row r="345" spans="1:12">
      <c r="A345" s="24">
        <v>319</v>
      </c>
      <c r="B345" s="15" t="s">
        <v>56</v>
      </c>
      <c r="C345" s="23">
        <v>780320.86849999998</v>
      </c>
      <c r="D345" s="23">
        <v>2420909.753</v>
      </c>
      <c r="E345" s="15">
        <v>590</v>
      </c>
      <c r="F345" s="15" t="s">
        <v>341</v>
      </c>
      <c r="G345" s="27">
        <v>6125.49</v>
      </c>
      <c r="H345" s="27">
        <v>572.65911294900002</v>
      </c>
      <c r="K345" s="15" t="s">
        <v>30</v>
      </c>
      <c r="L345" s="15" t="s">
        <v>377</v>
      </c>
    </row>
    <row r="346" spans="1:12">
      <c r="A346" s="24">
        <v>319</v>
      </c>
      <c r="B346" s="15" t="s">
        <v>56</v>
      </c>
      <c r="C346" s="23">
        <v>780320.86849999998</v>
      </c>
      <c r="D346" s="23">
        <v>2420909.753</v>
      </c>
      <c r="E346" s="15">
        <v>590</v>
      </c>
      <c r="F346" s="15" t="s">
        <v>341</v>
      </c>
      <c r="G346" s="27">
        <v>6125.49</v>
      </c>
      <c r="H346" s="27">
        <v>572.65911294900002</v>
      </c>
      <c r="K346" s="15" t="s">
        <v>30</v>
      </c>
      <c r="L346" s="15" t="s">
        <v>377</v>
      </c>
    </row>
    <row r="347" spans="1:12">
      <c r="A347" s="24">
        <v>319</v>
      </c>
      <c r="B347" s="15" t="s">
        <v>56</v>
      </c>
      <c r="C347" s="23">
        <v>780320.86849999998</v>
      </c>
      <c r="D347" s="23">
        <v>2420909.753</v>
      </c>
      <c r="E347" s="15">
        <v>590</v>
      </c>
      <c r="F347" s="15" t="s">
        <v>341</v>
      </c>
      <c r="G347" s="27">
        <v>6125.49</v>
      </c>
      <c r="H347" s="27">
        <v>572.65911294900002</v>
      </c>
      <c r="K347" s="15" t="s">
        <v>30</v>
      </c>
      <c r="L347" s="15" t="s">
        <v>377</v>
      </c>
    </row>
    <row r="348" spans="1:12">
      <c r="A348" s="24">
        <v>319</v>
      </c>
      <c r="B348" s="15" t="s">
        <v>56</v>
      </c>
      <c r="C348" s="23">
        <v>780320.86849999998</v>
      </c>
      <c r="D348" s="23">
        <v>2420909.753</v>
      </c>
      <c r="E348" s="15">
        <v>590</v>
      </c>
      <c r="F348" s="15" t="s">
        <v>341</v>
      </c>
      <c r="G348" s="27">
        <v>6125.49</v>
      </c>
      <c r="H348" s="27">
        <v>572.65911294900002</v>
      </c>
      <c r="K348" s="15" t="s">
        <v>30</v>
      </c>
      <c r="L348" s="15" t="s">
        <v>377</v>
      </c>
    </row>
    <row r="349" spans="1:12">
      <c r="A349" s="24">
        <v>319</v>
      </c>
      <c r="B349" s="15" t="s">
        <v>56</v>
      </c>
      <c r="C349" s="23">
        <v>780320.86849999998</v>
      </c>
      <c r="D349" s="23">
        <v>2420909.753</v>
      </c>
      <c r="E349" s="15">
        <v>590</v>
      </c>
      <c r="F349" s="15" t="s">
        <v>341</v>
      </c>
      <c r="G349" s="27">
        <v>6125.49</v>
      </c>
      <c r="H349" s="27">
        <v>572.65911294900002</v>
      </c>
      <c r="K349" s="15" t="s">
        <v>30</v>
      </c>
      <c r="L349" s="15" t="s">
        <v>377</v>
      </c>
    </row>
    <row r="350" spans="1:12">
      <c r="A350" s="24">
        <v>319</v>
      </c>
      <c r="B350" s="15" t="s">
        <v>56</v>
      </c>
      <c r="C350" s="23">
        <v>780320.86849999998</v>
      </c>
      <c r="D350" s="23">
        <v>2420909.753</v>
      </c>
      <c r="E350" s="15">
        <v>590</v>
      </c>
      <c r="F350" s="15" t="s">
        <v>341</v>
      </c>
      <c r="G350" s="27">
        <v>6125.49</v>
      </c>
      <c r="H350" s="27">
        <v>572.65911294900002</v>
      </c>
      <c r="K350" s="15" t="s">
        <v>30</v>
      </c>
      <c r="L350" s="15" t="s">
        <v>377</v>
      </c>
    </row>
    <row r="351" spans="1:12">
      <c r="A351" s="24">
        <v>320</v>
      </c>
      <c r="B351" s="15" t="s">
        <v>67</v>
      </c>
      <c r="C351" s="23">
        <v>783449.28188100003</v>
      </c>
      <c r="D351" s="23">
        <v>2419997.9179500001</v>
      </c>
      <c r="E351" s="15">
        <v>714</v>
      </c>
      <c r="F351" s="15" t="s">
        <v>342</v>
      </c>
      <c r="G351" s="27">
        <v>0</v>
      </c>
      <c r="H351" s="27">
        <v>15838.4039407</v>
      </c>
      <c r="K351" s="15" t="s">
        <v>27</v>
      </c>
      <c r="L351" s="15" t="s">
        <v>377</v>
      </c>
    </row>
    <row r="352" spans="1:12">
      <c r="A352" s="24">
        <v>320</v>
      </c>
      <c r="B352" s="15" t="s">
        <v>67</v>
      </c>
      <c r="C352" s="23">
        <v>783449.28188100003</v>
      </c>
      <c r="D352" s="23">
        <v>2419997.9179500001</v>
      </c>
      <c r="E352" s="15">
        <v>714</v>
      </c>
      <c r="F352" s="15" t="s">
        <v>342</v>
      </c>
      <c r="G352" s="27">
        <v>0</v>
      </c>
      <c r="H352" s="27">
        <v>15838.4039407</v>
      </c>
      <c r="K352" s="15" t="s">
        <v>27</v>
      </c>
      <c r="L352" s="15" t="s">
        <v>377</v>
      </c>
    </row>
    <row r="353" spans="1:12">
      <c r="A353" s="24">
        <v>62</v>
      </c>
      <c r="B353" s="15" t="s">
        <v>97</v>
      </c>
      <c r="C353" s="23">
        <v>784862.78300000005</v>
      </c>
      <c r="D353" s="23">
        <v>2422532.341</v>
      </c>
      <c r="E353" s="15">
        <v>651</v>
      </c>
      <c r="F353" s="15" t="s">
        <v>333</v>
      </c>
      <c r="G353" s="27">
        <v>0</v>
      </c>
      <c r="H353" s="27">
        <v>357698.19833799999</v>
      </c>
      <c r="K353" s="15" t="s">
        <v>28</v>
      </c>
      <c r="L353" s="15" t="s">
        <v>377</v>
      </c>
    </row>
    <row r="354" spans="1:12">
      <c r="A354" s="24">
        <v>62</v>
      </c>
      <c r="B354" s="15" t="s">
        <v>97</v>
      </c>
      <c r="C354" s="23">
        <v>784862.78300000005</v>
      </c>
      <c r="D354" s="23">
        <v>2422532.341</v>
      </c>
      <c r="E354" s="15">
        <v>651</v>
      </c>
      <c r="F354" s="15" t="s">
        <v>333</v>
      </c>
      <c r="G354" s="27">
        <v>0</v>
      </c>
      <c r="H354" s="27">
        <v>357698.19833799999</v>
      </c>
      <c r="K354" s="15" t="s">
        <v>28</v>
      </c>
      <c r="L354" s="15" t="s">
        <v>377</v>
      </c>
    </row>
    <row r="355" spans="1:12">
      <c r="A355" s="24">
        <v>62</v>
      </c>
      <c r="B355" s="15" t="s">
        <v>97</v>
      </c>
      <c r="C355" s="23">
        <v>784862.78300000005</v>
      </c>
      <c r="D355" s="23">
        <v>2422532.341</v>
      </c>
      <c r="E355" s="15">
        <v>651</v>
      </c>
      <c r="F355" s="15" t="s">
        <v>333</v>
      </c>
      <c r="G355" s="27">
        <v>0</v>
      </c>
      <c r="H355" s="27">
        <v>357698.19833799999</v>
      </c>
      <c r="K355" s="15" t="s">
        <v>28</v>
      </c>
      <c r="L355" s="15" t="s">
        <v>377</v>
      </c>
    </row>
    <row r="356" spans="1:12">
      <c r="A356" s="24">
        <v>64</v>
      </c>
      <c r="B356" s="15" t="s">
        <v>116</v>
      </c>
      <c r="C356" s="23">
        <v>782514.97039999999</v>
      </c>
      <c r="D356" s="23">
        <v>2416247.9890000001</v>
      </c>
      <c r="E356" s="15">
        <v>517</v>
      </c>
      <c r="F356" s="15" t="s">
        <v>343</v>
      </c>
      <c r="G356" s="27">
        <v>1919.6246000000001</v>
      </c>
      <c r="H356" s="27">
        <v>4598.8247261200004</v>
      </c>
      <c r="I356" s="15" t="s">
        <v>55</v>
      </c>
      <c r="K356" s="15" t="s">
        <v>28</v>
      </c>
      <c r="L356" s="15" t="s">
        <v>377</v>
      </c>
    </row>
    <row r="357" spans="1:12">
      <c r="A357" s="24">
        <v>64</v>
      </c>
      <c r="B357" s="15" t="s">
        <v>116</v>
      </c>
      <c r="C357" s="23">
        <v>782514.97039999999</v>
      </c>
      <c r="D357" s="23">
        <v>2416247.9890000001</v>
      </c>
      <c r="E357" s="15">
        <v>517</v>
      </c>
      <c r="F357" s="15" t="s">
        <v>343</v>
      </c>
      <c r="G357" s="27">
        <v>1919.6246000000001</v>
      </c>
      <c r="H357" s="27">
        <v>4598.8247261200004</v>
      </c>
      <c r="I357" s="15" t="s">
        <v>55</v>
      </c>
      <c r="K357" s="15" t="s">
        <v>28</v>
      </c>
      <c r="L357" s="15" t="s">
        <v>377</v>
      </c>
    </row>
    <row r="358" spans="1:12">
      <c r="A358" s="24">
        <v>65</v>
      </c>
      <c r="B358" s="15" t="s">
        <v>116</v>
      </c>
      <c r="C358" s="23">
        <v>782257.66489999997</v>
      </c>
      <c r="D358" s="23">
        <v>2415361.5929999999</v>
      </c>
      <c r="E358" s="15">
        <v>514</v>
      </c>
      <c r="F358" s="15" t="s">
        <v>344</v>
      </c>
      <c r="G358" s="27">
        <v>0</v>
      </c>
      <c r="H358" s="27">
        <v>6174.2391342000001</v>
      </c>
      <c r="I358" s="15" t="s">
        <v>55</v>
      </c>
      <c r="K358" s="15" t="s">
        <v>28</v>
      </c>
      <c r="L358" s="15" t="s">
        <v>377</v>
      </c>
    </row>
    <row r="359" spans="1:12">
      <c r="A359" s="24">
        <v>65</v>
      </c>
      <c r="B359" s="15" t="s">
        <v>116</v>
      </c>
      <c r="C359" s="23">
        <v>782257.66489999997</v>
      </c>
      <c r="D359" s="23">
        <v>2415361.5929999999</v>
      </c>
      <c r="E359" s="15">
        <v>514</v>
      </c>
      <c r="F359" s="15" t="s">
        <v>344</v>
      </c>
      <c r="G359" s="27">
        <v>0</v>
      </c>
      <c r="H359" s="27">
        <v>6174.2391342000001</v>
      </c>
      <c r="I359" s="15" t="s">
        <v>55</v>
      </c>
      <c r="K359" s="15" t="s">
        <v>28</v>
      </c>
      <c r="L359" s="15" t="s">
        <v>377</v>
      </c>
    </row>
    <row r="360" spans="1:12">
      <c r="A360" s="24">
        <v>65</v>
      </c>
      <c r="B360" s="15" t="s">
        <v>116</v>
      </c>
      <c r="C360" s="23">
        <v>782257.66489999997</v>
      </c>
      <c r="D360" s="23">
        <v>2415361.5929999999</v>
      </c>
      <c r="E360" s="15">
        <v>514</v>
      </c>
      <c r="F360" s="15" t="s">
        <v>344</v>
      </c>
      <c r="G360" s="27">
        <v>0</v>
      </c>
      <c r="H360" s="27">
        <v>6174.2391342000001</v>
      </c>
      <c r="I360" s="15" t="s">
        <v>55</v>
      </c>
      <c r="K360" s="15" t="s">
        <v>28</v>
      </c>
      <c r="L360" s="15" t="s">
        <v>377</v>
      </c>
    </row>
    <row r="361" spans="1:12">
      <c r="A361" s="24">
        <v>304</v>
      </c>
      <c r="B361" s="15" t="s">
        <v>37</v>
      </c>
      <c r="C361" s="23">
        <v>782560.02439999999</v>
      </c>
      <c r="D361" s="23">
        <v>2414081.8870000001</v>
      </c>
      <c r="E361" s="15">
        <v>665</v>
      </c>
      <c r="F361" s="15" t="s">
        <v>345</v>
      </c>
      <c r="G361" s="27">
        <v>0</v>
      </c>
      <c r="H361" s="27">
        <v>26342.592540599999</v>
      </c>
      <c r="K361" s="15" t="s">
        <v>28</v>
      </c>
      <c r="L361" s="15" t="s">
        <v>377</v>
      </c>
    </row>
    <row r="362" spans="1:12">
      <c r="A362" s="24">
        <v>304</v>
      </c>
      <c r="B362" s="15" t="s">
        <v>37</v>
      </c>
      <c r="C362" s="23">
        <v>782560.02439999999</v>
      </c>
      <c r="D362" s="23">
        <v>2414081.8870000001</v>
      </c>
      <c r="E362" s="15">
        <v>665</v>
      </c>
      <c r="F362" s="15" t="s">
        <v>345</v>
      </c>
      <c r="G362" s="27">
        <v>0</v>
      </c>
      <c r="H362" s="27">
        <v>26342.592540599999</v>
      </c>
      <c r="K362" s="15" t="s">
        <v>28</v>
      </c>
      <c r="L362" s="15" t="s">
        <v>377</v>
      </c>
    </row>
    <row r="363" spans="1:12">
      <c r="A363" s="24">
        <v>304</v>
      </c>
      <c r="B363" s="15" t="s">
        <v>37</v>
      </c>
      <c r="C363" s="23">
        <v>782560.02439999999</v>
      </c>
      <c r="D363" s="23">
        <v>2414081.8870000001</v>
      </c>
      <c r="E363" s="15">
        <v>665</v>
      </c>
      <c r="F363" s="15" t="s">
        <v>345</v>
      </c>
      <c r="G363" s="27">
        <v>0</v>
      </c>
      <c r="H363" s="27">
        <v>26342.592540599999</v>
      </c>
      <c r="K363" s="15" t="s">
        <v>28</v>
      </c>
      <c r="L363" s="15" t="s">
        <v>377</v>
      </c>
    </row>
    <row r="364" spans="1:12">
      <c r="A364" s="24">
        <v>304</v>
      </c>
      <c r="B364" s="15" t="s">
        <v>37</v>
      </c>
      <c r="C364" s="23">
        <v>782560.02439999999</v>
      </c>
      <c r="D364" s="23">
        <v>2414081.8870000001</v>
      </c>
      <c r="E364" s="15">
        <v>665</v>
      </c>
      <c r="F364" s="15" t="s">
        <v>345</v>
      </c>
      <c r="G364" s="27">
        <v>0</v>
      </c>
      <c r="H364" s="27">
        <v>26342.592540599999</v>
      </c>
      <c r="K364" s="15" t="s">
        <v>28</v>
      </c>
      <c r="L364" s="15" t="s">
        <v>377</v>
      </c>
    </row>
    <row r="365" spans="1:12">
      <c r="A365" s="24">
        <v>304</v>
      </c>
      <c r="B365" s="15" t="s">
        <v>37</v>
      </c>
      <c r="C365" s="23">
        <v>782560.02439999999</v>
      </c>
      <c r="D365" s="23">
        <v>2414081.8870000001</v>
      </c>
      <c r="E365" s="15">
        <v>665</v>
      </c>
      <c r="F365" s="15" t="s">
        <v>345</v>
      </c>
      <c r="G365" s="27">
        <v>0</v>
      </c>
      <c r="H365" s="27">
        <v>26342.592540599999</v>
      </c>
      <c r="K365" s="15" t="s">
        <v>28</v>
      </c>
      <c r="L365" s="15" t="s">
        <v>377</v>
      </c>
    </row>
    <row r="366" spans="1:12">
      <c r="A366" s="24">
        <v>304</v>
      </c>
      <c r="B366" s="15" t="s">
        <v>37</v>
      </c>
      <c r="C366" s="23">
        <v>782560.02439999999</v>
      </c>
      <c r="D366" s="23">
        <v>2414081.8870000001</v>
      </c>
      <c r="E366" s="15">
        <v>665</v>
      </c>
      <c r="F366" s="15" t="s">
        <v>345</v>
      </c>
      <c r="G366" s="27">
        <v>0</v>
      </c>
      <c r="H366" s="27">
        <v>26342.592540599999</v>
      </c>
      <c r="K366" s="15" t="s">
        <v>28</v>
      </c>
      <c r="L366" s="15" t="s">
        <v>377</v>
      </c>
    </row>
    <row r="367" spans="1:12">
      <c r="A367" s="24">
        <v>304</v>
      </c>
      <c r="B367" s="15" t="s">
        <v>37</v>
      </c>
      <c r="C367" s="23">
        <v>782560.02439999999</v>
      </c>
      <c r="D367" s="23">
        <v>2414081.8870000001</v>
      </c>
      <c r="E367" s="15">
        <v>665</v>
      </c>
      <c r="F367" s="15" t="s">
        <v>345</v>
      </c>
      <c r="G367" s="27">
        <v>0</v>
      </c>
      <c r="H367" s="27">
        <v>26342.592540599999</v>
      </c>
      <c r="K367" s="15" t="s">
        <v>28</v>
      </c>
      <c r="L367" s="15" t="s">
        <v>377</v>
      </c>
    </row>
    <row r="368" spans="1:12">
      <c r="A368" s="24">
        <v>59</v>
      </c>
      <c r="B368" s="15" t="s">
        <v>67</v>
      </c>
      <c r="C368" s="23">
        <v>782780.2193</v>
      </c>
      <c r="D368" s="23">
        <v>2422317.719</v>
      </c>
      <c r="E368" s="15">
        <v>275</v>
      </c>
      <c r="F368" s="15" t="s">
        <v>346</v>
      </c>
      <c r="G368" s="27">
        <v>2464.94</v>
      </c>
      <c r="H368" s="27">
        <v>4546.2624243099999</v>
      </c>
      <c r="I368" s="15" t="s">
        <v>55</v>
      </c>
      <c r="K368" s="15" t="s">
        <v>33</v>
      </c>
      <c r="L368" s="15" t="s">
        <v>377</v>
      </c>
    </row>
    <row r="369" spans="1:12">
      <c r="A369" s="24">
        <v>59</v>
      </c>
      <c r="B369" s="15" t="s">
        <v>67</v>
      </c>
      <c r="C369" s="23">
        <v>782780.2193</v>
      </c>
      <c r="D369" s="23">
        <v>2422317.719</v>
      </c>
      <c r="E369" s="15">
        <v>275</v>
      </c>
      <c r="F369" s="15" t="s">
        <v>346</v>
      </c>
      <c r="G369" s="27">
        <v>2464.94</v>
      </c>
      <c r="H369" s="27">
        <v>4546.2624243099999</v>
      </c>
      <c r="I369" s="15" t="s">
        <v>55</v>
      </c>
      <c r="K369" s="15" t="s">
        <v>33</v>
      </c>
      <c r="L369" s="15" t="s">
        <v>377</v>
      </c>
    </row>
    <row r="370" spans="1:12">
      <c r="A370" s="24">
        <v>62</v>
      </c>
      <c r="B370" s="15" t="s">
        <v>97</v>
      </c>
      <c r="C370" s="23">
        <v>784862.78300000005</v>
      </c>
      <c r="D370" s="23">
        <v>2422532.341</v>
      </c>
      <c r="E370" s="15">
        <v>651</v>
      </c>
      <c r="F370" s="15" t="s">
        <v>333</v>
      </c>
      <c r="G370" s="27">
        <v>0</v>
      </c>
      <c r="H370" s="27">
        <v>357698.19833799999</v>
      </c>
      <c r="K370" s="15" t="s">
        <v>33</v>
      </c>
      <c r="L370" s="15" t="s">
        <v>377</v>
      </c>
    </row>
    <row r="371" spans="1:12">
      <c r="A371" s="24">
        <v>62</v>
      </c>
      <c r="B371" s="15" t="s">
        <v>97</v>
      </c>
      <c r="C371" s="23">
        <v>784862.78300000005</v>
      </c>
      <c r="D371" s="23">
        <v>2422532.341</v>
      </c>
      <c r="E371" s="15">
        <v>651</v>
      </c>
      <c r="F371" s="15" t="s">
        <v>333</v>
      </c>
      <c r="G371" s="27">
        <v>0</v>
      </c>
      <c r="H371" s="27">
        <v>357698.19833799999</v>
      </c>
      <c r="K371" s="15" t="s">
        <v>33</v>
      </c>
      <c r="L371" s="15" t="s">
        <v>377</v>
      </c>
    </row>
    <row r="372" spans="1:12">
      <c r="A372" s="24">
        <v>62</v>
      </c>
      <c r="B372" s="15" t="s">
        <v>97</v>
      </c>
      <c r="C372" s="23">
        <v>784862.78300000005</v>
      </c>
      <c r="D372" s="23">
        <v>2422532.341</v>
      </c>
      <c r="E372" s="15">
        <v>651</v>
      </c>
      <c r="F372" s="15" t="s">
        <v>333</v>
      </c>
      <c r="G372" s="27">
        <v>0</v>
      </c>
      <c r="H372" s="27">
        <v>357698.19833799999</v>
      </c>
      <c r="K372" s="15" t="s">
        <v>33</v>
      </c>
      <c r="L372" s="15" t="s">
        <v>377</v>
      </c>
    </row>
    <row r="373" spans="1:12">
      <c r="A373" s="24">
        <v>62</v>
      </c>
      <c r="B373" s="15" t="s">
        <v>97</v>
      </c>
      <c r="C373" s="23">
        <v>784862.78300000005</v>
      </c>
      <c r="D373" s="23">
        <v>2422532.341</v>
      </c>
      <c r="E373" s="15">
        <v>651</v>
      </c>
      <c r="F373" s="15" t="s">
        <v>333</v>
      </c>
      <c r="G373" s="27">
        <v>0</v>
      </c>
      <c r="H373" s="27">
        <v>357698.19833799999</v>
      </c>
      <c r="K373" s="15" t="s">
        <v>33</v>
      </c>
      <c r="L373" s="15" t="s">
        <v>377</v>
      </c>
    </row>
    <row r="374" spans="1:12">
      <c r="A374" s="24">
        <v>62</v>
      </c>
      <c r="B374" s="15" t="s">
        <v>97</v>
      </c>
      <c r="C374" s="23">
        <v>784862.78300000005</v>
      </c>
      <c r="D374" s="23">
        <v>2422532.341</v>
      </c>
      <c r="E374" s="15">
        <v>651</v>
      </c>
      <c r="F374" s="15" t="s">
        <v>333</v>
      </c>
      <c r="G374" s="27">
        <v>0</v>
      </c>
      <c r="H374" s="27">
        <v>357698.19833799999</v>
      </c>
      <c r="K374" s="15" t="s">
        <v>33</v>
      </c>
      <c r="L374" s="15" t="s">
        <v>377</v>
      </c>
    </row>
    <row r="375" spans="1:12">
      <c r="A375" s="24">
        <v>62</v>
      </c>
      <c r="B375" s="15" t="s">
        <v>97</v>
      </c>
      <c r="C375" s="23">
        <v>784862.78300000005</v>
      </c>
      <c r="D375" s="23">
        <v>2422532.341</v>
      </c>
      <c r="E375" s="15">
        <v>651</v>
      </c>
      <c r="F375" s="15" t="s">
        <v>333</v>
      </c>
      <c r="G375" s="27">
        <v>0</v>
      </c>
      <c r="H375" s="27">
        <v>357698.19833799999</v>
      </c>
      <c r="K375" s="15" t="s">
        <v>33</v>
      </c>
      <c r="L375" s="15" t="s">
        <v>377</v>
      </c>
    </row>
    <row r="376" spans="1:12">
      <c r="A376" s="24">
        <v>62</v>
      </c>
      <c r="B376" s="15" t="s">
        <v>97</v>
      </c>
      <c r="C376" s="23">
        <v>784862.78300000005</v>
      </c>
      <c r="D376" s="23">
        <v>2422532.341</v>
      </c>
      <c r="E376" s="15">
        <v>651</v>
      </c>
      <c r="F376" s="15" t="s">
        <v>333</v>
      </c>
      <c r="G376" s="27">
        <v>0</v>
      </c>
      <c r="H376" s="27">
        <v>357698.19833799999</v>
      </c>
      <c r="K376" s="15" t="s">
        <v>33</v>
      </c>
      <c r="L376" s="15" t="s">
        <v>377</v>
      </c>
    </row>
    <row r="377" spans="1:12">
      <c r="A377" s="24">
        <v>62</v>
      </c>
      <c r="B377" s="15" t="s">
        <v>97</v>
      </c>
      <c r="C377" s="23">
        <v>784862.78300000005</v>
      </c>
      <c r="D377" s="23">
        <v>2422532.341</v>
      </c>
      <c r="E377" s="15">
        <v>651</v>
      </c>
      <c r="F377" s="15" t="s">
        <v>333</v>
      </c>
      <c r="G377" s="27">
        <v>0</v>
      </c>
      <c r="H377" s="27">
        <v>357698.19833799999</v>
      </c>
      <c r="K377" s="15" t="s">
        <v>33</v>
      </c>
      <c r="L377" s="15" t="s">
        <v>377</v>
      </c>
    </row>
    <row r="378" spans="1:12">
      <c r="A378" s="24">
        <v>62</v>
      </c>
      <c r="B378" s="15" t="s">
        <v>97</v>
      </c>
      <c r="C378" s="23">
        <v>784862.78300000005</v>
      </c>
      <c r="D378" s="23">
        <v>2422532.341</v>
      </c>
      <c r="E378" s="15">
        <v>651</v>
      </c>
      <c r="F378" s="15" t="s">
        <v>333</v>
      </c>
      <c r="G378" s="27">
        <v>0</v>
      </c>
      <c r="H378" s="27">
        <v>357698.19833799999</v>
      </c>
      <c r="K378" s="15" t="s">
        <v>33</v>
      </c>
      <c r="L378" s="15" t="s">
        <v>377</v>
      </c>
    </row>
    <row r="379" spans="1:12">
      <c r="A379" s="24">
        <v>62</v>
      </c>
      <c r="B379" s="15" t="s">
        <v>97</v>
      </c>
      <c r="C379" s="23">
        <v>784862.78300000005</v>
      </c>
      <c r="D379" s="23">
        <v>2422532.341</v>
      </c>
      <c r="E379" s="15">
        <v>651</v>
      </c>
      <c r="F379" s="15" t="s">
        <v>333</v>
      </c>
      <c r="G379" s="27">
        <v>0</v>
      </c>
      <c r="H379" s="27">
        <v>357698.19833799999</v>
      </c>
      <c r="K379" s="15" t="s">
        <v>33</v>
      </c>
      <c r="L379" s="15" t="s">
        <v>377</v>
      </c>
    </row>
    <row r="380" spans="1:12">
      <c r="A380" s="24">
        <v>62</v>
      </c>
      <c r="B380" s="15" t="s">
        <v>97</v>
      </c>
      <c r="C380" s="23">
        <v>784862.78300000005</v>
      </c>
      <c r="D380" s="23">
        <v>2422532.341</v>
      </c>
      <c r="E380" s="15">
        <v>651</v>
      </c>
      <c r="F380" s="15" t="s">
        <v>333</v>
      </c>
      <c r="G380" s="27">
        <v>0</v>
      </c>
      <c r="H380" s="27">
        <v>357698.19833799999</v>
      </c>
      <c r="K380" s="15" t="s">
        <v>33</v>
      </c>
      <c r="L380" s="15" t="s">
        <v>377</v>
      </c>
    </row>
    <row r="381" spans="1:12">
      <c r="A381" s="24">
        <v>62</v>
      </c>
      <c r="B381" s="15" t="s">
        <v>97</v>
      </c>
      <c r="C381" s="23">
        <v>784862.78300000005</v>
      </c>
      <c r="D381" s="23">
        <v>2422532.341</v>
      </c>
      <c r="E381" s="15">
        <v>651</v>
      </c>
      <c r="F381" s="15" t="s">
        <v>333</v>
      </c>
      <c r="G381" s="27">
        <v>0</v>
      </c>
      <c r="H381" s="27">
        <v>357698.19833799999</v>
      </c>
      <c r="K381" s="15" t="s">
        <v>33</v>
      </c>
      <c r="L381" s="15" t="s">
        <v>377</v>
      </c>
    </row>
    <row r="382" spans="1:12">
      <c r="A382" s="24">
        <v>110</v>
      </c>
      <c r="B382" s="15" t="s">
        <v>80</v>
      </c>
      <c r="C382" s="23">
        <v>783469.25260000001</v>
      </c>
      <c r="D382" s="23">
        <v>2423102.969</v>
      </c>
      <c r="E382" s="15">
        <v>678</v>
      </c>
      <c r="F382" s="15" t="s">
        <v>347</v>
      </c>
      <c r="G382" s="27">
        <v>0</v>
      </c>
      <c r="H382" s="27">
        <v>3508.6758006499999</v>
      </c>
      <c r="K382" s="15" t="s">
        <v>33</v>
      </c>
      <c r="L382" s="15" t="s">
        <v>377</v>
      </c>
    </row>
    <row r="383" spans="1:12">
      <c r="A383" s="24">
        <v>110</v>
      </c>
      <c r="B383" s="15" t="s">
        <v>80</v>
      </c>
      <c r="C383" s="23">
        <v>783469.25260000001</v>
      </c>
      <c r="D383" s="23">
        <v>2423102.969</v>
      </c>
      <c r="E383" s="15">
        <v>678</v>
      </c>
      <c r="F383" s="15" t="s">
        <v>347</v>
      </c>
      <c r="G383" s="27">
        <v>0</v>
      </c>
      <c r="H383" s="27">
        <v>3508.6758006499999</v>
      </c>
      <c r="K383" s="15" t="s">
        <v>33</v>
      </c>
      <c r="L383" s="15" t="s">
        <v>377</v>
      </c>
    </row>
    <row r="384" spans="1:12">
      <c r="A384" s="24">
        <v>110</v>
      </c>
      <c r="B384" s="15" t="s">
        <v>80</v>
      </c>
      <c r="C384" s="23">
        <v>783469.25260000001</v>
      </c>
      <c r="D384" s="23">
        <v>2423102.969</v>
      </c>
      <c r="E384" s="15">
        <v>678</v>
      </c>
      <c r="F384" s="15" t="s">
        <v>347</v>
      </c>
      <c r="G384" s="27">
        <v>0</v>
      </c>
      <c r="H384" s="27">
        <v>3508.6758006499999</v>
      </c>
      <c r="K384" s="15" t="s">
        <v>33</v>
      </c>
      <c r="L384" s="15" t="s">
        <v>377</v>
      </c>
    </row>
    <row r="385" spans="1:12">
      <c r="A385" s="24">
        <v>122</v>
      </c>
      <c r="B385" s="15" t="s">
        <v>80</v>
      </c>
      <c r="C385" s="23">
        <v>783840.0048</v>
      </c>
      <c r="D385" s="23">
        <v>2423011.1549999998</v>
      </c>
      <c r="E385" s="15">
        <v>646</v>
      </c>
      <c r="F385" s="15" t="s">
        <v>348</v>
      </c>
      <c r="G385" s="27">
        <v>0</v>
      </c>
      <c r="H385" s="27">
        <v>3643.95484734</v>
      </c>
      <c r="K385" s="15" t="s">
        <v>33</v>
      </c>
      <c r="L385" s="15" t="s">
        <v>377</v>
      </c>
    </row>
    <row r="386" spans="1:12">
      <c r="A386" s="24">
        <v>122</v>
      </c>
      <c r="B386" s="15" t="s">
        <v>80</v>
      </c>
      <c r="C386" s="23">
        <v>783840.0048</v>
      </c>
      <c r="D386" s="23">
        <v>2423011.1549999998</v>
      </c>
      <c r="E386" s="15">
        <v>646</v>
      </c>
      <c r="F386" s="15" t="s">
        <v>348</v>
      </c>
      <c r="G386" s="27">
        <v>0</v>
      </c>
      <c r="H386" s="27">
        <v>3643.95484734</v>
      </c>
      <c r="K386" s="15" t="s">
        <v>33</v>
      </c>
      <c r="L386" s="15" t="s">
        <v>377</v>
      </c>
    </row>
    <row r="387" spans="1:12">
      <c r="A387" s="24">
        <v>83</v>
      </c>
      <c r="B387" s="15" t="s">
        <v>69</v>
      </c>
      <c r="C387" s="23">
        <v>779846.45079999999</v>
      </c>
      <c r="D387" s="23">
        <v>2425090.9410000001</v>
      </c>
      <c r="E387" s="15">
        <v>154</v>
      </c>
      <c r="F387" s="15" t="s">
        <v>349</v>
      </c>
      <c r="G387" s="27">
        <v>0</v>
      </c>
      <c r="H387" s="27">
        <v>4336.8138804099999</v>
      </c>
      <c r="K387" s="15" t="s">
        <v>26</v>
      </c>
      <c r="L387" s="15" t="s">
        <v>377</v>
      </c>
    </row>
    <row r="388" spans="1:12">
      <c r="A388" s="24">
        <v>83</v>
      </c>
      <c r="B388" s="15" t="s">
        <v>69</v>
      </c>
      <c r="C388" s="23">
        <v>779846.45079999999</v>
      </c>
      <c r="D388" s="23">
        <v>2425090.9410000001</v>
      </c>
      <c r="E388" s="15">
        <v>154</v>
      </c>
      <c r="F388" s="15" t="s">
        <v>349</v>
      </c>
      <c r="G388" s="27">
        <v>0</v>
      </c>
      <c r="H388" s="27">
        <v>4336.8138804099999</v>
      </c>
      <c r="K388" s="15" t="s">
        <v>26</v>
      </c>
      <c r="L388" s="15" t="s">
        <v>377</v>
      </c>
    </row>
    <row r="389" spans="1:12">
      <c r="A389" s="24">
        <v>84</v>
      </c>
      <c r="B389" s="15" t="s">
        <v>69</v>
      </c>
      <c r="C389" s="23">
        <v>780102.01729999995</v>
      </c>
      <c r="D389" s="23">
        <v>2425096.0520000001</v>
      </c>
      <c r="E389" s="15">
        <v>229</v>
      </c>
      <c r="F389" s="15" t="s">
        <v>350</v>
      </c>
      <c r="G389" s="27">
        <v>3828</v>
      </c>
      <c r="H389" s="27">
        <v>7572.55030317</v>
      </c>
      <c r="I389" s="15" t="s">
        <v>55</v>
      </c>
      <c r="K389" s="15" t="s">
        <v>26</v>
      </c>
      <c r="L389" s="15" t="s">
        <v>377</v>
      </c>
    </row>
    <row r="390" spans="1:12">
      <c r="A390" s="24">
        <v>84</v>
      </c>
      <c r="B390" s="15" t="s">
        <v>69</v>
      </c>
      <c r="C390" s="23">
        <v>780102.01729999995</v>
      </c>
      <c r="D390" s="23">
        <v>2425096.0520000001</v>
      </c>
      <c r="E390" s="15">
        <v>229</v>
      </c>
      <c r="F390" s="15" t="s">
        <v>350</v>
      </c>
      <c r="G390" s="27">
        <v>3828</v>
      </c>
      <c r="H390" s="27">
        <v>7572.55030317</v>
      </c>
      <c r="I390" s="15" t="s">
        <v>55</v>
      </c>
      <c r="K390" s="15" t="s">
        <v>26</v>
      </c>
      <c r="L390" s="15" t="s">
        <v>377</v>
      </c>
    </row>
    <row r="391" spans="1:12">
      <c r="A391" s="24">
        <v>129</v>
      </c>
      <c r="B391" s="15" t="s">
        <v>69</v>
      </c>
      <c r="C391" s="23">
        <v>779609.03040000005</v>
      </c>
      <c r="D391" s="23">
        <v>2425077.0759999999</v>
      </c>
      <c r="E391" s="15">
        <v>75</v>
      </c>
      <c r="F391" s="15" t="s">
        <v>351</v>
      </c>
      <c r="G391" s="27">
        <v>0</v>
      </c>
      <c r="H391" s="27">
        <v>15525.8179284</v>
      </c>
      <c r="K391" s="15" t="s">
        <v>26</v>
      </c>
      <c r="L391" s="15" t="s">
        <v>377</v>
      </c>
    </row>
    <row r="392" spans="1:12">
      <c r="A392" s="24">
        <v>129</v>
      </c>
      <c r="B392" s="15" t="s">
        <v>69</v>
      </c>
      <c r="C392" s="23">
        <v>779609.03040000005</v>
      </c>
      <c r="D392" s="23">
        <v>2425077.0759999999</v>
      </c>
      <c r="E392" s="15">
        <v>75</v>
      </c>
      <c r="F392" s="15" t="s">
        <v>351</v>
      </c>
      <c r="G392" s="27">
        <v>0</v>
      </c>
      <c r="H392" s="27">
        <v>15525.8179284</v>
      </c>
      <c r="K392" s="15" t="s">
        <v>26</v>
      </c>
      <c r="L392" s="15" t="s">
        <v>377</v>
      </c>
    </row>
    <row r="393" spans="1:12">
      <c r="A393" s="24">
        <v>129</v>
      </c>
      <c r="B393" s="15" t="s">
        <v>69</v>
      </c>
      <c r="C393" s="23">
        <v>779609.03040000005</v>
      </c>
      <c r="D393" s="23">
        <v>2425077.0759999999</v>
      </c>
      <c r="E393" s="15">
        <v>75</v>
      </c>
      <c r="F393" s="15" t="s">
        <v>351</v>
      </c>
      <c r="G393" s="27">
        <v>0</v>
      </c>
      <c r="H393" s="27">
        <v>15525.8179284</v>
      </c>
      <c r="K393" s="15" t="s">
        <v>26</v>
      </c>
      <c r="L393" s="15" t="s">
        <v>377</v>
      </c>
    </row>
    <row r="394" spans="1:12">
      <c r="A394" s="24">
        <v>160</v>
      </c>
      <c r="B394" s="15" t="s">
        <v>69</v>
      </c>
      <c r="C394" s="23">
        <v>777810.20860000001</v>
      </c>
      <c r="D394" s="23">
        <v>2424487.5649999999</v>
      </c>
      <c r="E394" s="15">
        <v>7</v>
      </c>
      <c r="F394" s="15" t="s">
        <v>352</v>
      </c>
      <c r="G394" s="27">
        <v>1784.04</v>
      </c>
      <c r="H394" s="27">
        <v>48979.467438</v>
      </c>
      <c r="I394" s="15" t="s">
        <v>55</v>
      </c>
      <c r="K394" s="15" t="s">
        <v>26</v>
      </c>
      <c r="L394" s="15" t="s">
        <v>377</v>
      </c>
    </row>
    <row r="395" spans="1:12">
      <c r="A395" s="24">
        <v>160</v>
      </c>
      <c r="B395" s="15" t="s">
        <v>69</v>
      </c>
      <c r="C395" s="23">
        <v>777810.20860000001</v>
      </c>
      <c r="D395" s="23">
        <v>2424487.5649999999</v>
      </c>
      <c r="E395" s="15">
        <v>7</v>
      </c>
      <c r="F395" s="15" t="s">
        <v>352</v>
      </c>
      <c r="G395" s="27">
        <v>1784.04</v>
      </c>
      <c r="H395" s="27">
        <v>48979.467438</v>
      </c>
      <c r="I395" s="15" t="s">
        <v>55</v>
      </c>
      <c r="K395" s="15" t="s">
        <v>26</v>
      </c>
      <c r="L395" s="15" t="s">
        <v>377</v>
      </c>
    </row>
    <row r="396" spans="1:12">
      <c r="A396" s="24">
        <v>160</v>
      </c>
      <c r="B396" s="15" t="s">
        <v>69</v>
      </c>
      <c r="C396" s="23">
        <v>777810.20860000001</v>
      </c>
      <c r="D396" s="23">
        <v>2424487.5649999999</v>
      </c>
      <c r="E396" s="15">
        <v>7</v>
      </c>
      <c r="F396" s="15" t="s">
        <v>352</v>
      </c>
      <c r="G396" s="27">
        <v>1784.04</v>
      </c>
      <c r="H396" s="27">
        <v>48979.467438</v>
      </c>
      <c r="I396" s="15" t="s">
        <v>55</v>
      </c>
      <c r="K396" s="15" t="s">
        <v>26</v>
      </c>
      <c r="L396" s="15" t="s">
        <v>377</v>
      </c>
    </row>
    <row r="397" spans="1:12">
      <c r="A397" s="24">
        <v>160</v>
      </c>
      <c r="B397" s="15" t="s">
        <v>69</v>
      </c>
      <c r="C397" s="23">
        <v>777810.20860000001</v>
      </c>
      <c r="D397" s="23">
        <v>2424487.5649999999</v>
      </c>
      <c r="E397" s="15">
        <v>7</v>
      </c>
      <c r="F397" s="15" t="s">
        <v>352</v>
      </c>
      <c r="G397" s="27">
        <v>1784.04</v>
      </c>
      <c r="H397" s="27">
        <v>48979.467438</v>
      </c>
      <c r="I397" s="15" t="s">
        <v>55</v>
      </c>
      <c r="K397" s="15" t="s">
        <v>26</v>
      </c>
      <c r="L397" s="15" t="s">
        <v>377</v>
      </c>
    </row>
    <row r="398" spans="1:12">
      <c r="A398" s="24">
        <v>160</v>
      </c>
      <c r="B398" s="15" t="s">
        <v>69</v>
      </c>
      <c r="C398" s="23">
        <v>777810.20860000001</v>
      </c>
      <c r="D398" s="23">
        <v>2424487.5649999999</v>
      </c>
      <c r="E398" s="15">
        <v>7</v>
      </c>
      <c r="F398" s="15" t="s">
        <v>352</v>
      </c>
      <c r="G398" s="27">
        <v>1784.04</v>
      </c>
      <c r="H398" s="27">
        <v>48979.467438</v>
      </c>
      <c r="I398" s="15" t="s">
        <v>55</v>
      </c>
      <c r="K398" s="15" t="s">
        <v>26</v>
      </c>
      <c r="L398" s="15" t="s">
        <v>377</v>
      </c>
    </row>
    <row r="399" spans="1:12">
      <c r="A399" s="24">
        <v>160</v>
      </c>
      <c r="B399" s="15" t="s">
        <v>69</v>
      </c>
      <c r="C399" s="23">
        <v>777810.20860000001</v>
      </c>
      <c r="D399" s="23">
        <v>2424487.5649999999</v>
      </c>
      <c r="E399" s="15">
        <v>7</v>
      </c>
      <c r="F399" s="15" t="s">
        <v>352</v>
      </c>
      <c r="G399" s="27">
        <v>1784.04</v>
      </c>
      <c r="H399" s="27">
        <v>48979.467438</v>
      </c>
      <c r="I399" s="15" t="s">
        <v>55</v>
      </c>
      <c r="K399" s="15" t="s">
        <v>26</v>
      </c>
      <c r="L399" s="15" t="s">
        <v>377</v>
      </c>
    </row>
    <row r="400" spans="1:12">
      <c r="A400" s="24">
        <v>160</v>
      </c>
      <c r="B400" s="15" t="s">
        <v>69</v>
      </c>
      <c r="C400" s="23">
        <v>777810.20860000001</v>
      </c>
      <c r="D400" s="23">
        <v>2424487.5649999999</v>
      </c>
      <c r="E400" s="15">
        <v>7</v>
      </c>
      <c r="F400" s="15" t="s">
        <v>352</v>
      </c>
      <c r="G400" s="27">
        <v>1784.04</v>
      </c>
      <c r="H400" s="27">
        <v>48979.467438</v>
      </c>
      <c r="I400" s="15" t="s">
        <v>55</v>
      </c>
      <c r="K400" s="15" t="s">
        <v>26</v>
      </c>
      <c r="L400" s="15" t="s">
        <v>377</v>
      </c>
    </row>
    <row r="401" spans="1:12">
      <c r="A401" s="24">
        <v>160</v>
      </c>
      <c r="B401" s="15" t="s">
        <v>69</v>
      </c>
      <c r="C401" s="23">
        <v>777810.20860000001</v>
      </c>
      <c r="D401" s="23">
        <v>2424487.5649999999</v>
      </c>
      <c r="E401" s="15">
        <v>7</v>
      </c>
      <c r="F401" s="15" t="s">
        <v>352</v>
      </c>
      <c r="G401" s="27">
        <v>1784.04</v>
      </c>
      <c r="H401" s="27">
        <v>48979.467438</v>
      </c>
      <c r="I401" s="15" t="s">
        <v>55</v>
      </c>
      <c r="K401" s="15" t="s">
        <v>26</v>
      </c>
      <c r="L401" s="15" t="s">
        <v>377</v>
      </c>
    </row>
    <row r="402" spans="1:12">
      <c r="A402" s="24">
        <v>160</v>
      </c>
      <c r="B402" s="15" t="s">
        <v>69</v>
      </c>
      <c r="C402" s="23">
        <v>777810.20860000001</v>
      </c>
      <c r="D402" s="23">
        <v>2424487.5649999999</v>
      </c>
      <c r="E402" s="15">
        <v>7</v>
      </c>
      <c r="F402" s="15" t="s">
        <v>352</v>
      </c>
      <c r="G402" s="27">
        <v>1784.04</v>
      </c>
      <c r="H402" s="27">
        <v>48979.467438</v>
      </c>
      <c r="I402" s="15" t="s">
        <v>55</v>
      </c>
      <c r="K402" s="15" t="s">
        <v>26</v>
      </c>
      <c r="L402" s="15" t="s">
        <v>377</v>
      </c>
    </row>
    <row r="403" spans="1:12">
      <c r="A403" s="24">
        <v>160</v>
      </c>
      <c r="B403" s="15" t="s">
        <v>69</v>
      </c>
      <c r="C403" s="23">
        <v>777810.20860000001</v>
      </c>
      <c r="D403" s="23">
        <v>2424487.5649999999</v>
      </c>
      <c r="E403" s="15">
        <v>7</v>
      </c>
      <c r="F403" s="15" t="s">
        <v>352</v>
      </c>
      <c r="G403" s="27">
        <v>1784.04</v>
      </c>
      <c r="H403" s="27">
        <v>48979.467438</v>
      </c>
      <c r="I403" s="15" t="s">
        <v>55</v>
      </c>
      <c r="K403" s="15" t="s">
        <v>26</v>
      </c>
      <c r="L403" s="15" t="s">
        <v>377</v>
      </c>
    </row>
    <row r="404" spans="1:12">
      <c r="A404" s="24">
        <v>160</v>
      </c>
      <c r="B404" s="15" t="s">
        <v>69</v>
      </c>
      <c r="C404" s="23">
        <v>777810.20860000001</v>
      </c>
      <c r="D404" s="23">
        <v>2424487.5649999999</v>
      </c>
      <c r="E404" s="15">
        <v>7</v>
      </c>
      <c r="F404" s="15" t="s">
        <v>352</v>
      </c>
      <c r="G404" s="27">
        <v>1784.04</v>
      </c>
      <c r="H404" s="27">
        <v>48979.467438</v>
      </c>
      <c r="I404" s="15" t="s">
        <v>55</v>
      </c>
      <c r="K404" s="15" t="s">
        <v>26</v>
      </c>
      <c r="L404" s="15" t="s">
        <v>377</v>
      </c>
    </row>
    <row r="405" spans="1:12">
      <c r="A405" s="24">
        <v>160</v>
      </c>
      <c r="B405" s="15" t="s">
        <v>69</v>
      </c>
      <c r="C405" s="23">
        <v>777810.20860000001</v>
      </c>
      <c r="D405" s="23">
        <v>2424487.5649999999</v>
      </c>
      <c r="E405" s="15">
        <v>7</v>
      </c>
      <c r="F405" s="15" t="s">
        <v>352</v>
      </c>
      <c r="G405" s="27">
        <v>1784.04</v>
      </c>
      <c r="H405" s="27">
        <v>48979.467438</v>
      </c>
      <c r="I405" s="15" t="s">
        <v>55</v>
      </c>
      <c r="K405" s="15" t="s">
        <v>26</v>
      </c>
      <c r="L405" s="15" t="s">
        <v>377</v>
      </c>
    </row>
    <row r="406" spans="1:12">
      <c r="A406" s="24">
        <v>160</v>
      </c>
      <c r="B406" s="15" t="s">
        <v>69</v>
      </c>
      <c r="C406" s="23">
        <v>777810.20860000001</v>
      </c>
      <c r="D406" s="23">
        <v>2424487.5649999999</v>
      </c>
      <c r="E406" s="15">
        <v>7</v>
      </c>
      <c r="F406" s="15" t="s">
        <v>352</v>
      </c>
      <c r="G406" s="27">
        <v>1784.04</v>
      </c>
      <c r="H406" s="27">
        <v>48979.467438</v>
      </c>
      <c r="I406" s="15" t="s">
        <v>55</v>
      </c>
      <c r="K406" s="15" t="s">
        <v>26</v>
      </c>
      <c r="L406" s="15" t="s">
        <v>377</v>
      </c>
    </row>
    <row r="407" spans="1:12">
      <c r="A407" s="24">
        <v>160</v>
      </c>
      <c r="B407" s="15" t="s">
        <v>69</v>
      </c>
      <c r="C407" s="23">
        <v>777810.20860000001</v>
      </c>
      <c r="D407" s="23">
        <v>2424487.5649999999</v>
      </c>
      <c r="E407" s="15">
        <v>7</v>
      </c>
      <c r="F407" s="15" t="s">
        <v>352</v>
      </c>
      <c r="G407" s="27">
        <v>1784.04</v>
      </c>
      <c r="H407" s="27">
        <v>48979.467438</v>
      </c>
      <c r="I407" s="15" t="s">
        <v>55</v>
      </c>
      <c r="K407" s="15" t="s">
        <v>26</v>
      </c>
      <c r="L407" s="15" t="s">
        <v>377</v>
      </c>
    </row>
    <row r="408" spans="1:12">
      <c r="A408" s="24">
        <v>160</v>
      </c>
      <c r="B408" s="15" t="s">
        <v>69</v>
      </c>
      <c r="C408" s="23">
        <v>777810.20860000001</v>
      </c>
      <c r="D408" s="23">
        <v>2424487.5649999999</v>
      </c>
      <c r="E408" s="15">
        <v>7</v>
      </c>
      <c r="F408" s="15" t="s">
        <v>352</v>
      </c>
      <c r="G408" s="27">
        <v>1784.04</v>
      </c>
      <c r="H408" s="27">
        <v>48979.467438</v>
      </c>
      <c r="I408" s="15" t="s">
        <v>55</v>
      </c>
      <c r="K408" s="15" t="s">
        <v>26</v>
      </c>
      <c r="L408" s="15" t="s">
        <v>377</v>
      </c>
    </row>
    <row r="409" spans="1:12">
      <c r="A409" s="24">
        <v>46</v>
      </c>
      <c r="B409" s="15" t="s">
        <v>135</v>
      </c>
      <c r="C409" s="23">
        <v>781720.67590000003</v>
      </c>
      <c r="D409" s="23">
        <v>2428299.932</v>
      </c>
      <c r="E409" s="15">
        <v>686</v>
      </c>
      <c r="F409" s="15" t="s">
        <v>353</v>
      </c>
      <c r="G409" s="27">
        <v>0</v>
      </c>
      <c r="H409" s="27">
        <v>5764.6477420900001</v>
      </c>
      <c r="K409" s="15" t="s">
        <v>35</v>
      </c>
      <c r="L409" s="15" t="s">
        <v>377</v>
      </c>
    </row>
    <row r="410" spans="1:12">
      <c r="A410" s="24">
        <v>46</v>
      </c>
      <c r="B410" s="15" t="s">
        <v>135</v>
      </c>
      <c r="C410" s="23">
        <v>781720.67590000003</v>
      </c>
      <c r="D410" s="23">
        <v>2428299.932</v>
      </c>
      <c r="E410" s="15">
        <v>686</v>
      </c>
      <c r="F410" s="15" t="s">
        <v>353</v>
      </c>
      <c r="G410" s="27">
        <v>0</v>
      </c>
      <c r="H410" s="27">
        <v>5764.6477420900001</v>
      </c>
      <c r="K410" s="15" t="s">
        <v>35</v>
      </c>
      <c r="L410" s="15" t="s">
        <v>377</v>
      </c>
    </row>
    <row r="411" spans="1:12">
      <c r="A411" s="24">
        <v>62</v>
      </c>
      <c r="B411" s="15" t="s">
        <v>97</v>
      </c>
      <c r="C411" s="23">
        <v>784862.78300000005</v>
      </c>
      <c r="D411" s="23">
        <v>2422532.341</v>
      </c>
      <c r="E411" s="15">
        <v>651</v>
      </c>
      <c r="F411" s="15" t="s">
        <v>333</v>
      </c>
      <c r="G411" s="27">
        <v>0</v>
      </c>
      <c r="H411" s="27">
        <v>357698.19833799999</v>
      </c>
      <c r="K411" s="15" t="s">
        <v>35</v>
      </c>
      <c r="L411" s="15" t="s">
        <v>377</v>
      </c>
    </row>
    <row r="412" spans="1:12">
      <c r="A412" s="24">
        <v>30</v>
      </c>
      <c r="B412" s="15" t="s">
        <v>373</v>
      </c>
      <c r="C412" s="23">
        <v>763411.82120000001</v>
      </c>
      <c r="D412" s="23">
        <v>2405302.4509999999</v>
      </c>
      <c r="E412" s="15">
        <v>709</v>
      </c>
      <c r="F412" s="15" t="s">
        <v>354</v>
      </c>
      <c r="G412" s="27">
        <v>0</v>
      </c>
      <c r="H412" s="27">
        <v>2958.7379366199998</v>
      </c>
      <c r="K412" s="15" t="s">
        <v>23</v>
      </c>
      <c r="L412" s="15" t="s">
        <v>377</v>
      </c>
    </row>
    <row r="413" spans="1:12">
      <c r="A413" s="24">
        <v>30</v>
      </c>
      <c r="B413" s="15" t="s">
        <v>373</v>
      </c>
      <c r="C413" s="23">
        <v>763411.82120000001</v>
      </c>
      <c r="D413" s="23">
        <v>2405302.4509999999</v>
      </c>
      <c r="E413" s="15">
        <v>709</v>
      </c>
      <c r="F413" s="15" t="s">
        <v>354</v>
      </c>
      <c r="G413" s="27">
        <v>0</v>
      </c>
      <c r="H413" s="27">
        <v>2958.7379366199998</v>
      </c>
      <c r="K413" s="15" t="s">
        <v>23</v>
      </c>
      <c r="L413" s="15" t="s">
        <v>377</v>
      </c>
    </row>
    <row r="414" spans="1:12">
      <c r="A414" s="24">
        <v>30</v>
      </c>
      <c r="B414" s="15" t="s">
        <v>373</v>
      </c>
      <c r="C414" s="23">
        <v>763411.82120000001</v>
      </c>
      <c r="D414" s="23">
        <v>2405302.4509999999</v>
      </c>
      <c r="E414" s="15">
        <v>709</v>
      </c>
      <c r="F414" s="15" t="s">
        <v>354</v>
      </c>
      <c r="G414" s="27">
        <v>0</v>
      </c>
      <c r="H414" s="27">
        <v>2958.7379366199998</v>
      </c>
      <c r="K414" s="15" t="s">
        <v>23</v>
      </c>
      <c r="L414" s="15" t="s">
        <v>377</v>
      </c>
    </row>
    <row r="415" spans="1:12">
      <c r="A415" s="24">
        <v>199</v>
      </c>
      <c r="B415" s="15" t="s">
        <v>56</v>
      </c>
      <c r="C415" s="23">
        <v>777796.28769999999</v>
      </c>
      <c r="D415" s="23">
        <v>2422784.128</v>
      </c>
      <c r="E415" s="15">
        <v>34</v>
      </c>
      <c r="F415" s="15" t="s">
        <v>355</v>
      </c>
      <c r="G415" s="27">
        <v>0</v>
      </c>
      <c r="H415" s="27">
        <v>6650.38502238</v>
      </c>
      <c r="I415" s="15" t="s">
        <v>55</v>
      </c>
      <c r="K415" s="15" t="s">
        <v>29</v>
      </c>
      <c r="L415" s="15" t="s">
        <v>377</v>
      </c>
    </row>
    <row r="416" spans="1:12">
      <c r="A416" s="24">
        <v>199</v>
      </c>
      <c r="B416" s="15" t="s">
        <v>56</v>
      </c>
      <c r="C416" s="23">
        <v>777796.28769999999</v>
      </c>
      <c r="D416" s="23">
        <v>2422784.128</v>
      </c>
      <c r="E416" s="15">
        <v>34</v>
      </c>
      <c r="F416" s="15" t="s">
        <v>355</v>
      </c>
      <c r="G416" s="27">
        <v>0</v>
      </c>
      <c r="H416" s="27">
        <v>6650.38502238</v>
      </c>
      <c r="I416" s="15" t="s">
        <v>55</v>
      </c>
      <c r="K416" s="15" t="s">
        <v>29</v>
      </c>
      <c r="L416" s="15" t="s">
        <v>377</v>
      </c>
    </row>
    <row r="417" spans="1:12">
      <c r="A417" s="24">
        <v>248</v>
      </c>
      <c r="B417" s="15" t="s">
        <v>78</v>
      </c>
      <c r="C417" s="23">
        <v>774940.62109999999</v>
      </c>
      <c r="D417" s="23">
        <v>2419643.15</v>
      </c>
      <c r="E417" s="15">
        <v>364</v>
      </c>
      <c r="F417" s="15" t="s">
        <v>356</v>
      </c>
      <c r="G417" s="27">
        <v>0</v>
      </c>
      <c r="H417" s="27">
        <v>251.494102113</v>
      </c>
      <c r="K417" s="15" t="s">
        <v>29</v>
      </c>
      <c r="L417" s="15" t="s">
        <v>377</v>
      </c>
    </row>
    <row r="418" spans="1:12">
      <c r="A418" s="24">
        <v>248</v>
      </c>
      <c r="B418" s="15" t="s">
        <v>78</v>
      </c>
      <c r="C418" s="23">
        <v>774940.62109999999</v>
      </c>
      <c r="D418" s="23">
        <v>2419643.15</v>
      </c>
      <c r="E418" s="15">
        <v>364</v>
      </c>
      <c r="F418" s="15" t="s">
        <v>356</v>
      </c>
      <c r="G418" s="27">
        <v>0</v>
      </c>
      <c r="H418" s="27">
        <v>251.494102113</v>
      </c>
      <c r="K418" s="15" t="s">
        <v>29</v>
      </c>
      <c r="L418" s="15" t="s">
        <v>377</v>
      </c>
    </row>
    <row r="419" spans="1:12">
      <c r="A419" s="24">
        <v>11</v>
      </c>
      <c r="B419" s="15" t="s">
        <v>65</v>
      </c>
      <c r="C419" s="23">
        <v>781814.79870000004</v>
      </c>
      <c r="D419" s="23">
        <v>2424555.4939999999</v>
      </c>
      <c r="E419" s="15">
        <v>680</v>
      </c>
      <c r="F419" s="15" t="s">
        <v>357</v>
      </c>
      <c r="G419" s="27">
        <v>0</v>
      </c>
      <c r="H419" s="27">
        <v>7571.38531977</v>
      </c>
      <c r="K419" s="15" t="s">
        <v>31</v>
      </c>
      <c r="L419" s="15" t="s">
        <v>377</v>
      </c>
    </row>
    <row r="420" spans="1:12">
      <c r="A420" s="24">
        <v>11</v>
      </c>
      <c r="B420" s="15" t="s">
        <v>65</v>
      </c>
      <c r="C420" s="23">
        <v>781814.79870000004</v>
      </c>
      <c r="D420" s="23">
        <v>2424555.4939999999</v>
      </c>
      <c r="E420" s="15">
        <v>680</v>
      </c>
      <c r="F420" s="15" t="s">
        <v>357</v>
      </c>
      <c r="G420" s="27">
        <v>0</v>
      </c>
      <c r="H420" s="27">
        <v>7571.38531977</v>
      </c>
      <c r="K420" s="15" t="s">
        <v>31</v>
      </c>
      <c r="L420" s="15" t="s">
        <v>377</v>
      </c>
    </row>
    <row r="421" spans="1:12">
      <c r="A421" s="24">
        <v>11</v>
      </c>
      <c r="B421" s="15" t="s">
        <v>65</v>
      </c>
      <c r="C421" s="23">
        <v>781814.79870000004</v>
      </c>
      <c r="D421" s="23">
        <v>2424555.4939999999</v>
      </c>
      <c r="E421" s="15">
        <v>680</v>
      </c>
      <c r="F421" s="15" t="s">
        <v>357</v>
      </c>
      <c r="G421" s="27">
        <v>0</v>
      </c>
      <c r="H421" s="27">
        <v>7571.38531977</v>
      </c>
      <c r="K421" s="15" t="s">
        <v>31</v>
      </c>
      <c r="L421" s="15" t="s">
        <v>377</v>
      </c>
    </row>
    <row r="422" spans="1:12">
      <c r="A422" s="24">
        <v>11</v>
      </c>
      <c r="B422" s="15" t="s">
        <v>65</v>
      </c>
      <c r="C422" s="23">
        <v>781814.79870000004</v>
      </c>
      <c r="D422" s="23">
        <v>2424555.4939999999</v>
      </c>
      <c r="E422" s="15">
        <v>680</v>
      </c>
      <c r="F422" s="15" t="s">
        <v>357</v>
      </c>
      <c r="G422" s="27">
        <v>0</v>
      </c>
      <c r="H422" s="27">
        <v>7571.38531977</v>
      </c>
      <c r="K422" s="15" t="s">
        <v>31</v>
      </c>
      <c r="L422" s="15" t="s">
        <v>377</v>
      </c>
    </row>
    <row r="423" spans="1:12">
      <c r="A423" s="24">
        <v>11</v>
      </c>
      <c r="B423" s="15" t="s">
        <v>65</v>
      </c>
      <c r="C423" s="23">
        <v>781814.79870000004</v>
      </c>
      <c r="D423" s="23">
        <v>2424555.4939999999</v>
      </c>
      <c r="E423" s="15">
        <v>680</v>
      </c>
      <c r="F423" s="15" t="s">
        <v>357</v>
      </c>
      <c r="G423" s="27">
        <v>0</v>
      </c>
      <c r="H423" s="27">
        <v>7571.38531977</v>
      </c>
      <c r="K423" s="15" t="s">
        <v>31</v>
      </c>
      <c r="L423" s="15" t="s">
        <v>377</v>
      </c>
    </row>
    <row r="424" spans="1:12">
      <c r="A424" s="24">
        <v>62</v>
      </c>
      <c r="B424" s="15" t="s">
        <v>97</v>
      </c>
      <c r="C424" s="23">
        <v>784862.78300000005</v>
      </c>
      <c r="D424" s="23">
        <v>2422532.341</v>
      </c>
      <c r="E424" s="15">
        <v>651</v>
      </c>
      <c r="F424" s="15" t="s">
        <v>333</v>
      </c>
      <c r="G424" s="27">
        <v>0</v>
      </c>
      <c r="H424" s="27">
        <v>357698.19833799999</v>
      </c>
      <c r="K424" s="15" t="s">
        <v>31</v>
      </c>
      <c r="L424" s="15" t="s">
        <v>377</v>
      </c>
    </row>
    <row r="425" spans="1:12">
      <c r="A425" s="24">
        <v>177</v>
      </c>
      <c r="B425" s="15" t="s">
        <v>65</v>
      </c>
      <c r="C425" s="23">
        <v>781779.84160000004</v>
      </c>
      <c r="D425" s="23">
        <v>2424393.8110000002</v>
      </c>
      <c r="E425" s="15">
        <v>278</v>
      </c>
      <c r="F425" s="15" t="s">
        <v>358</v>
      </c>
      <c r="G425" s="27">
        <v>0</v>
      </c>
      <c r="H425" s="27">
        <v>5204.0823747300001</v>
      </c>
      <c r="I425" s="15" t="s">
        <v>55</v>
      </c>
      <c r="K425" s="15" t="s">
        <v>31</v>
      </c>
      <c r="L425" s="15" t="s">
        <v>377</v>
      </c>
    </row>
    <row r="426" spans="1:12">
      <c r="A426" s="24">
        <v>177</v>
      </c>
      <c r="B426" s="15" t="s">
        <v>65</v>
      </c>
      <c r="C426" s="23">
        <v>781779.84160000004</v>
      </c>
      <c r="D426" s="23">
        <v>2424393.8110000002</v>
      </c>
      <c r="E426" s="15">
        <v>278</v>
      </c>
      <c r="F426" s="15" t="s">
        <v>358</v>
      </c>
      <c r="G426" s="27">
        <v>0</v>
      </c>
      <c r="H426" s="27">
        <v>5204.0823747300001</v>
      </c>
      <c r="I426" s="15" t="s">
        <v>55</v>
      </c>
      <c r="K426" s="15" t="s">
        <v>31</v>
      </c>
      <c r="L426" s="15" t="s">
        <v>377</v>
      </c>
    </row>
    <row r="427" spans="1:12">
      <c r="A427" s="24">
        <v>271</v>
      </c>
      <c r="B427" s="15" t="s">
        <v>65</v>
      </c>
      <c r="C427" s="23">
        <v>781406.01710000006</v>
      </c>
      <c r="D427" s="23">
        <v>2424264.6370000001</v>
      </c>
      <c r="E427" s="15">
        <v>284</v>
      </c>
      <c r="F427" s="15" t="s">
        <v>359</v>
      </c>
      <c r="G427" s="27">
        <v>0</v>
      </c>
      <c r="H427" s="27">
        <v>12172.155201899999</v>
      </c>
      <c r="I427" s="15" t="s">
        <v>55</v>
      </c>
      <c r="K427" s="15" t="s">
        <v>31</v>
      </c>
      <c r="L427" s="15" t="s">
        <v>377</v>
      </c>
    </row>
    <row r="428" spans="1:12">
      <c r="A428" s="24">
        <v>271</v>
      </c>
      <c r="B428" s="15" t="s">
        <v>65</v>
      </c>
      <c r="C428" s="23">
        <v>781406.01710000006</v>
      </c>
      <c r="D428" s="23">
        <v>2424264.6370000001</v>
      </c>
      <c r="E428" s="15">
        <v>284</v>
      </c>
      <c r="F428" s="15" t="s">
        <v>359</v>
      </c>
      <c r="G428" s="27">
        <v>0</v>
      </c>
      <c r="H428" s="27">
        <v>12172.155201899999</v>
      </c>
      <c r="I428" s="15" t="s">
        <v>55</v>
      </c>
      <c r="K428" s="15" t="s">
        <v>31</v>
      </c>
      <c r="L428" s="15" t="s">
        <v>377</v>
      </c>
    </row>
    <row r="429" spans="1:12">
      <c r="A429" s="24">
        <v>271</v>
      </c>
      <c r="B429" s="15" t="s">
        <v>65</v>
      </c>
      <c r="C429" s="23">
        <v>781406.01710000006</v>
      </c>
      <c r="D429" s="23">
        <v>2424264.6370000001</v>
      </c>
      <c r="E429" s="15">
        <v>284</v>
      </c>
      <c r="F429" s="15" t="s">
        <v>359</v>
      </c>
      <c r="G429" s="27">
        <v>0</v>
      </c>
      <c r="H429" s="27">
        <v>12172.155201899999</v>
      </c>
      <c r="I429" s="15" t="s">
        <v>55</v>
      </c>
      <c r="K429" s="15" t="s">
        <v>31</v>
      </c>
      <c r="L429" s="15" t="s">
        <v>377</v>
      </c>
    </row>
    <row r="430" spans="1:12">
      <c r="A430" s="24">
        <v>280</v>
      </c>
      <c r="B430" s="15" t="s">
        <v>56</v>
      </c>
      <c r="C430" s="23">
        <v>781441.00890000002</v>
      </c>
      <c r="D430" s="23">
        <v>2422425.051</v>
      </c>
      <c r="E430" s="15">
        <v>543</v>
      </c>
      <c r="F430" s="15" t="s">
        <v>337</v>
      </c>
      <c r="G430" s="27">
        <v>21639.02</v>
      </c>
      <c r="H430" s="27">
        <v>30188.801271600001</v>
      </c>
      <c r="I430" s="15" t="s">
        <v>55</v>
      </c>
      <c r="K430" s="15" t="s">
        <v>31</v>
      </c>
      <c r="L430" s="15" t="s">
        <v>377</v>
      </c>
    </row>
    <row r="431" spans="1:12">
      <c r="A431" s="24">
        <v>62</v>
      </c>
      <c r="B431" s="15" t="s">
        <v>97</v>
      </c>
      <c r="C431" s="23">
        <v>784862.78300000005</v>
      </c>
      <c r="D431" s="23">
        <v>2422532.341</v>
      </c>
      <c r="E431" s="15">
        <v>651</v>
      </c>
      <c r="F431" s="15" t="s">
        <v>333</v>
      </c>
      <c r="G431" s="27">
        <v>0</v>
      </c>
      <c r="H431" s="27">
        <v>357698.19833799999</v>
      </c>
      <c r="K431" s="15" t="s">
        <v>34</v>
      </c>
      <c r="L431" s="15" t="s">
        <v>377</v>
      </c>
    </row>
    <row r="432" spans="1:12">
      <c r="A432" s="24">
        <v>62</v>
      </c>
      <c r="B432" s="15" t="s">
        <v>97</v>
      </c>
      <c r="C432" s="23">
        <v>784862.78300000005</v>
      </c>
      <c r="D432" s="23">
        <v>2422532.341</v>
      </c>
      <c r="E432" s="15">
        <v>651</v>
      </c>
      <c r="F432" s="15" t="s">
        <v>333</v>
      </c>
      <c r="G432" s="27">
        <v>0</v>
      </c>
      <c r="H432" s="27">
        <v>357698.19833799999</v>
      </c>
      <c r="K432" s="15" t="s">
        <v>34</v>
      </c>
      <c r="L432" s="15" t="s">
        <v>377</v>
      </c>
    </row>
    <row r="433" spans="1:12">
      <c r="A433" s="24">
        <v>62</v>
      </c>
      <c r="B433" s="15" t="s">
        <v>97</v>
      </c>
      <c r="C433" s="23">
        <v>784862.78300000005</v>
      </c>
      <c r="D433" s="23">
        <v>2422532.341</v>
      </c>
      <c r="E433" s="15">
        <v>651</v>
      </c>
      <c r="F433" s="15" t="s">
        <v>333</v>
      </c>
      <c r="G433" s="27">
        <v>0</v>
      </c>
      <c r="H433" s="27">
        <v>357698.19833799999</v>
      </c>
      <c r="K433" s="15" t="s">
        <v>34</v>
      </c>
      <c r="L433" s="15" t="s">
        <v>377</v>
      </c>
    </row>
    <row r="434" spans="1:12">
      <c r="A434" s="24">
        <v>62</v>
      </c>
      <c r="B434" s="15" t="s">
        <v>97</v>
      </c>
      <c r="C434" s="23">
        <v>784862.78300000005</v>
      </c>
      <c r="D434" s="23">
        <v>2422532.341</v>
      </c>
      <c r="E434" s="15">
        <v>651</v>
      </c>
      <c r="F434" s="15" t="s">
        <v>333</v>
      </c>
      <c r="G434" s="27">
        <v>0</v>
      </c>
      <c r="H434" s="27">
        <v>357698.19833799999</v>
      </c>
      <c r="K434" s="15" t="s">
        <v>34</v>
      </c>
      <c r="L434" s="15" t="s">
        <v>377</v>
      </c>
    </row>
    <row r="435" spans="1:12">
      <c r="A435" s="24">
        <v>62</v>
      </c>
      <c r="B435" s="15" t="s">
        <v>97</v>
      </c>
      <c r="C435" s="23">
        <v>784862.78300000005</v>
      </c>
      <c r="D435" s="23">
        <v>2422532.341</v>
      </c>
      <c r="E435" s="15">
        <v>651</v>
      </c>
      <c r="F435" s="15" t="s">
        <v>333</v>
      </c>
      <c r="G435" s="27">
        <v>0</v>
      </c>
      <c r="H435" s="27">
        <v>357698.19833799999</v>
      </c>
      <c r="K435" s="15" t="s">
        <v>34</v>
      </c>
      <c r="L435" s="15" t="s">
        <v>377</v>
      </c>
    </row>
    <row r="436" spans="1:12">
      <c r="A436" s="24">
        <v>62</v>
      </c>
      <c r="B436" s="15" t="s">
        <v>97</v>
      </c>
      <c r="C436" s="23">
        <v>784862.78300000005</v>
      </c>
      <c r="D436" s="23">
        <v>2422532.341</v>
      </c>
      <c r="E436" s="15">
        <v>651</v>
      </c>
      <c r="F436" s="15" t="s">
        <v>333</v>
      </c>
      <c r="G436" s="27">
        <v>0</v>
      </c>
      <c r="H436" s="27">
        <v>357698.19833799999</v>
      </c>
      <c r="K436" s="15" t="s">
        <v>34</v>
      </c>
      <c r="L436" s="15" t="s">
        <v>377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24EU_PAR_CAN_JAR</vt:lpstr>
      <vt:lpstr>BASE DE DATOS_PAR_CAN_JAR</vt:lpstr>
      <vt:lpstr>'24EU_PAR_CAN_JAR'!Área_de_impresión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 garcia</dc:creator>
  <cp:lastModifiedBy>IMPLAN 681026</cp:lastModifiedBy>
  <cp:lastPrinted>2024-06-10T21:24:02Z</cp:lastPrinted>
  <dcterms:created xsi:type="dcterms:W3CDTF">2024-03-04T20:54:05Z</dcterms:created>
  <dcterms:modified xsi:type="dcterms:W3CDTF">2025-08-13T15:04:57Z</dcterms:modified>
</cp:coreProperties>
</file>