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EQUIPAMIENTO URBANO_CLASIFICADO POR DELEGACION, ZUFO,REFOM\24TIANGUIS\"/>
    </mc:Choice>
  </mc:AlternateContent>
  <bookViews>
    <workbookView xWindow="0" yWindow="0" windowWidth="28800" windowHeight="11535"/>
  </bookViews>
  <sheets>
    <sheet name="24EU_TIANGUIS" sheetId="1" r:id="rId1"/>
    <sheet name="BASE DE DATOS_TIANGUIS" sheetId="2" r:id="rId2"/>
  </sheets>
  <definedNames>
    <definedName name="_xlnm.Print_Area" localSheetId="0">'24EU_TIANGUIS'!$A$1:$C$31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C29" i="1"/>
  <c r="C26" i="1"/>
  <c r="C28" i="1"/>
  <c r="C27" i="1"/>
  <c r="C23" i="1"/>
  <c r="C22" i="1"/>
  <c r="C20" i="1"/>
  <c r="C19" i="1"/>
  <c r="C25" i="1" l="1"/>
  <c r="C24" i="1"/>
</calcChain>
</file>

<file path=xl/sharedStrings.xml><?xml version="1.0" encoding="utf-8"?>
<sst xmlns="http://schemas.openxmlformats.org/spreadsheetml/2006/main" count="596" uniqueCount="222">
  <si>
    <t>FICHA TÉCNICA</t>
  </si>
  <si>
    <t>INSTITUTO MUNICIPAL DE PLANEACIÓN  Y EVALUACIÓN DE AGUASCALIENTES (IMPLAN) 2024</t>
  </si>
  <si>
    <t>NOMBRE DEL ARCHIVO:</t>
  </si>
  <si>
    <t>FUENTE:</t>
  </si>
  <si>
    <t>FORMATO:</t>
  </si>
  <si>
    <t>SHAPE FILE</t>
  </si>
  <si>
    <t>REPRESENACIÓN DE ELEMENTOS:</t>
  </si>
  <si>
    <t>PUNTOS</t>
  </si>
  <si>
    <t>PROYECCIÓN CARTOGRÁFICA:</t>
  </si>
  <si>
    <t>DÁTUM:</t>
  </si>
  <si>
    <t>ÁMBITO TERRITORIAL:</t>
  </si>
  <si>
    <t>MUNICIPAL</t>
  </si>
  <si>
    <t>INFORMACIÓN TÉCNICA:</t>
  </si>
  <si>
    <t>DESCRIPCIÓN DEL CAMPO</t>
  </si>
  <si>
    <t>CAMPO</t>
  </si>
  <si>
    <t>DESCRIPCIÓN</t>
  </si>
  <si>
    <t>ESTADO</t>
  </si>
  <si>
    <t>MUNICIPIO</t>
  </si>
  <si>
    <t>DELEGACIÓN</t>
  </si>
  <si>
    <t>ID_EU</t>
  </si>
  <si>
    <t>X_COORD</t>
  </si>
  <si>
    <t>Y_COORD</t>
  </si>
  <si>
    <t>DELEGACION</t>
  </si>
  <si>
    <t>BARRIO</t>
  </si>
  <si>
    <t>COLONIA</t>
  </si>
  <si>
    <t>EJIDO</t>
  </si>
  <si>
    <t>FRACCIONAMIENTO</t>
  </si>
  <si>
    <t>CENTRO PONIENTE</t>
  </si>
  <si>
    <t>INSURGENTES</t>
  </si>
  <si>
    <t>POCITOS</t>
  </si>
  <si>
    <t>MORELOS</t>
  </si>
  <si>
    <t>MUJERES ILUSTRES</t>
  </si>
  <si>
    <t>SAN MARCOS</t>
  </si>
  <si>
    <t>CENTRO ORIENTE</t>
  </si>
  <si>
    <t>ALFREDO LEWIS</t>
  </si>
  <si>
    <t>SANTA ANITA</t>
  </si>
  <si>
    <t>GUADALUPE PERALTA</t>
  </si>
  <si>
    <t>SAN FRANCISCO DE LOS VIVEROS</t>
  </si>
  <si>
    <t>OJOCALIENTE</t>
  </si>
  <si>
    <t>VILLAS</t>
  </si>
  <si>
    <t>POZO BRAVO</t>
  </si>
  <si>
    <t>COMERCIO</t>
  </si>
  <si>
    <t>AGUASCALIENTES</t>
  </si>
  <si>
    <t>POTREROS</t>
  </si>
  <si>
    <t>CVE</t>
  </si>
  <si>
    <t>WGS_1984</t>
  </si>
  <si>
    <t>UTM ZONA 13 NORTE</t>
  </si>
  <si>
    <t>REFOM_ZUFO</t>
  </si>
  <si>
    <t>NOMBRE ESTABLECIMIENTO</t>
  </si>
  <si>
    <t>TIPO DE ACTIVIDAD</t>
  </si>
  <si>
    <t>SECTOR</t>
  </si>
  <si>
    <t>LUGAR</t>
  </si>
  <si>
    <t xml:space="preserve">NOMBRE DE CALLE </t>
  </si>
  <si>
    <t>PROGRESO</t>
  </si>
  <si>
    <t>DESLOC</t>
  </si>
  <si>
    <t>TIPO_DL</t>
  </si>
  <si>
    <t>SUBSISTEMA</t>
  </si>
  <si>
    <t>ELEMENTO</t>
  </si>
  <si>
    <t>TIANGUIS</t>
  </si>
  <si>
    <t>DIA</t>
  </si>
  <si>
    <t>UBICACION</t>
  </si>
  <si>
    <t>NUM_COMER</t>
  </si>
  <si>
    <t>COMENTS</t>
  </si>
  <si>
    <t>ADMINISTRA</t>
  </si>
  <si>
    <t>ZUF_REF</t>
  </si>
  <si>
    <t>MORELOS I</t>
  </si>
  <si>
    <t>LUNES</t>
  </si>
  <si>
    <t>MEXICO LIBRE ENTRE SITIO DE CUAUTLA Y 1A. CONSTITUCION</t>
  </si>
  <si>
    <t>DIRECCION DE MERCADOS MUNICIPAL</t>
  </si>
  <si>
    <t>(ZUFO) - EL CEDAZO</t>
  </si>
  <si>
    <t>VILLA DE NUESTRA SEÑORA DE LA ASUNCION, SECTOR ALAMEDA</t>
  </si>
  <si>
    <t>VILLAS DE NUESTRA SRA. DE LA ASUNCION</t>
  </si>
  <si>
    <t>LUIS CHAVEZ ENTRE VALLE DE LOS ROMEROS  Y DOMINGO VELASCO</t>
  </si>
  <si>
    <t>(ZUFO) - LA HACIENDA</t>
  </si>
  <si>
    <t>BENITO PALOMINO DENA</t>
  </si>
  <si>
    <t>PALOMINO DENA</t>
  </si>
  <si>
    <t>ROBERTO JEFKINS RANGEL ENTRE FRANCISCO GUEL JIMENEZ Y GILBERTO LOPEZ VELARDE</t>
  </si>
  <si>
    <t>POTREROS DEL OESTE</t>
  </si>
  <si>
    <t>UNIDAD HABITACIONAL</t>
  </si>
  <si>
    <t>AV. FAISAN, ENTRE SIGLO XXI Y ANDADOR  ARROYO</t>
  </si>
  <si>
    <t>(ZUFO) - SAN FRANCISCO</t>
  </si>
  <si>
    <t>RODOLFO LANDEROS GALLEGOS</t>
  </si>
  <si>
    <t>RODOLFO LANDEROS</t>
  </si>
  <si>
    <t>PAZ ROMO DE VIVAR, OLGA DELGADILLO Y CECILIA LEAL</t>
  </si>
  <si>
    <t>(ZUFO) - DON PASCUAL PONIENTE</t>
  </si>
  <si>
    <t>PUEBLITO ENTRE CAMPECHE Y AV. AGUASCALIENTES</t>
  </si>
  <si>
    <t>(ZUFO) - ARELLANO</t>
  </si>
  <si>
    <t>SOLIDARIDAD II</t>
  </si>
  <si>
    <t>CERRO DEL MIXTON ENTRE ATOTONITLAN Y   SIGLO XXI</t>
  </si>
  <si>
    <t>(ZUFO) - OJOCALIENTE</t>
  </si>
  <si>
    <t>J. GUADALUPE PERALTA GAMEZ</t>
  </si>
  <si>
    <t>IGNACIO MARIN ENTRE ISABEL JIMENEZ DIAZ Y PROCERES DE LA ENSEÑANZA</t>
  </si>
  <si>
    <t>(ZUFO) - DON PASCUAL ORIENTE</t>
  </si>
  <si>
    <t>MUNICIPIO LIBRE</t>
  </si>
  <si>
    <t>BARBERENA VEGA</t>
  </si>
  <si>
    <t>MARTES</t>
  </si>
  <si>
    <t>CALLE PILARES ENTRE MIGUEL ANGEL BARBERENA VEGA Y PROSPERIDAD</t>
  </si>
  <si>
    <t>CONSTITUCION</t>
  </si>
  <si>
    <t>ARTICULO NO. 12 Y AV. CONSTITUCION</t>
  </si>
  <si>
    <t>(ZUFO) - FERROCARRIL</t>
  </si>
  <si>
    <t>EJIDO CUMBRES</t>
  </si>
  <si>
    <t>CUMBRES</t>
  </si>
  <si>
    <t>PICACHO OTE, ENTRE SIGLO XXI Y SAN BERNARDINO</t>
  </si>
  <si>
    <t>LA SALUD</t>
  </si>
  <si>
    <t>SAN JOAQUIN ENTRE SAN ATANASIO Y HEROE DE NACOZARI SUR</t>
  </si>
  <si>
    <t>(ZUFO) - CENTRO</t>
  </si>
  <si>
    <t>LOMA BONITA</t>
  </si>
  <si>
    <t>ARTICULO 3 ENTRE 1857 Y 1917</t>
  </si>
  <si>
    <t>(ZUFO) - SAN PEDRO SUR</t>
  </si>
  <si>
    <t>MEXICO</t>
  </si>
  <si>
    <t>AV. CASA BLANCA ENTRE SONORA Y COAHUILA</t>
  </si>
  <si>
    <t>LA PURISIMA</t>
  </si>
  <si>
    <t>PURISIMA</t>
  </si>
  <si>
    <t>EZEQUIEL A. CHAVEZ, J. REFUGIO VELASCO, PODER LEGISLATIVO Y REFORMA</t>
  </si>
  <si>
    <t>LAS BRISAS</t>
  </si>
  <si>
    <t>MAR CASPIO Y MAR JONICO</t>
  </si>
  <si>
    <t>EL LLANITO</t>
  </si>
  <si>
    <t>MIERCOLES</t>
  </si>
  <si>
    <t>5 DE FEBRERO ENTRE LA CALLE 2 DE ABRIL Y NEVEROS</t>
  </si>
  <si>
    <t>JOSE LOPEZ PORTILLO</t>
  </si>
  <si>
    <t>LOPEZ PORTILLO</t>
  </si>
  <si>
    <t>JOSE MARIA BOCANEGRA ENTRE RAMIREZ PALOS Y VALENTE ARTEAGA</t>
  </si>
  <si>
    <t>SALTO DE OJOCALIENTE</t>
  </si>
  <si>
    <t>BENITO JUAREZ ENTRE ALLENDE Y FRANCISCO VILLA</t>
  </si>
  <si>
    <t>ALTAVISTA</t>
  </si>
  <si>
    <t>SAN FELIPE</t>
  </si>
  <si>
    <t>GUILLERMO PRIETO, CARLOS SAGREDO, SAN FELIPE Y RAFAEL ARELLANO</t>
  </si>
  <si>
    <t>SOLIDARIDAD I</t>
  </si>
  <si>
    <t>AV. PROL. POLIDUCTO Y SALUD</t>
  </si>
  <si>
    <t>OJOCALIENTE III</t>
  </si>
  <si>
    <t>EL MOCHO</t>
  </si>
  <si>
    <t>JUEVES</t>
  </si>
  <si>
    <t>CARPA ENTRE EL MOCHO Y BARRANCA</t>
  </si>
  <si>
    <t>JESUS TERAN PEREDO</t>
  </si>
  <si>
    <t>JESUS TERAN</t>
  </si>
  <si>
    <t>PLUTARCO ELIAS CALLES ENTRE AV. LAS PALMAS Y MANUEL PEREZ</t>
  </si>
  <si>
    <t>LAS FLORES</t>
  </si>
  <si>
    <t>ORQUIDEAS ENTRE DALIAS Y CLAVELES</t>
  </si>
  <si>
    <t>(ZUFO) - AYUNTAMIENTO</t>
  </si>
  <si>
    <t>MARTINEZ DOMINGUEZ</t>
  </si>
  <si>
    <t>PILAR BLANCO</t>
  </si>
  <si>
    <t>VIERNES</t>
  </si>
  <si>
    <t>PASEO DE LA ASUNCION ENTRE RAFAEL OROPEZA Y AV. AGUILA</t>
  </si>
  <si>
    <t>OJO DE AGUA DE PALMITAS</t>
  </si>
  <si>
    <t>TECUEXE ENTRE IZTACIHUATL Y XIUHNEL</t>
  </si>
  <si>
    <t>JESUS GOMEZ PORTUGAL</t>
  </si>
  <si>
    <t>VOLCANES</t>
  </si>
  <si>
    <t>VIA LACTEA ENTRE ARGO Y HALYS</t>
  </si>
  <si>
    <t>C.T.M.</t>
  </si>
  <si>
    <t>LA ESTRELLA</t>
  </si>
  <si>
    <t>SABADO</t>
  </si>
  <si>
    <t>RICARDO FLORES MAGON ENTRE OBRERO MUNDIAL Y GABRIELA MISTRAL</t>
  </si>
  <si>
    <t>INF. MORELOS</t>
  </si>
  <si>
    <t>2A PLAZA BONAMPAK</t>
  </si>
  <si>
    <t>OJOCALIENTE I</t>
  </si>
  <si>
    <t>JALTOMTE ENTRE AV. OJOCALIENTE Y SALTO DE LOS SALADO</t>
  </si>
  <si>
    <t>PAZ ROMO DE VIVAR, CECILIA LEAL Y OLGA DELGADILLO</t>
  </si>
  <si>
    <t>INDUSTRIAL</t>
  </si>
  <si>
    <t>DOMINGO</t>
  </si>
  <si>
    <t>ALFREDO LEWIS, MELQUIADES MORENO, MANUEL CEDRO</t>
  </si>
  <si>
    <t>CENTRO DE BARRIO</t>
  </si>
  <si>
    <t>MARIANO HIDALGO ESQUINA ARTILLERO MIER</t>
  </si>
  <si>
    <t>SAN PEDRO ENTRE EL MOCHO Y BARRANCA</t>
  </si>
  <si>
    <t>ESPAÑA</t>
  </si>
  <si>
    <t>SALAMANCA ENTRE CADIZ Y ALMERIA</t>
  </si>
  <si>
    <t>GOMEZ PORTUGAL</t>
  </si>
  <si>
    <t>VIA LACTEA ENTRE AV. PASEO DE LA CRUZ Y CASIOPEA</t>
  </si>
  <si>
    <t>AV. CONVENCION Y BELISARIO DOMINGUEZ</t>
  </si>
  <si>
    <t>TIANGUIS SAN JUANITO</t>
  </si>
  <si>
    <t>CONDOMINIO HORIZONTAL</t>
  </si>
  <si>
    <t>MARINA NACIONAL</t>
  </si>
  <si>
    <t>MARINA NACIONAL, FELIX DE LA PAZ, PRIMAVERA, REYES MARTINEZ Y PALMA</t>
  </si>
  <si>
    <t>UBICADO EN 2 UNIDADES TERRITORIALES: CENTRO G Y H</t>
  </si>
  <si>
    <t>EZEQUIEL A. CHAVEZ, J. REFUGIO VELASCO, PODER LEGISLATIVO, REFORMA Y NUEVA DE LA PAZ</t>
  </si>
  <si>
    <t>LOMAS DEL AJEDREZ</t>
  </si>
  <si>
    <t>AMELIA GOMEZ Y MARGARITA MAZA DE JUAREZ</t>
  </si>
  <si>
    <t>MUJERES ULUSTRES</t>
  </si>
  <si>
    <t>PROCERES DE LA ENSEÑANZA</t>
  </si>
  <si>
    <t>SAN FRANCISCO DE LOS VIVEROS Y LA BOQUILLA</t>
  </si>
  <si>
    <t>ALIANZA FERROCARRILERA</t>
  </si>
  <si>
    <t>MACIAS ARELLANO</t>
  </si>
  <si>
    <t>CALLE F ENTRE CALLE A Y JOSE OROZCO</t>
  </si>
  <si>
    <t>PASCUAL CORNEJO</t>
  </si>
  <si>
    <t>SOBERANA CONVENCION REVOLUCIONARIA</t>
  </si>
  <si>
    <t>PAULIN N. MARTI ENTRE ARTICULO 18 Y ARTICULO 35</t>
  </si>
  <si>
    <t>FIDEL VELAZQUEZ</t>
  </si>
  <si>
    <t>AV. DE LAS FUENTES Y AV. OJOCALIENTE</t>
  </si>
  <si>
    <t>NAZARIO ORTIZ GARZA</t>
  </si>
  <si>
    <t>BLVD. GUADALUPANO Y SALVADOR DIAZ GONZALEZ</t>
  </si>
  <si>
    <t>SOLIDARIDAD III</t>
  </si>
  <si>
    <t>AV. SIGLO XXI Y ADOLFO DE LA HUERTA</t>
  </si>
  <si>
    <t>DIRECCION DE MERCADOS</t>
  </si>
  <si>
    <t>VILLA DE NUESTRA SEÑORA DE LA ASUNCION, SECTOR GUADALUPE</t>
  </si>
  <si>
    <t>N/D</t>
  </si>
  <si>
    <t>ROGELIO GALINDO DE LA TORRE</t>
  </si>
  <si>
    <t>BOSQUE URBANO TRES CENTURIAS</t>
  </si>
  <si>
    <t>DESARROLLO ESPECIAL</t>
  </si>
  <si>
    <t>MARKET NOCTURNO BOSQUE URBANO TRES CENTURIAS</t>
  </si>
  <si>
    <t>AV. HEROICO COLEGIO MILITAR</t>
  </si>
  <si>
    <t>BOSQUE URBANO HEROES MEXICANOS</t>
  </si>
  <si>
    <t>MARKET NOCTURNO B. URB. HEROES MEXICANOS</t>
  </si>
  <si>
    <t>BLVD. JOSE MARIA CHAVEZ</t>
  </si>
  <si>
    <t>LA SOLEDAD</t>
  </si>
  <si>
    <t>AMATITAN</t>
  </si>
  <si>
    <t>(ZUFO) - SAN PEDRO NORTE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</si>
  <si>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</si>
  <si>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</si>
  <si>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</si>
  <si>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</si>
  <si>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</si>
  <si>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</si>
  <si>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</si>
  <si>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</si>
  <si>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</si>
  <si>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</si>
  <si>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</si>
  <si>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</si>
  <si>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</si>
  <si>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CVE (1-53)</t>
  </si>
  <si>
    <t>EU_COMERCIO TIANGUIS</t>
  </si>
  <si>
    <t>UBICACIÓN DE TIANGUIS</t>
  </si>
  <si>
    <t>LA CLASIFICACIÓN DE ELEMENTOS ESTÁ BASADA EN EL SISTEMA NORMATIVO DE EQUIPAMIENTO URBANO DE LA SEDESOL FEDERAL, SUBSISTEMA COMERCIO. LA INTEGRACIÓN FUE REALIZADA POR EL IMPLAN.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</si>
</sst>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000000"/>
    <numFmt numFmtId="165" formatCode="0.0000"/>
    <numFmt numFmtId="166" formatCode="0.00000"/>
  </numFmts>
  <fonts count="10">
    <font>
      <sz val="11"/>
      <color theme="1"/>
      <name val="Calibri"/>
      <family val="2"/>
      <scheme val="minor"/>
    </font>
    <font>
      <b/>
      <sz val="10"/>
      <color theme="1"/>
      <name val="Arial Nova"/>
      <family val="2"/>
    </font>
    <font>
      <sz val="10"/>
      <color theme="1"/>
      <name val="Bahnschrift Light SemiCondensed"/>
      <family val="2"/>
    </font>
    <font>
      <sz val="11"/>
      <color theme="1"/>
      <name val="Bahnschrift Light SemiCondensed"/>
      <family val="2"/>
    </font>
    <font>
      <b/>
      <sz val="10"/>
      <color theme="1"/>
      <name val="Bahnschrift Light SemiCondensed"/>
      <family val="2"/>
    </font>
    <font>
      <b/>
      <sz val="14"/>
      <color theme="1"/>
      <name val="Bahnschrift Light SemiCondensed"/>
      <family val="2"/>
    </font>
    <font>
      <b/>
      <sz val="14"/>
      <name val="Bahnschrift Light SemiCondensed"/>
      <family val="2"/>
    </font>
    <font>
      <b/>
      <sz val="12"/>
      <color theme="1"/>
      <name val="Bahnschrift Light SemiCondensed"/>
      <family val="2"/>
    </font>
    <font>
      <sz val="11"/>
      <color rgb="FFFF0000"/>
      <name val="Calibri"/>
      <family val="2"/>
      <scheme val="minor"/>
    </font>
    <font>
      <b/>
      <sz val="16"/>
      <color theme="1" tint="4.9989318521683403E-2"/>
      <name val="Bahnschrift Light SemiCondensed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theme="4" tint="0.79998168889431442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2" borderId="6" xfId="0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vertical="center"/>
    </xf>
    <xf numFmtId="0" fontId="2" fillId="3" borderId="7" xfId="0" applyFont="1" applyFill="1" applyBorder="1"/>
    <xf numFmtId="0" fontId="0" fillId="0" borderId="0" xfId="0" applyBorder="1"/>
    <xf numFmtId="0" fontId="3" fillId="0" borderId="0" xfId="0" applyFont="1" applyBorder="1"/>
    <xf numFmtId="0" fontId="1" fillId="0" borderId="0" xfId="0" applyFont="1" applyBorder="1"/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4" fillId="0" borderId="0" xfId="0" applyFont="1" applyBorder="1" applyAlignment="1">
      <alignment vertic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0" fillId="0" borderId="0" xfId="0" applyFill="1" applyBorder="1"/>
    <xf numFmtId="1" fontId="0" fillId="0" borderId="0" xfId="0" applyNumberFormat="1"/>
    <xf numFmtId="0" fontId="2" fillId="2" borderId="6" xfId="0" applyFont="1" applyFill="1" applyBorder="1" applyAlignment="1">
      <alignment horizontal="center"/>
    </xf>
    <xf numFmtId="0" fontId="8" fillId="0" borderId="0" xfId="0" applyFont="1" applyFill="1" applyBorder="1"/>
    <xf numFmtId="1" fontId="0" fillId="0" borderId="0" xfId="0" applyNumberForma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/>
    <xf numFmtId="0" fontId="9" fillId="6" borderId="5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/>
    </xf>
    <xf numFmtId="166" fontId="0" fillId="0" borderId="0" xfId="0" applyNumberFormat="1"/>
    <xf numFmtId="165" fontId="2" fillId="2" borderId="6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1">
    <cellStyle name="Normal" xfId="0" builtinId="0"/>
  </cellStyles>
  <dxfs count="28">
    <dxf>
      <numFmt numFmtId="165" formatCode="0.0000"/>
      <alignment horizontal="center" vertical="center" textRotation="0" wrapText="0" indent="0" justifyLastLine="0" shrinkToFit="0" readingOrder="0"/>
    </dxf>
    <dxf>
      <numFmt numFmtId="165" formatCode="0.0000"/>
      <alignment horizontal="center" vertical="center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00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0000"/>
    </dxf>
    <dxf>
      <numFmt numFmtId="166" formatCode="0.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100853</xdr:colOff>
      <xdr:row>0</xdr:row>
      <xdr:rowOff>123265</xdr:rowOff>
    </xdr:from>
    <xdr:to>
      <xdr:col>2</xdr:col>
      <xdr:colOff>5082653</xdr:colOff>
      <xdr:row>1</xdr:row>
      <xdr:rowOff>526678</xdr:rowOff>
    </xdr:to>
    <xdr:grpSp>
      <xdr:nvGrpSpPr>
        <xdr:cNvPr id="3" name="Grupo 2"/>
        <xdr:cNvGrpSpPr/>
      </xdr:nvGrpSpPr>
      <xdr:grpSpPr>
        <a:xfrm>
          <a:off x="246529" y="123265"/>
          <a:ext cx="7088506" cy="1042148"/>
          <a:chOff x="268941" y="179293"/>
          <a:chExt cx="7088506" cy="1042148"/>
        </a:xfrm>
      </xdr:grpSpPr>
      <xdr:pic>
        <xdr:nvPicPr>
          <xdr:cNvPr id="4" name="Imagen 3" descr="D:\DIRECCION INFORMACION ESTRATEGICA\LOGOS\2025\WhatsApp Image 2025-08-12 at 2.08.50 PM.jpeg"/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8941" y="268942"/>
            <a:ext cx="2066925" cy="5473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Imagen 4" descr="D:\DIRECCION INFORMACION ESTRATEGICA\LOGOS\2025\WhatsApp Image 2025-08-12 at 2.10.00 PM.jpeg"/>
          <xdr:cNvPicPr/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contrast="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22913" y="179293"/>
            <a:ext cx="3334534" cy="10421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tables/table1.xml><?xml version="1.0" encoding="utf-8"?>
<table xmlns="http://schemas.openxmlformats.org/spreadsheetml/2006/main" id="1" name="ABASTO" displayName="ABASTO" ref="A1:AB1048282" totalsRowShown="0">
  <autoFilter ref="A1:AB1048282"/>
  <tableColumns count="28">
    <tableColumn id="1" name="CVE" dataDxfId="27"/>
    <tableColumn id="2" name="DESLOC" dataDxfId="26"/>
    <tableColumn id="3" name="TIPO_DL" dataDxfId="25"/>
    <tableColumn id="4" name="SUBSISTEMA" dataDxfId="24"/>
    <tableColumn id="5" name="ELEMENTO" dataDxfId="23"/>
    <tableColumn id="6" name="TIANGUIS" dataDxfId="22"/>
    <tableColumn id="7" name="DIA" dataDxfId="21"/>
    <tableColumn id="8" name="UBICACION" dataDxfId="20"/>
    <tableColumn id="9" name="NUM_COMER" dataDxfId="19"/>
    <tableColumn id="10" name="COMENTS" dataDxfId="18"/>
    <tableColumn id="11" name="ADMINISTRA" dataDxfId="17"/>
    <tableColumn id="12" name="X_COORD" dataDxfId="16"/>
    <tableColumn id="13" name="Y_COORD" dataDxfId="15"/>
    <tableColumn id="14" name="ZUF_REF" dataDxfId="14"/>
    <tableColumn id="15" name="DELEGACION" dataDxfId="13"/>
    <tableColumn id="16" name="Columna1" dataDxfId="12"/>
    <tableColumn id="17" name="Columna2" dataDxfId="11"/>
    <tableColumn id="18" name="Columna3" dataDxfId="10"/>
    <tableColumn id="19" name="Columna4" dataDxfId="9"/>
    <tableColumn id="20" name="Columna5" dataDxfId="8"/>
    <tableColumn id="21" name="Columna6" dataDxfId="7"/>
    <tableColumn id="22" name="Columna7" dataDxfId="6"/>
    <tableColumn id="23" name="Columna8" dataDxfId="5"/>
    <tableColumn id="24" name="Columna9" dataDxfId="4"/>
    <tableColumn id="25" name="Columna10" dataDxfId="3"/>
    <tableColumn id="26" name="Columna11" dataDxfId="2"/>
    <tableColumn id="27" name="Columna12" dataDxfId="1"/>
    <tableColumn id="28" name="Columna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tabSelected="1" view="pageBreakPreview" zoomScale="85" zoomScaleNormal="85" zoomScaleSheetLayoutView="85" workbookViewId="0">
      <selection activeCell="I7" sqref="I7"/>
    </sheetView>
  </sheetViews>
  <sheetFormatPr baseColWidth="10" defaultRowHeight="15"/>
  <cols>
    <col min="1" max="1" width="2.140625" style="7" customWidth="1"/>
    <col min="2" max="2" width="31.5703125" style="7" customWidth="1"/>
    <col min="3" max="3" width="81.42578125" style="7" customWidth="1"/>
    <col min="4" max="4" width="2.7109375" style="7" customWidth="1"/>
    <col min="5" max="16384" width="11.42578125" style="7"/>
  </cols>
  <sheetData>
    <row r="1" spans="2:4" ht="50.25" customHeight="1">
      <c r="B1" s="30"/>
      <c r="C1" s="30"/>
    </row>
    <row r="2" spans="2:4" ht="50.25" customHeight="1" thickBot="1">
      <c r="B2" s="30"/>
      <c r="C2" s="30"/>
    </row>
    <row r="3" spans="2:4" ht="18.75" thickBot="1">
      <c r="B3" s="31" t="s">
        <v>220</v>
      </c>
      <c r="C3" s="32"/>
    </row>
    <row r="4" spans="2:4">
      <c r="B4" s="8"/>
      <c r="C4" s="8"/>
    </row>
    <row r="5" spans="2:4" ht="15.75">
      <c r="B5" s="33" t="s">
        <v>0</v>
      </c>
      <c r="C5" s="33"/>
      <c r="D5" s="9"/>
    </row>
    <row r="6" spans="2:4">
      <c r="B6" s="10" t="s">
        <v>2</v>
      </c>
      <c r="C6" s="11" t="s">
        <v>219</v>
      </c>
    </row>
    <row r="7" spans="2:4" ht="24.75" customHeight="1">
      <c r="B7" s="10" t="s">
        <v>3</v>
      </c>
      <c r="C7" s="12" t="s">
        <v>1</v>
      </c>
    </row>
    <row r="8" spans="2:4">
      <c r="B8" s="10" t="s">
        <v>4</v>
      </c>
      <c r="C8" s="11" t="s">
        <v>5</v>
      </c>
    </row>
    <row r="9" spans="2:4">
      <c r="B9" s="10" t="s">
        <v>6</v>
      </c>
      <c r="C9" s="11" t="s">
        <v>7</v>
      </c>
    </row>
    <row r="10" spans="2:4">
      <c r="B10" s="10" t="s">
        <v>8</v>
      </c>
      <c r="C10" s="11" t="s">
        <v>46</v>
      </c>
    </row>
    <row r="11" spans="2:4">
      <c r="B11" s="10" t="s">
        <v>9</v>
      </c>
      <c r="C11" s="11" t="s">
        <v>45</v>
      </c>
    </row>
    <row r="12" spans="2:4">
      <c r="B12" s="10" t="s">
        <v>10</v>
      </c>
      <c r="C12" s="11" t="s">
        <v>11</v>
      </c>
    </row>
    <row r="13" spans="2:4" ht="26.25">
      <c r="B13" s="13" t="s">
        <v>12</v>
      </c>
      <c r="C13" s="12" t="s">
        <v>221</v>
      </c>
    </row>
    <row r="14" spans="2:4">
      <c r="B14" s="8"/>
      <c r="C14" s="8"/>
    </row>
    <row r="15" spans="2:4" ht="16.5" thickBot="1">
      <c r="B15" s="33" t="s">
        <v>13</v>
      </c>
      <c r="C15" s="33"/>
    </row>
    <row r="16" spans="2:4" ht="18">
      <c r="B16" s="14" t="s">
        <v>14</v>
      </c>
      <c r="C16" s="15" t="s">
        <v>15</v>
      </c>
    </row>
    <row r="17" spans="2:12">
      <c r="B17" s="1" t="s">
        <v>16</v>
      </c>
      <c r="C17" s="2" t="s">
        <v>42</v>
      </c>
    </row>
    <row r="18" spans="2:12">
      <c r="B18" s="1" t="s">
        <v>17</v>
      </c>
      <c r="C18" s="3" t="s">
        <v>42</v>
      </c>
      <c r="G18"/>
      <c r="H18"/>
      <c r="I18"/>
      <c r="J18"/>
      <c r="K18"/>
    </row>
    <row r="19" spans="2:12">
      <c r="B19" s="1" t="s">
        <v>18</v>
      </c>
      <c r="C19" s="3" t="str">
        <f>VLOOKUP($C$21,ABASTO[#All],15,FALSE)</f>
        <v>SAN MARCOS</v>
      </c>
      <c r="G19" s="20"/>
      <c r="H19" s="20"/>
      <c r="I19" s="21"/>
      <c r="J19" s="21"/>
      <c r="K19" s="22"/>
      <c r="L19" s="16"/>
    </row>
    <row r="20" spans="2:12">
      <c r="B20" s="1" t="s">
        <v>47</v>
      </c>
      <c r="C20" s="3" t="str">
        <f>VLOOKUP($C$21,ABASTO[#All],14,FALSE)</f>
        <v>(ZUFO) - SAN PEDRO NORTE</v>
      </c>
      <c r="G20" s="22"/>
      <c r="H20" s="16"/>
      <c r="I20" s="22"/>
      <c r="J20" s="22"/>
      <c r="K20" s="22"/>
      <c r="L20" s="16"/>
    </row>
    <row r="21" spans="2:12" ht="19.5">
      <c r="B21" s="23" t="s">
        <v>218</v>
      </c>
      <c r="C21" s="24">
        <v>53</v>
      </c>
      <c r="G21" s="22"/>
      <c r="H21" s="22"/>
      <c r="I21" s="22"/>
      <c r="J21" s="22"/>
      <c r="K21" s="22"/>
      <c r="L21" s="16"/>
    </row>
    <row r="22" spans="2:12">
      <c r="B22" s="1" t="s">
        <v>48</v>
      </c>
      <c r="C22" s="18" t="str">
        <f>VLOOKUP($C$21,ABASTO[#All],6,FALSE)</f>
        <v>LA SOLEDAD</v>
      </c>
      <c r="G22"/>
      <c r="H22"/>
      <c r="I22"/>
      <c r="J22"/>
      <c r="K22"/>
    </row>
    <row r="23" spans="2:12" ht="26.25" customHeight="1">
      <c r="B23" s="27" t="s">
        <v>49</v>
      </c>
      <c r="C23" s="26" t="str">
        <f>VLOOKUP($C$21,ABASTO[#All],5,FALSE)</f>
        <v>TIANGUIS</v>
      </c>
    </row>
    <row r="24" spans="2:12">
      <c r="B24" s="1" t="s">
        <v>19</v>
      </c>
      <c r="C24" s="18" t="str">
        <f>VLOOKUP($C$21,ABASTO[#All],2,FALSE)</f>
        <v>LA SOLEDAD</v>
      </c>
    </row>
    <row r="25" spans="2:12">
      <c r="B25" s="5" t="s">
        <v>50</v>
      </c>
      <c r="C25" s="18" t="str">
        <f>VLOOKUP($C$21,ABASTO[#All],4,FALSE)</f>
        <v>COMERCIO</v>
      </c>
    </row>
    <row r="26" spans="2:12">
      <c r="B26" s="1" t="s">
        <v>59</v>
      </c>
      <c r="C26" s="18" t="str">
        <f>VLOOKUP($C$21,ABASTO[#All],7,FALSE)</f>
        <v>N/D</v>
      </c>
    </row>
    <row r="27" spans="2:12">
      <c r="B27" s="4" t="s">
        <v>51</v>
      </c>
      <c r="C27" s="18" t="str">
        <f>VLOOKUP($C$21,ABASTO[#All],2,FALSE)</f>
        <v>LA SOLEDAD</v>
      </c>
    </row>
    <row r="28" spans="2:12">
      <c r="B28" s="1" t="s">
        <v>52</v>
      </c>
      <c r="C28" s="18" t="str">
        <f>VLOOKUP($C$21,ABASTO[#All],8,FALSE)</f>
        <v>AMATITAN</v>
      </c>
    </row>
    <row r="29" spans="2:12">
      <c r="B29" s="1" t="s">
        <v>20</v>
      </c>
      <c r="C29" s="29">
        <f>VLOOKUP($C$21,ABASTO[#All],12,FALSE)</f>
        <v>775676.42466999998</v>
      </c>
    </row>
    <row r="30" spans="2:12" ht="15.75" thickBot="1">
      <c r="B30" s="6" t="s">
        <v>21</v>
      </c>
      <c r="C30" s="29">
        <f>VLOOKUP($C$21,ABASTO[#All],13,FALSE)</f>
        <v>2421867.3330000001</v>
      </c>
    </row>
    <row r="33" spans="1:3">
      <c r="A33" s="16"/>
      <c r="B33" s="16"/>
      <c r="C33" s="16"/>
    </row>
    <row r="34" spans="1:3">
      <c r="A34" s="16"/>
      <c r="B34" s="19"/>
      <c r="C34" s="16"/>
    </row>
    <row r="35" spans="1:3">
      <c r="A35" s="16"/>
      <c r="B35" s="16"/>
      <c r="C35" s="16"/>
    </row>
    <row r="36" spans="1:3">
      <c r="A36" s="16"/>
      <c r="B36" s="16"/>
      <c r="C36" s="16"/>
    </row>
  </sheetData>
  <dataConsolidate/>
  <mergeCells count="4">
    <mergeCell ref="B1:C2"/>
    <mergeCell ref="B3:C3"/>
    <mergeCell ref="B5:C5"/>
    <mergeCell ref="B15:C15"/>
  </mergeCells>
  <pageMargins left="0.7" right="0.7" top="0.75" bottom="0.75" header="0.3" footer="0.3"/>
  <pageSetup scale="7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'BASE DE DATOS_TIANGUIS'!$A$2:$A$54</xm:f>
          </x14:formula1>
          <xm:sqref>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4"/>
  <sheetViews>
    <sheetView topLeftCell="A28" zoomScale="85" zoomScaleNormal="85" workbookViewId="0">
      <selection activeCell="B58" sqref="B58"/>
    </sheetView>
  </sheetViews>
  <sheetFormatPr baseColWidth="10" defaultRowHeight="15"/>
  <cols>
    <col min="1" max="1" width="9.7109375" style="25" bestFit="1" customWidth="1"/>
    <col min="2" max="2" width="60.28515625" style="17" bestFit="1" customWidth="1"/>
    <col min="3" max="3" width="25.5703125" style="17" bestFit="1" customWidth="1"/>
    <col min="4" max="4" width="14.7109375" style="17" bestFit="1" customWidth="1"/>
    <col min="5" max="5" width="13.140625" style="17" bestFit="1" customWidth="1"/>
    <col min="6" max="6" width="50.7109375" style="17" bestFit="1" customWidth="1"/>
    <col min="7" max="7" width="10.85546875" style="17" bestFit="1" customWidth="1"/>
    <col min="8" max="8" width="85.28515625" style="17" bestFit="1" customWidth="1"/>
    <col min="9" max="9" width="15.5703125" style="17" bestFit="1" customWidth="1"/>
    <col min="10" max="10" width="51.42578125" style="17" bestFit="1" customWidth="1"/>
    <col min="11" max="11" width="34.85546875" style="17" bestFit="1" customWidth="1"/>
    <col min="12" max="12" width="12.7109375" style="28" bestFit="1" customWidth="1"/>
    <col min="13" max="13" width="13.7109375" style="28" bestFit="1" customWidth="1"/>
    <col min="14" max="14" width="31.140625" style="17" bestFit="1" customWidth="1"/>
    <col min="15" max="15" width="20" style="17" bestFit="1" customWidth="1"/>
  </cols>
  <sheetData>
    <row r="1" spans="1:28">
      <c r="A1" s="25" t="s">
        <v>44</v>
      </c>
      <c r="B1" s="17" t="s">
        <v>54</v>
      </c>
      <c r="C1" s="17" t="s">
        <v>55</v>
      </c>
      <c r="D1" s="17" t="s">
        <v>56</v>
      </c>
      <c r="E1" s="17" t="s">
        <v>57</v>
      </c>
      <c r="F1" s="17" t="s">
        <v>58</v>
      </c>
      <c r="G1" s="17" t="s">
        <v>59</v>
      </c>
      <c r="H1" s="17" t="s">
        <v>60</v>
      </c>
      <c r="I1" s="17" t="s">
        <v>61</v>
      </c>
      <c r="J1" s="17" t="s">
        <v>62</v>
      </c>
      <c r="K1" s="17" t="s">
        <v>63</v>
      </c>
      <c r="L1" s="28" t="s">
        <v>20</v>
      </c>
      <c r="M1" s="28" t="s">
        <v>21</v>
      </c>
      <c r="N1" s="17" t="s">
        <v>64</v>
      </c>
      <c r="O1" s="17" t="s">
        <v>22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  <c r="U1" t="s">
        <v>210</v>
      </c>
      <c r="V1" t="s">
        <v>211</v>
      </c>
      <c r="W1" t="s">
        <v>212</v>
      </c>
      <c r="X1" t="s">
        <v>213</v>
      </c>
      <c r="Y1" t="s">
        <v>214</v>
      </c>
      <c r="Z1" t="s">
        <v>215</v>
      </c>
      <c r="AA1" t="s">
        <v>216</v>
      </c>
      <c r="AB1" t="s">
        <v>217</v>
      </c>
    </row>
    <row r="2" spans="1:28">
      <c r="A2" s="25">
        <v>1</v>
      </c>
      <c r="B2" s="17" t="s">
        <v>65</v>
      </c>
      <c r="C2" s="17" t="s">
        <v>26</v>
      </c>
      <c r="D2" s="17" t="s">
        <v>41</v>
      </c>
      <c r="E2" s="17" t="s">
        <v>58</v>
      </c>
      <c r="F2" s="17" t="s">
        <v>30</v>
      </c>
      <c r="G2" s="17" t="s">
        <v>66</v>
      </c>
      <c r="H2" s="17" t="s">
        <v>67</v>
      </c>
      <c r="I2" s="17">
        <v>73</v>
      </c>
      <c r="K2" s="17" t="s">
        <v>68</v>
      </c>
      <c r="L2" s="28">
        <v>782548.81281999999</v>
      </c>
      <c r="M2" s="28">
        <v>2419435.1535800002</v>
      </c>
      <c r="N2" s="17" t="s">
        <v>69</v>
      </c>
      <c r="O2" s="17" t="s">
        <v>30</v>
      </c>
    </row>
    <row r="3" spans="1:28">
      <c r="A3" s="25">
        <v>2</v>
      </c>
      <c r="B3" s="17" t="s">
        <v>70</v>
      </c>
      <c r="C3" s="17" t="s">
        <v>26</v>
      </c>
      <c r="D3" s="17" t="s">
        <v>41</v>
      </c>
      <c r="E3" s="17" t="s">
        <v>58</v>
      </c>
      <c r="F3" s="17" t="s">
        <v>71</v>
      </c>
      <c r="G3" s="17" t="s">
        <v>66</v>
      </c>
      <c r="H3" s="17" t="s">
        <v>72</v>
      </c>
      <c r="I3" s="17">
        <v>139</v>
      </c>
      <c r="K3" s="17" t="s">
        <v>68</v>
      </c>
      <c r="L3" s="28">
        <v>782770.32591999997</v>
      </c>
      <c r="M3" s="28">
        <v>2428053.4019499999</v>
      </c>
      <c r="N3" s="17" t="s">
        <v>73</v>
      </c>
      <c r="O3" s="17" t="s">
        <v>39</v>
      </c>
    </row>
    <row r="4" spans="1:28">
      <c r="A4" s="25">
        <v>3</v>
      </c>
      <c r="B4" s="17" t="s">
        <v>74</v>
      </c>
      <c r="C4" s="17" t="s">
        <v>26</v>
      </c>
      <c r="D4" s="17" t="s">
        <v>41</v>
      </c>
      <c r="E4" s="17" t="s">
        <v>58</v>
      </c>
      <c r="F4" s="17" t="s">
        <v>75</v>
      </c>
      <c r="G4" s="17" t="s">
        <v>66</v>
      </c>
      <c r="H4" s="17" t="s">
        <v>76</v>
      </c>
      <c r="I4" s="17">
        <v>176</v>
      </c>
      <c r="K4" s="17" t="s">
        <v>68</v>
      </c>
      <c r="L4" s="28">
        <v>783980.66261999996</v>
      </c>
      <c r="M4" s="28">
        <v>2426022.0392300002</v>
      </c>
      <c r="N4" s="17" t="s">
        <v>73</v>
      </c>
      <c r="O4" s="17" t="s">
        <v>39</v>
      </c>
    </row>
    <row r="5" spans="1:28">
      <c r="A5" s="25">
        <v>4</v>
      </c>
      <c r="B5" s="17" t="s">
        <v>77</v>
      </c>
      <c r="C5" s="17" t="s">
        <v>78</v>
      </c>
      <c r="D5" s="17" t="s">
        <v>41</v>
      </c>
      <c r="E5" s="17" t="s">
        <v>58</v>
      </c>
      <c r="F5" s="17" t="s">
        <v>43</v>
      </c>
      <c r="G5" s="17" t="s">
        <v>66</v>
      </c>
      <c r="H5" s="17" t="s">
        <v>79</v>
      </c>
      <c r="I5" s="17">
        <v>66</v>
      </c>
      <c r="K5" s="17" t="s">
        <v>68</v>
      </c>
      <c r="L5" s="28">
        <v>779354.80289000005</v>
      </c>
      <c r="M5" s="28">
        <v>2418240.5295099998</v>
      </c>
      <c r="N5" s="17" t="s">
        <v>80</v>
      </c>
      <c r="O5" s="17" t="s">
        <v>28</v>
      </c>
    </row>
    <row r="6" spans="1:28">
      <c r="A6" s="25">
        <v>5</v>
      </c>
      <c r="B6" s="17" t="s">
        <v>81</v>
      </c>
      <c r="C6" s="17" t="s">
        <v>26</v>
      </c>
      <c r="D6" s="17" t="s">
        <v>41</v>
      </c>
      <c r="E6" s="17" t="s">
        <v>58</v>
      </c>
      <c r="F6" s="17" t="s">
        <v>82</v>
      </c>
      <c r="G6" s="17" t="s">
        <v>66</v>
      </c>
      <c r="H6" s="17" t="s">
        <v>83</v>
      </c>
      <c r="I6" s="17">
        <v>183</v>
      </c>
      <c r="K6" s="17" t="s">
        <v>68</v>
      </c>
      <c r="L6" s="28">
        <v>783841.68701999995</v>
      </c>
      <c r="M6" s="28">
        <v>2424703.0307399998</v>
      </c>
      <c r="N6" s="17" t="s">
        <v>84</v>
      </c>
      <c r="O6" s="17" t="s">
        <v>35</v>
      </c>
    </row>
    <row r="7" spans="1:28">
      <c r="A7" s="25">
        <v>6</v>
      </c>
      <c r="B7" s="17" t="s">
        <v>32</v>
      </c>
      <c r="C7" s="17" t="s">
        <v>24</v>
      </c>
      <c r="D7" s="17" t="s">
        <v>41</v>
      </c>
      <c r="E7" s="17" t="s">
        <v>58</v>
      </c>
      <c r="F7" s="17" t="s">
        <v>32</v>
      </c>
      <c r="G7" s="17" t="s">
        <v>66</v>
      </c>
      <c r="H7" s="17" t="s">
        <v>85</v>
      </c>
      <c r="I7" s="17">
        <v>171</v>
      </c>
      <c r="K7" s="17" t="s">
        <v>68</v>
      </c>
      <c r="L7" s="28">
        <v>777280.77763999999</v>
      </c>
      <c r="M7" s="28">
        <v>2421798.8973599998</v>
      </c>
      <c r="N7" s="17" t="s">
        <v>86</v>
      </c>
      <c r="O7" s="17" t="s">
        <v>32</v>
      </c>
    </row>
    <row r="8" spans="1:28">
      <c r="A8" s="25">
        <v>7</v>
      </c>
      <c r="B8" s="17" t="s">
        <v>87</v>
      </c>
      <c r="C8" s="17" t="s">
        <v>26</v>
      </c>
      <c r="D8" s="17" t="s">
        <v>41</v>
      </c>
      <c r="E8" s="17" t="s">
        <v>58</v>
      </c>
      <c r="F8" s="17" t="s">
        <v>87</v>
      </c>
      <c r="G8" s="17" t="s">
        <v>66</v>
      </c>
      <c r="H8" s="17" t="s">
        <v>88</v>
      </c>
      <c r="I8" s="17">
        <v>78</v>
      </c>
      <c r="K8" s="17" t="s">
        <v>68</v>
      </c>
      <c r="L8" s="28">
        <v>784566.87970000005</v>
      </c>
      <c r="M8" s="28">
        <v>2420294.5307</v>
      </c>
      <c r="N8" s="17" t="s">
        <v>89</v>
      </c>
      <c r="O8" s="17" t="s">
        <v>38</v>
      </c>
    </row>
    <row r="9" spans="1:28">
      <c r="A9" s="25">
        <v>8</v>
      </c>
      <c r="B9" s="17" t="s">
        <v>90</v>
      </c>
      <c r="C9" s="17" t="s">
        <v>26</v>
      </c>
      <c r="D9" s="17" t="s">
        <v>41</v>
      </c>
      <c r="E9" s="17" t="s">
        <v>58</v>
      </c>
      <c r="F9" s="17" t="s">
        <v>36</v>
      </c>
      <c r="G9" s="17" t="s">
        <v>66</v>
      </c>
      <c r="H9" s="17" t="s">
        <v>91</v>
      </c>
      <c r="I9" s="17">
        <v>135</v>
      </c>
      <c r="K9" s="17" t="s">
        <v>68</v>
      </c>
      <c r="L9" s="28">
        <v>785769.78717999998</v>
      </c>
      <c r="M9" s="28">
        <v>2420650.9909100002</v>
      </c>
      <c r="N9" s="17" t="s">
        <v>92</v>
      </c>
      <c r="O9" s="17" t="s">
        <v>36</v>
      </c>
    </row>
    <row r="10" spans="1:28">
      <c r="A10" s="25">
        <v>9</v>
      </c>
      <c r="B10" s="17" t="s">
        <v>93</v>
      </c>
      <c r="C10" s="17" t="s">
        <v>26</v>
      </c>
      <c r="D10" s="17" t="s">
        <v>41</v>
      </c>
      <c r="E10" s="17" t="s">
        <v>58</v>
      </c>
      <c r="F10" s="17" t="s">
        <v>94</v>
      </c>
      <c r="G10" s="17" t="s">
        <v>95</v>
      </c>
      <c r="H10" s="17" t="s">
        <v>96</v>
      </c>
      <c r="I10" s="17">
        <v>71</v>
      </c>
      <c r="K10" s="17" t="s">
        <v>68</v>
      </c>
      <c r="L10" s="28">
        <v>783881.70299999998</v>
      </c>
      <c r="M10" s="28">
        <v>2423947.5434400002</v>
      </c>
      <c r="N10" s="17" t="s">
        <v>84</v>
      </c>
      <c r="O10" s="17" t="s">
        <v>35</v>
      </c>
    </row>
    <row r="11" spans="1:28">
      <c r="A11" s="25">
        <v>10</v>
      </c>
      <c r="B11" s="17" t="s">
        <v>97</v>
      </c>
      <c r="C11" s="17" t="s">
        <v>26</v>
      </c>
      <c r="D11" s="17" t="s">
        <v>41</v>
      </c>
      <c r="E11" s="17" t="s">
        <v>58</v>
      </c>
      <c r="F11" s="17" t="s">
        <v>97</v>
      </c>
      <c r="G11" s="17" t="s">
        <v>95</v>
      </c>
      <c r="H11" s="17" t="s">
        <v>98</v>
      </c>
      <c r="I11" s="17">
        <v>83</v>
      </c>
      <c r="K11" s="17" t="s">
        <v>68</v>
      </c>
      <c r="L11" s="28">
        <v>780579.96719</v>
      </c>
      <c r="M11" s="28">
        <v>2427447.6322900001</v>
      </c>
      <c r="N11" s="17" t="s">
        <v>99</v>
      </c>
      <c r="O11" s="17" t="s">
        <v>40</v>
      </c>
    </row>
    <row r="12" spans="1:28">
      <c r="A12" s="25">
        <v>11</v>
      </c>
      <c r="B12" s="17" t="s">
        <v>100</v>
      </c>
      <c r="C12" s="17" t="s">
        <v>26</v>
      </c>
      <c r="D12" s="17" t="s">
        <v>41</v>
      </c>
      <c r="E12" s="17" t="s">
        <v>58</v>
      </c>
      <c r="F12" s="17" t="s">
        <v>101</v>
      </c>
      <c r="G12" s="17" t="s">
        <v>95</v>
      </c>
      <c r="H12" s="17" t="s">
        <v>102</v>
      </c>
      <c r="I12" s="17">
        <v>335</v>
      </c>
      <c r="K12" s="17" t="s">
        <v>68</v>
      </c>
      <c r="L12" s="28">
        <v>783352.87383000006</v>
      </c>
      <c r="M12" s="28">
        <v>2425355.1887699999</v>
      </c>
      <c r="N12" s="17" t="s">
        <v>84</v>
      </c>
      <c r="O12" s="17" t="s">
        <v>39</v>
      </c>
    </row>
    <row r="13" spans="1:28">
      <c r="A13" s="25">
        <v>12</v>
      </c>
      <c r="B13" s="17" t="s">
        <v>103</v>
      </c>
      <c r="C13" s="17" t="s">
        <v>23</v>
      </c>
      <c r="D13" s="17" t="s">
        <v>41</v>
      </c>
      <c r="E13" s="17" t="s">
        <v>58</v>
      </c>
      <c r="F13" s="17" t="s">
        <v>103</v>
      </c>
      <c r="G13" s="17" t="s">
        <v>95</v>
      </c>
      <c r="H13" s="17" t="s">
        <v>104</v>
      </c>
      <c r="I13" s="17">
        <v>64</v>
      </c>
      <c r="K13" s="17" t="s">
        <v>68</v>
      </c>
      <c r="L13" s="28">
        <v>780820.05481</v>
      </c>
      <c r="M13" s="28">
        <v>2420980.4249900002</v>
      </c>
      <c r="N13" s="17" t="s">
        <v>105</v>
      </c>
      <c r="O13" s="17" t="s">
        <v>33</v>
      </c>
    </row>
    <row r="14" spans="1:28">
      <c r="A14" s="25">
        <v>13</v>
      </c>
      <c r="B14" s="17" t="s">
        <v>106</v>
      </c>
      <c r="C14" s="17" t="s">
        <v>26</v>
      </c>
      <c r="D14" s="17" t="s">
        <v>41</v>
      </c>
      <c r="E14" s="17" t="s">
        <v>58</v>
      </c>
      <c r="F14" s="17" t="s">
        <v>106</v>
      </c>
      <c r="G14" s="17" t="s">
        <v>95</v>
      </c>
      <c r="H14" s="17" t="s">
        <v>107</v>
      </c>
      <c r="I14" s="17">
        <v>62</v>
      </c>
      <c r="K14" s="17" t="s">
        <v>68</v>
      </c>
      <c r="L14" s="28">
        <v>774810.96640000003</v>
      </c>
      <c r="M14" s="28">
        <v>2418908.7847899999</v>
      </c>
      <c r="N14" s="17" t="s">
        <v>108</v>
      </c>
      <c r="O14" s="17" t="s">
        <v>32</v>
      </c>
    </row>
    <row r="15" spans="1:28">
      <c r="A15" s="25">
        <v>14</v>
      </c>
      <c r="B15" s="17" t="s">
        <v>109</v>
      </c>
      <c r="C15" s="17" t="s">
        <v>26</v>
      </c>
      <c r="D15" s="17" t="s">
        <v>41</v>
      </c>
      <c r="E15" s="17" t="s">
        <v>58</v>
      </c>
      <c r="F15" s="17" t="s">
        <v>109</v>
      </c>
      <c r="G15" s="17" t="s">
        <v>95</v>
      </c>
      <c r="H15" s="17" t="s">
        <v>110</v>
      </c>
      <c r="I15" s="17">
        <v>245</v>
      </c>
      <c r="K15" s="17" t="s">
        <v>68</v>
      </c>
      <c r="L15" s="28">
        <v>781070.06365999999</v>
      </c>
      <c r="M15" s="28">
        <v>2420077.2094200002</v>
      </c>
      <c r="N15" s="17" t="s">
        <v>69</v>
      </c>
      <c r="O15" s="17" t="s">
        <v>33</v>
      </c>
    </row>
    <row r="16" spans="1:28">
      <c r="A16" s="25">
        <v>15</v>
      </c>
      <c r="B16" s="17" t="s">
        <v>111</v>
      </c>
      <c r="C16" s="17" t="s">
        <v>23</v>
      </c>
      <c r="D16" s="17" t="s">
        <v>41</v>
      </c>
      <c r="E16" s="17" t="s">
        <v>58</v>
      </c>
      <c r="F16" s="17" t="s">
        <v>112</v>
      </c>
      <c r="G16" s="17" t="s">
        <v>95</v>
      </c>
      <c r="H16" s="17" t="s">
        <v>113</v>
      </c>
      <c r="I16" s="17">
        <v>407</v>
      </c>
      <c r="K16" s="17" t="s">
        <v>68</v>
      </c>
      <c r="L16" s="28">
        <v>780751.34247999999</v>
      </c>
      <c r="M16" s="28">
        <v>2422224.9090700001</v>
      </c>
      <c r="N16" s="17" t="s">
        <v>105</v>
      </c>
      <c r="O16" s="17" t="s">
        <v>33</v>
      </c>
    </row>
    <row r="17" spans="1:15">
      <c r="A17" s="25">
        <v>16</v>
      </c>
      <c r="B17" s="17" t="s">
        <v>114</v>
      </c>
      <c r="C17" s="17" t="s">
        <v>26</v>
      </c>
      <c r="D17" s="17" t="s">
        <v>41</v>
      </c>
      <c r="E17" s="17" t="s">
        <v>58</v>
      </c>
      <c r="F17" s="17" t="s">
        <v>114</v>
      </c>
      <c r="G17" s="17" t="s">
        <v>95</v>
      </c>
      <c r="H17" s="17" t="s">
        <v>115</v>
      </c>
      <c r="I17" s="17">
        <v>49</v>
      </c>
      <c r="K17" s="17" t="s">
        <v>68</v>
      </c>
      <c r="L17" s="28">
        <v>777417.05547000002</v>
      </c>
      <c r="M17" s="28">
        <v>2423779.55687</v>
      </c>
      <c r="N17" s="17" t="s">
        <v>86</v>
      </c>
      <c r="O17" s="17" t="s">
        <v>29</v>
      </c>
    </row>
    <row r="18" spans="1:15">
      <c r="A18" s="25">
        <v>17</v>
      </c>
      <c r="B18" s="17" t="s">
        <v>116</v>
      </c>
      <c r="C18" s="17" t="s">
        <v>24</v>
      </c>
      <c r="D18" s="17" t="s">
        <v>41</v>
      </c>
      <c r="E18" s="17" t="s">
        <v>58</v>
      </c>
      <c r="F18" s="17" t="s">
        <v>116</v>
      </c>
      <c r="G18" s="17" t="s">
        <v>117</v>
      </c>
      <c r="H18" s="17" t="s">
        <v>118</v>
      </c>
      <c r="I18" s="17">
        <v>42</v>
      </c>
      <c r="K18" s="17" t="s">
        <v>68</v>
      </c>
      <c r="L18" s="28">
        <v>780246.96161</v>
      </c>
      <c r="M18" s="28">
        <v>2421757.6390200001</v>
      </c>
      <c r="N18" s="17" t="s">
        <v>105</v>
      </c>
      <c r="O18" s="17" t="s">
        <v>33</v>
      </c>
    </row>
    <row r="19" spans="1:15">
      <c r="A19" s="25">
        <v>18</v>
      </c>
      <c r="B19" s="17" t="s">
        <v>119</v>
      </c>
      <c r="C19" s="17" t="s">
        <v>26</v>
      </c>
      <c r="D19" s="17" t="s">
        <v>41</v>
      </c>
      <c r="E19" s="17" t="s">
        <v>58</v>
      </c>
      <c r="F19" s="17" t="s">
        <v>120</v>
      </c>
      <c r="G19" s="17" t="s">
        <v>117</v>
      </c>
      <c r="H19" s="17" t="s">
        <v>121</v>
      </c>
      <c r="I19" s="17">
        <v>254</v>
      </c>
      <c r="K19" s="17" t="s">
        <v>68</v>
      </c>
      <c r="L19" s="28">
        <v>776581.86173</v>
      </c>
      <c r="M19" s="28">
        <v>2419048.0276199998</v>
      </c>
      <c r="N19" s="17" t="s">
        <v>80</v>
      </c>
      <c r="O19" s="17" t="s">
        <v>28</v>
      </c>
    </row>
    <row r="20" spans="1:15">
      <c r="A20" s="25">
        <v>19</v>
      </c>
      <c r="B20" s="17" t="s">
        <v>122</v>
      </c>
      <c r="C20" s="17" t="s">
        <v>25</v>
      </c>
      <c r="D20" s="17" t="s">
        <v>41</v>
      </c>
      <c r="E20" s="17" t="s">
        <v>58</v>
      </c>
      <c r="F20" s="17" t="s">
        <v>122</v>
      </c>
      <c r="G20" s="17" t="s">
        <v>117</v>
      </c>
      <c r="H20" s="17" t="s">
        <v>123</v>
      </c>
      <c r="I20" s="17">
        <v>77</v>
      </c>
      <c r="K20" s="17" t="s">
        <v>68</v>
      </c>
      <c r="L20" s="28">
        <v>784303.91446</v>
      </c>
      <c r="M20" s="28">
        <v>2420732.7489399998</v>
      </c>
      <c r="N20" s="17" t="s">
        <v>89</v>
      </c>
      <c r="O20" s="17" t="s">
        <v>38</v>
      </c>
    </row>
    <row r="21" spans="1:15">
      <c r="A21" s="25">
        <v>20</v>
      </c>
      <c r="B21" s="17" t="s">
        <v>124</v>
      </c>
      <c r="C21" s="17" t="s">
        <v>24</v>
      </c>
      <c r="D21" s="17" t="s">
        <v>41</v>
      </c>
      <c r="E21" s="17" t="s">
        <v>58</v>
      </c>
      <c r="F21" s="17" t="s">
        <v>125</v>
      </c>
      <c r="G21" s="17" t="s">
        <v>117</v>
      </c>
      <c r="H21" s="17" t="s">
        <v>126</v>
      </c>
      <c r="I21" s="17">
        <v>357</v>
      </c>
      <c r="K21" s="17" t="s">
        <v>68</v>
      </c>
      <c r="L21" s="28">
        <v>778422.54721999995</v>
      </c>
      <c r="M21" s="28">
        <v>2423358.0541900001</v>
      </c>
      <c r="N21" s="17" t="s">
        <v>86</v>
      </c>
      <c r="O21" s="17" t="s">
        <v>32</v>
      </c>
    </row>
    <row r="22" spans="1:15">
      <c r="A22" s="25">
        <v>21</v>
      </c>
      <c r="B22" s="17" t="s">
        <v>90</v>
      </c>
      <c r="C22" s="17" t="s">
        <v>26</v>
      </c>
      <c r="D22" s="17" t="s">
        <v>41</v>
      </c>
      <c r="E22" s="17" t="s">
        <v>58</v>
      </c>
      <c r="F22" s="17" t="s">
        <v>127</v>
      </c>
      <c r="G22" s="17" t="s">
        <v>117</v>
      </c>
      <c r="H22" s="17" t="s">
        <v>128</v>
      </c>
      <c r="I22" s="17">
        <v>230</v>
      </c>
      <c r="K22" s="17" t="s">
        <v>68</v>
      </c>
      <c r="L22" s="28">
        <v>785057.47695000004</v>
      </c>
      <c r="M22" s="28">
        <v>2420865.6103699999</v>
      </c>
      <c r="N22" s="17" t="s">
        <v>92</v>
      </c>
      <c r="O22" s="17" t="s">
        <v>36</v>
      </c>
    </row>
    <row r="23" spans="1:15">
      <c r="A23" s="25">
        <v>22</v>
      </c>
      <c r="B23" s="17" t="s">
        <v>129</v>
      </c>
      <c r="C23" s="17" t="s">
        <v>26</v>
      </c>
      <c r="D23" s="17" t="s">
        <v>41</v>
      </c>
      <c r="E23" s="17" t="s">
        <v>58</v>
      </c>
      <c r="F23" s="17" t="s">
        <v>130</v>
      </c>
      <c r="G23" s="17" t="s">
        <v>131</v>
      </c>
      <c r="H23" s="17" t="s">
        <v>132</v>
      </c>
      <c r="I23" s="17">
        <v>91</v>
      </c>
      <c r="K23" s="17" t="s">
        <v>68</v>
      </c>
      <c r="L23" s="28">
        <v>784605.70149999997</v>
      </c>
      <c r="M23" s="28">
        <v>2421668.4158999999</v>
      </c>
      <c r="N23" s="17" t="s">
        <v>89</v>
      </c>
      <c r="O23" s="17" t="s">
        <v>38</v>
      </c>
    </row>
    <row r="24" spans="1:15">
      <c r="A24" s="25">
        <v>23</v>
      </c>
      <c r="B24" s="17" t="s">
        <v>133</v>
      </c>
      <c r="C24" s="17" t="s">
        <v>26</v>
      </c>
      <c r="D24" s="17" t="s">
        <v>41</v>
      </c>
      <c r="E24" s="17" t="s">
        <v>58</v>
      </c>
      <c r="F24" s="17" t="s">
        <v>134</v>
      </c>
      <c r="G24" s="17" t="s">
        <v>131</v>
      </c>
      <c r="H24" s="17" t="s">
        <v>135</v>
      </c>
      <c r="I24" s="17">
        <v>79</v>
      </c>
      <c r="K24" s="17" t="s">
        <v>68</v>
      </c>
      <c r="L24" s="28">
        <v>781757.21118999994</v>
      </c>
      <c r="M24" s="28">
        <v>2421092.9333700002</v>
      </c>
      <c r="N24" s="17" t="s">
        <v>69</v>
      </c>
      <c r="O24" s="17" t="s">
        <v>30</v>
      </c>
    </row>
    <row r="25" spans="1:15">
      <c r="A25" s="25">
        <v>24</v>
      </c>
      <c r="B25" s="17" t="s">
        <v>136</v>
      </c>
      <c r="C25" s="17" t="s">
        <v>24</v>
      </c>
      <c r="D25" s="17" t="s">
        <v>41</v>
      </c>
      <c r="E25" s="17" t="s">
        <v>58</v>
      </c>
      <c r="F25" s="17" t="s">
        <v>136</v>
      </c>
      <c r="G25" s="17" t="s">
        <v>131</v>
      </c>
      <c r="H25" s="17" t="s">
        <v>137</v>
      </c>
      <c r="I25" s="17">
        <v>112</v>
      </c>
      <c r="K25" s="17" t="s">
        <v>68</v>
      </c>
      <c r="L25" s="28">
        <v>778629.18599999999</v>
      </c>
      <c r="M25" s="28">
        <v>2421311.43254</v>
      </c>
      <c r="N25" s="17" t="s">
        <v>138</v>
      </c>
      <c r="O25" s="17" t="s">
        <v>27</v>
      </c>
    </row>
    <row r="26" spans="1:15">
      <c r="A26" s="25">
        <v>25</v>
      </c>
      <c r="B26" s="17" t="s">
        <v>139</v>
      </c>
      <c r="C26" s="17" t="s">
        <v>24</v>
      </c>
      <c r="D26" s="17" t="s">
        <v>41</v>
      </c>
      <c r="E26" s="17" t="s">
        <v>58</v>
      </c>
      <c r="F26" s="17" t="s">
        <v>140</v>
      </c>
      <c r="G26" s="17" t="s">
        <v>141</v>
      </c>
      <c r="H26" s="17" t="s">
        <v>142</v>
      </c>
      <c r="I26" s="17">
        <v>430</v>
      </c>
      <c r="K26" s="17" t="s">
        <v>68</v>
      </c>
      <c r="L26" s="28">
        <v>778979.22279999999</v>
      </c>
      <c r="M26" s="28">
        <v>2418975.4616999999</v>
      </c>
      <c r="N26" s="17" t="s">
        <v>80</v>
      </c>
      <c r="O26" s="17" t="s">
        <v>27</v>
      </c>
    </row>
    <row r="27" spans="1:15">
      <c r="A27" s="25">
        <v>26</v>
      </c>
      <c r="B27" s="17" t="s">
        <v>87</v>
      </c>
      <c r="C27" s="17" t="s">
        <v>26</v>
      </c>
      <c r="D27" s="17" t="s">
        <v>41</v>
      </c>
      <c r="E27" s="17" t="s">
        <v>58</v>
      </c>
      <c r="F27" s="17" t="s">
        <v>143</v>
      </c>
      <c r="G27" s="17" t="s">
        <v>141</v>
      </c>
      <c r="H27" s="17" t="s">
        <v>144</v>
      </c>
      <c r="I27" s="17">
        <v>146</v>
      </c>
      <c r="K27" s="17" t="s">
        <v>68</v>
      </c>
      <c r="L27" s="28">
        <v>784930.21950999997</v>
      </c>
      <c r="M27" s="28">
        <v>2420399.09412</v>
      </c>
      <c r="N27" s="17" t="s">
        <v>89</v>
      </c>
      <c r="O27" s="17" t="s">
        <v>38</v>
      </c>
    </row>
    <row r="28" spans="1:15">
      <c r="A28" s="25">
        <v>27</v>
      </c>
      <c r="B28" s="17" t="s">
        <v>145</v>
      </c>
      <c r="C28" s="17" t="s">
        <v>26</v>
      </c>
      <c r="D28" s="17" t="s">
        <v>41</v>
      </c>
      <c r="E28" s="17" t="s">
        <v>58</v>
      </c>
      <c r="F28" s="17" t="s">
        <v>146</v>
      </c>
      <c r="G28" s="17" t="s">
        <v>141</v>
      </c>
      <c r="H28" s="17" t="s">
        <v>147</v>
      </c>
      <c r="I28" s="17">
        <v>186</v>
      </c>
      <c r="K28" s="17" t="s">
        <v>68</v>
      </c>
      <c r="L28" s="28">
        <v>782357.02167000005</v>
      </c>
      <c r="M28" s="28">
        <v>2421150.86974</v>
      </c>
      <c r="N28" s="17" t="s">
        <v>69</v>
      </c>
      <c r="O28" s="17" t="s">
        <v>30</v>
      </c>
    </row>
    <row r="29" spans="1:15">
      <c r="A29" s="25">
        <v>28</v>
      </c>
      <c r="B29" s="17" t="s">
        <v>148</v>
      </c>
      <c r="C29" s="17" t="s">
        <v>26</v>
      </c>
      <c r="D29" s="17" t="s">
        <v>41</v>
      </c>
      <c r="E29" s="17" t="s">
        <v>58</v>
      </c>
      <c r="F29" s="17" t="s">
        <v>149</v>
      </c>
      <c r="G29" s="17" t="s">
        <v>150</v>
      </c>
      <c r="H29" s="17" t="s">
        <v>151</v>
      </c>
      <c r="I29" s="17">
        <v>280</v>
      </c>
      <c r="K29" s="17" t="s">
        <v>68</v>
      </c>
      <c r="L29" s="28">
        <v>780939.24146000005</v>
      </c>
      <c r="M29" s="28">
        <v>2424218.0822700001</v>
      </c>
      <c r="N29" s="17" t="s">
        <v>99</v>
      </c>
      <c r="O29" s="17" t="s">
        <v>35</v>
      </c>
    </row>
    <row r="30" spans="1:15">
      <c r="A30" s="25">
        <v>29</v>
      </c>
      <c r="B30" s="17" t="s">
        <v>30</v>
      </c>
      <c r="C30" s="17" t="s">
        <v>26</v>
      </c>
      <c r="D30" s="17" t="s">
        <v>41</v>
      </c>
      <c r="E30" s="17" t="s">
        <v>58</v>
      </c>
      <c r="F30" s="17" t="s">
        <v>152</v>
      </c>
      <c r="G30" s="17" t="s">
        <v>150</v>
      </c>
      <c r="H30" s="17" t="s">
        <v>153</v>
      </c>
      <c r="I30" s="17">
        <v>103</v>
      </c>
      <c r="K30" s="17" t="s">
        <v>68</v>
      </c>
      <c r="L30" s="28">
        <v>783499.37716999999</v>
      </c>
      <c r="M30" s="28">
        <v>2420218.88564</v>
      </c>
      <c r="N30" s="17" t="s">
        <v>69</v>
      </c>
      <c r="O30" s="17" t="s">
        <v>30</v>
      </c>
    </row>
    <row r="31" spans="1:15">
      <c r="A31" s="25">
        <v>30</v>
      </c>
      <c r="B31" s="17" t="s">
        <v>154</v>
      </c>
      <c r="C31" s="17" t="s">
        <v>26</v>
      </c>
      <c r="D31" s="17" t="s">
        <v>41</v>
      </c>
      <c r="E31" s="17" t="s">
        <v>58</v>
      </c>
      <c r="F31" s="17" t="s">
        <v>38</v>
      </c>
      <c r="G31" s="17" t="s">
        <v>150</v>
      </c>
      <c r="H31" s="17" t="s">
        <v>155</v>
      </c>
      <c r="I31" s="17">
        <v>144</v>
      </c>
      <c r="K31" s="17" t="s">
        <v>68</v>
      </c>
      <c r="L31" s="28">
        <v>783620.34418000001</v>
      </c>
      <c r="M31" s="28">
        <v>2422561.8864699998</v>
      </c>
      <c r="N31" s="17" t="s">
        <v>89</v>
      </c>
      <c r="O31" s="17" t="s">
        <v>38</v>
      </c>
    </row>
    <row r="32" spans="1:15">
      <c r="A32" s="25">
        <v>31</v>
      </c>
      <c r="B32" s="17" t="s">
        <v>81</v>
      </c>
      <c r="C32" s="17" t="s">
        <v>26</v>
      </c>
      <c r="D32" s="17" t="s">
        <v>41</v>
      </c>
      <c r="E32" s="17" t="s">
        <v>58</v>
      </c>
      <c r="F32" s="17" t="s">
        <v>82</v>
      </c>
      <c r="G32" s="17" t="s">
        <v>150</v>
      </c>
      <c r="H32" s="17" t="s">
        <v>156</v>
      </c>
      <c r="I32" s="17">
        <v>198</v>
      </c>
      <c r="K32" s="17" t="s">
        <v>68</v>
      </c>
      <c r="L32" s="28">
        <v>783890.20596000005</v>
      </c>
      <c r="M32" s="28">
        <v>2424587.4113099999</v>
      </c>
      <c r="N32" s="17" t="s">
        <v>84</v>
      </c>
      <c r="O32" s="17" t="s">
        <v>35</v>
      </c>
    </row>
    <row r="33" spans="1:15">
      <c r="A33" s="25">
        <v>32</v>
      </c>
      <c r="B33" s="17" t="s">
        <v>157</v>
      </c>
      <c r="C33" s="17" t="s">
        <v>24</v>
      </c>
      <c r="D33" s="17" t="s">
        <v>41</v>
      </c>
      <c r="E33" s="17" t="s">
        <v>58</v>
      </c>
      <c r="F33" s="17" t="s">
        <v>34</v>
      </c>
      <c r="G33" s="17" t="s">
        <v>158</v>
      </c>
      <c r="H33" s="17" t="s">
        <v>159</v>
      </c>
      <c r="I33" s="17">
        <v>695</v>
      </c>
      <c r="K33" s="17" t="s">
        <v>68</v>
      </c>
      <c r="L33" s="28">
        <v>779606.34568000003</v>
      </c>
      <c r="M33" s="28">
        <v>2424131.5526200002</v>
      </c>
      <c r="N33" s="17" t="s">
        <v>86</v>
      </c>
      <c r="O33" s="17" t="s">
        <v>29</v>
      </c>
    </row>
    <row r="34" spans="1:15">
      <c r="A34" s="25">
        <v>33</v>
      </c>
      <c r="B34" s="17" t="s">
        <v>65</v>
      </c>
      <c r="C34" s="17" t="s">
        <v>26</v>
      </c>
      <c r="D34" s="17" t="s">
        <v>41</v>
      </c>
      <c r="E34" s="17" t="s">
        <v>58</v>
      </c>
      <c r="F34" s="17" t="s">
        <v>160</v>
      </c>
      <c r="G34" s="17" t="s">
        <v>158</v>
      </c>
      <c r="H34" s="17" t="s">
        <v>161</v>
      </c>
      <c r="I34" s="17">
        <v>60</v>
      </c>
      <c r="K34" s="17" t="s">
        <v>68</v>
      </c>
      <c r="L34" s="28">
        <v>783540.37103000004</v>
      </c>
      <c r="M34" s="28">
        <v>2419549.3733899998</v>
      </c>
      <c r="N34" s="17" t="s">
        <v>69</v>
      </c>
      <c r="O34" s="17" t="s">
        <v>38</v>
      </c>
    </row>
    <row r="35" spans="1:15">
      <c r="A35" s="25">
        <v>34</v>
      </c>
      <c r="B35" s="17" t="s">
        <v>129</v>
      </c>
      <c r="C35" s="17" t="s">
        <v>26</v>
      </c>
      <c r="D35" s="17" t="s">
        <v>41</v>
      </c>
      <c r="E35" s="17" t="s">
        <v>58</v>
      </c>
      <c r="F35" s="17" t="s">
        <v>130</v>
      </c>
      <c r="G35" s="17" t="s">
        <v>158</v>
      </c>
      <c r="H35" s="17" t="s">
        <v>162</v>
      </c>
      <c r="I35" s="17">
        <v>81</v>
      </c>
      <c r="K35" s="17" t="s">
        <v>68</v>
      </c>
      <c r="L35" s="28">
        <v>784764.39240999997</v>
      </c>
      <c r="M35" s="28">
        <v>2421729.1926099998</v>
      </c>
      <c r="N35" s="17" t="s">
        <v>89</v>
      </c>
      <c r="O35" s="17" t="s">
        <v>38</v>
      </c>
    </row>
    <row r="36" spans="1:15">
      <c r="A36" s="25">
        <v>35</v>
      </c>
      <c r="B36" s="17" t="s">
        <v>163</v>
      </c>
      <c r="C36" s="17" t="s">
        <v>26</v>
      </c>
      <c r="D36" s="17" t="s">
        <v>41</v>
      </c>
      <c r="E36" s="17" t="s">
        <v>58</v>
      </c>
      <c r="F36" s="17" t="s">
        <v>163</v>
      </c>
      <c r="G36" s="17" t="s">
        <v>158</v>
      </c>
      <c r="H36" s="17" t="s">
        <v>164</v>
      </c>
      <c r="I36" s="17">
        <v>100</v>
      </c>
      <c r="K36" s="17" t="s">
        <v>68</v>
      </c>
      <c r="L36" s="28">
        <v>777341.21108000004</v>
      </c>
      <c r="M36" s="28">
        <v>2420616.67313</v>
      </c>
      <c r="N36" s="17" t="s">
        <v>138</v>
      </c>
      <c r="O36" s="17" t="s">
        <v>27</v>
      </c>
    </row>
    <row r="37" spans="1:15">
      <c r="A37" s="25">
        <v>36</v>
      </c>
      <c r="B37" s="17" t="s">
        <v>145</v>
      </c>
      <c r="C37" s="17" t="s">
        <v>26</v>
      </c>
      <c r="D37" s="17" t="s">
        <v>41</v>
      </c>
      <c r="E37" s="17" t="s">
        <v>58</v>
      </c>
      <c r="F37" s="17" t="s">
        <v>165</v>
      </c>
      <c r="G37" s="17" t="s">
        <v>158</v>
      </c>
      <c r="H37" s="17" t="s">
        <v>166</v>
      </c>
      <c r="I37" s="17">
        <v>116</v>
      </c>
      <c r="K37" s="17" t="s">
        <v>68</v>
      </c>
      <c r="L37" s="28">
        <v>782340.55952999997</v>
      </c>
      <c r="M37" s="28">
        <v>2421200.8640600001</v>
      </c>
      <c r="N37" s="17" t="s">
        <v>69</v>
      </c>
      <c r="O37" s="17" t="s">
        <v>30</v>
      </c>
    </row>
    <row r="38" spans="1:15">
      <c r="A38" s="25">
        <v>37</v>
      </c>
      <c r="B38" s="17" t="s">
        <v>28</v>
      </c>
      <c r="C38" s="17" t="s">
        <v>26</v>
      </c>
      <c r="D38" s="17" t="s">
        <v>41</v>
      </c>
      <c r="E38" s="17" t="s">
        <v>58</v>
      </c>
      <c r="F38" s="17" t="s">
        <v>28</v>
      </c>
      <c r="G38" s="17" t="s">
        <v>158</v>
      </c>
      <c r="H38" s="17" t="s">
        <v>167</v>
      </c>
      <c r="I38" s="17">
        <v>444</v>
      </c>
      <c r="K38" s="17" t="s">
        <v>68</v>
      </c>
      <c r="L38" s="28">
        <v>778249.89044999995</v>
      </c>
      <c r="M38" s="28">
        <v>2418785.56917</v>
      </c>
      <c r="N38" s="17" t="s">
        <v>80</v>
      </c>
      <c r="O38" s="17" t="s">
        <v>28</v>
      </c>
    </row>
    <row r="39" spans="1:15">
      <c r="A39" s="25">
        <v>38</v>
      </c>
      <c r="B39" s="17" t="s">
        <v>168</v>
      </c>
      <c r="C39" s="17" t="s">
        <v>169</v>
      </c>
      <c r="D39" s="17" t="s">
        <v>41</v>
      </c>
      <c r="E39" s="17" t="s">
        <v>58</v>
      </c>
      <c r="F39" s="17" t="s">
        <v>170</v>
      </c>
      <c r="G39" s="17" t="s">
        <v>158</v>
      </c>
      <c r="H39" s="17" t="s">
        <v>171</v>
      </c>
      <c r="I39" s="17">
        <v>1023</v>
      </c>
      <c r="J39" s="17" t="s">
        <v>172</v>
      </c>
      <c r="K39" s="17" t="s">
        <v>68</v>
      </c>
      <c r="L39" s="28">
        <v>779192.66816999996</v>
      </c>
      <c r="M39" s="28">
        <v>2423530.3347700001</v>
      </c>
      <c r="N39" s="17" t="s">
        <v>86</v>
      </c>
      <c r="O39" s="17" t="s">
        <v>33</v>
      </c>
    </row>
    <row r="40" spans="1:15">
      <c r="A40" s="25">
        <v>39</v>
      </c>
      <c r="B40" s="17" t="s">
        <v>111</v>
      </c>
      <c r="C40" s="17" t="s">
        <v>23</v>
      </c>
      <c r="D40" s="17" t="s">
        <v>41</v>
      </c>
      <c r="E40" s="17" t="s">
        <v>58</v>
      </c>
      <c r="F40" s="17" t="s">
        <v>112</v>
      </c>
      <c r="G40" s="17" t="s">
        <v>158</v>
      </c>
      <c r="H40" s="17" t="s">
        <v>173</v>
      </c>
      <c r="I40" s="17">
        <v>781</v>
      </c>
      <c r="K40" s="17" t="s">
        <v>68</v>
      </c>
      <c r="L40" s="28">
        <v>780652.82304000005</v>
      </c>
      <c r="M40" s="28">
        <v>2422276.4720700001</v>
      </c>
      <c r="N40" s="17" t="s">
        <v>105</v>
      </c>
      <c r="O40" s="17" t="s">
        <v>33</v>
      </c>
    </row>
    <row r="41" spans="1:15">
      <c r="A41" s="25">
        <v>40</v>
      </c>
      <c r="B41" s="17" t="s">
        <v>122</v>
      </c>
      <c r="C41" s="17" t="s">
        <v>25</v>
      </c>
      <c r="D41" s="17" t="s">
        <v>41</v>
      </c>
      <c r="E41" s="17" t="s">
        <v>58</v>
      </c>
      <c r="F41" s="17" t="s">
        <v>122</v>
      </c>
      <c r="G41" s="17" t="s">
        <v>158</v>
      </c>
      <c r="H41" s="17" t="s">
        <v>123</v>
      </c>
      <c r="I41" s="17">
        <v>84</v>
      </c>
      <c r="K41" s="17" t="s">
        <v>68</v>
      </c>
      <c r="L41" s="28">
        <v>784300.87532999995</v>
      </c>
      <c r="M41" s="28">
        <v>2420735.2357999999</v>
      </c>
      <c r="N41" s="17" t="s">
        <v>89</v>
      </c>
      <c r="O41" s="17" t="s">
        <v>38</v>
      </c>
    </row>
    <row r="42" spans="1:15">
      <c r="A42" s="25">
        <v>41</v>
      </c>
      <c r="B42" s="17" t="s">
        <v>31</v>
      </c>
      <c r="C42" s="17" t="s">
        <v>26</v>
      </c>
      <c r="D42" s="17" t="s">
        <v>41</v>
      </c>
      <c r="E42" s="17" t="s">
        <v>58</v>
      </c>
      <c r="F42" s="17" t="s">
        <v>174</v>
      </c>
      <c r="G42" s="17" t="s">
        <v>158</v>
      </c>
      <c r="H42" s="17" t="s">
        <v>175</v>
      </c>
      <c r="I42" s="17">
        <v>354</v>
      </c>
      <c r="K42" s="17" t="s">
        <v>68</v>
      </c>
      <c r="L42" s="28">
        <v>784413.86594000005</v>
      </c>
      <c r="M42" s="28">
        <v>2418415.85225</v>
      </c>
      <c r="N42" s="17" t="s">
        <v>89</v>
      </c>
      <c r="O42" s="17" t="s">
        <v>176</v>
      </c>
    </row>
    <row r="43" spans="1:15">
      <c r="A43" s="25">
        <v>42</v>
      </c>
      <c r="B43" s="17" t="s">
        <v>90</v>
      </c>
      <c r="C43" s="17" t="s">
        <v>26</v>
      </c>
      <c r="D43" s="17" t="s">
        <v>41</v>
      </c>
      <c r="E43" s="17" t="s">
        <v>58</v>
      </c>
      <c r="F43" s="17" t="s">
        <v>36</v>
      </c>
      <c r="G43" s="17" t="s">
        <v>158</v>
      </c>
      <c r="H43" s="17" t="s">
        <v>177</v>
      </c>
      <c r="I43" s="17">
        <v>236</v>
      </c>
      <c r="K43" s="17" t="s">
        <v>68</v>
      </c>
      <c r="L43" s="28">
        <v>785661.83988999994</v>
      </c>
      <c r="M43" s="28">
        <v>2420683.8057499998</v>
      </c>
      <c r="N43" s="17" t="s">
        <v>92</v>
      </c>
      <c r="O43" s="17" t="s">
        <v>36</v>
      </c>
    </row>
    <row r="44" spans="1:15">
      <c r="A44" s="25">
        <v>43</v>
      </c>
      <c r="B44" s="17" t="s">
        <v>129</v>
      </c>
      <c r="C44" s="17" t="s">
        <v>26</v>
      </c>
      <c r="D44" s="17" t="s">
        <v>41</v>
      </c>
      <c r="E44" s="17" t="s">
        <v>58</v>
      </c>
      <c r="F44" s="17" t="s">
        <v>37</v>
      </c>
      <c r="G44" s="17" t="s">
        <v>95</v>
      </c>
      <c r="H44" s="17" t="s">
        <v>178</v>
      </c>
      <c r="I44" s="17">
        <v>96</v>
      </c>
      <c r="K44" s="17" t="s">
        <v>68</v>
      </c>
      <c r="L44" s="28">
        <v>784719.49817000004</v>
      </c>
      <c r="M44" s="28">
        <v>2422204.0438600001</v>
      </c>
      <c r="N44" s="17" t="s">
        <v>89</v>
      </c>
      <c r="O44" s="17" t="s">
        <v>38</v>
      </c>
    </row>
    <row r="45" spans="1:15">
      <c r="A45" s="25">
        <v>44</v>
      </c>
      <c r="B45" s="17" t="s">
        <v>179</v>
      </c>
      <c r="C45" s="17" t="s">
        <v>26</v>
      </c>
      <c r="D45" s="17" t="s">
        <v>41</v>
      </c>
      <c r="E45" s="17" t="s">
        <v>58</v>
      </c>
      <c r="F45" s="17" t="s">
        <v>180</v>
      </c>
      <c r="G45" s="17" t="s">
        <v>131</v>
      </c>
      <c r="H45" s="17" t="s">
        <v>181</v>
      </c>
      <c r="I45" s="17">
        <v>75</v>
      </c>
      <c r="K45" s="17" t="s">
        <v>68</v>
      </c>
      <c r="L45" s="28">
        <v>780819.73782000004</v>
      </c>
      <c r="M45" s="28">
        <v>2425147.3481700001</v>
      </c>
      <c r="N45" s="17" t="s">
        <v>99</v>
      </c>
      <c r="O45" s="17" t="s">
        <v>40</v>
      </c>
    </row>
    <row r="46" spans="1:15">
      <c r="A46" s="25">
        <v>45</v>
      </c>
      <c r="B46" s="17" t="s">
        <v>53</v>
      </c>
      <c r="C46" s="17" t="s">
        <v>26</v>
      </c>
      <c r="D46" s="17" t="s">
        <v>41</v>
      </c>
      <c r="E46" s="17" t="s">
        <v>58</v>
      </c>
      <c r="F46" s="17" t="s">
        <v>53</v>
      </c>
      <c r="G46" s="17" t="s">
        <v>141</v>
      </c>
      <c r="H46" s="17" t="s">
        <v>182</v>
      </c>
      <c r="I46" s="17">
        <v>61</v>
      </c>
      <c r="K46" s="17" t="s">
        <v>68</v>
      </c>
      <c r="L46" s="28">
        <v>783241.83495000005</v>
      </c>
      <c r="M46" s="28">
        <v>2425126.0462099998</v>
      </c>
      <c r="N46" s="17" t="s">
        <v>84</v>
      </c>
      <c r="O46" s="17" t="s">
        <v>35</v>
      </c>
    </row>
    <row r="47" spans="1:15">
      <c r="A47" s="25">
        <v>46</v>
      </c>
      <c r="B47" s="17" t="s">
        <v>183</v>
      </c>
      <c r="C47" s="17" t="s">
        <v>26</v>
      </c>
      <c r="D47" s="17" t="s">
        <v>41</v>
      </c>
      <c r="E47" s="17" t="s">
        <v>58</v>
      </c>
      <c r="F47" s="17" t="s">
        <v>40</v>
      </c>
      <c r="G47" s="17" t="s">
        <v>150</v>
      </c>
      <c r="H47" s="17" t="s">
        <v>184</v>
      </c>
      <c r="I47" s="17">
        <v>121</v>
      </c>
      <c r="K47" s="17" t="s">
        <v>68</v>
      </c>
      <c r="L47" s="28">
        <v>781122.68388999999</v>
      </c>
      <c r="M47" s="28">
        <v>2427878.51058</v>
      </c>
      <c r="N47" s="17" t="s">
        <v>99</v>
      </c>
      <c r="O47" s="17" t="s">
        <v>40</v>
      </c>
    </row>
    <row r="48" spans="1:15">
      <c r="A48" s="25">
        <v>47</v>
      </c>
      <c r="B48" s="17" t="s">
        <v>185</v>
      </c>
      <c r="C48" s="17" t="s">
        <v>26</v>
      </c>
      <c r="D48" s="17" t="s">
        <v>41</v>
      </c>
      <c r="E48" s="17" t="s">
        <v>58</v>
      </c>
      <c r="F48" s="17" t="s">
        <v>185</v>
      </c>
      <c r="G48" s="17" t="s">
        <v>150</v>
      </c>
      <c r="H48" s="17" t="s">
        <v>186</v>
      </c>
      <c r="I48" s="17">
        <v>83</v>
      </c>
      <c r="K48" s="17" t="s">
        <v>68</v>
      </c>
      <c r="L48" s="28">
        <v>783411.95056999999</v>
      </c>
      <c r="M48" s="28">
        <v>2423352.4002399999</v>
      </c>
      <c r="N48" s="17" t="s">
        <v>84</v>
      </c>
      <c r="O48" s="17" t="s">
        <v>35</v>
      </c>
    </row>
    <row r="49" spans="1:15">
      <c r="A49" s="25">
        <v>48</v>
      </c>
      <c r="B49" s="17" t="s">
        <v>187</v>
      </c>
      <c r="C49" s="17" t="s">
        <v>26</v>
      </c>
      <c r="D49" s="17" t="s">
        <v>41</v>
      </c>
      <c r="E49" s="17" t="s">
        <v>58</v>
      </c>
      <c r="F49" s="17" t="s">
        <v>187</v>
      </c>
      <c r="G49" s="17" t="s">
        <v>158</v>
      </c>
      <c r="H49" s="17" t="s">
        <v>188</v>
      </c>
      <c r="I49" s="17">
        <v>450</v>
      </c>
      <c r="K49" s="17" t="s">
        <v>68</v>
      </c>
      <c r="L49" s="28">
        <v>783143.98100000003</v>
      </c>
      <c r="M49" s="28">
        <v>2424693.9138199999</v>
      </c>
      <c r="N49" s="17" t="s">
        <v>84</v>
      </c>
      <c r="O49" s="17" t="s">
        <v>35</v>
      </c>
    </row>
    <row r="50" spans="1:15">
      <c r="A50" s="25">
        <v>49</v>
      </c>
      <c r="B50" s="17" t="s">
        <v>189</v>
      </c>
      <c r="C50" s="17" t="s">
        <v>26</v>
      </c>
      <c r="D50" s="17" t="s">
        <v>41</v>
      </c>
      <c r="E50" s="17" t="s">
        <v>58</v>
      </c>
      <c r="F50" s="17" t="s">
        <v>189</v>
      </c>
      <c r="G50" s="17" t="s">
        <v>95</v>
      </c>
      <c r="H50" s="17" t="s">
        <v>190</v>
      </c>
      <c r="I50" s="17">
        <v>200</v>
      </c>
      <c r="K50" s="17" t="s">
        <v>191</v>
      </c>
      <c r="L50" s="28">
        <v>784299.99980999995</v>
      </c>
      <c r="M50" s="28">
        <v>2419647.9339200002</v>
      </c>
      <c r="N50" s="17" t="s">
        <v>89</v>
      </c>
      <c r="O50" s="17" t="s">
        <v>38</v>
      </c>
    </row>
    <row r="51" spans="1:15">
      <c r="A51" s="25">
        <v>50</v>
      </c>
      <c r="B51" s="17" t="s">
        <v>192</v>
      </c>
      <c r="C51" s="17" t="s">
        <v>26</v>
      </c>
      <c r="D51" s="17" t="s">
        <v>41</v>
      </c>
      <c r="E51" s="17" t="s">
        <v>58</v>
      </c>
      <c r="F51" s="17" t="s">
        <v>71</v>
      </c>
      <c r="G51" s="17" t="s">
        <v>193</v>
      </c>
      <c r="H51" s="17" t="s">
        <v>194</v>
      </c>
      <c r="I51" s="17">
        <v>0</v>
      </c>
      <c r="K51" s="17" t="s">
        <v>193</v>
      </c>
      <c r="L51" s="28">
        <v>783142.31452000001</v>
      </c>
      <c r="M51" s="28">
        <v>2427541.0109199998</v>
      </c>
      <c r="N51" s="17" t="s">
        <v>73</v>
      </c>
      <c r="O51" s="17" t="s">
        <v>39</v>
      </c>
    </row>
    <row r="52" spans="1:15">
      <c r="A52" s="25">
        <v>51</v>
      </c>
      <c r="B52" s="17" t="s">
        <v>195</v>
      </c>
      <c r="C52" s="17" t="s">
        <v>196</v>
      </c>
      <c r="D52" s="17" t="s">
        <v>41</v>
      </c>
      <c r="E52" s="17" t="s">
        <v>58</v>
      </c>
      <c r="F52" s="17" t="s">
        <v>197</v>
      </c>
      <c r="G52" s="17" t="s">
        <v>141</v>
      </c>
      <c r="H52" s="17" t="s">
        <v>198</v>
      </c>
      <c r="I52" s="17">
        <v>0</v>
      </c>
      <c r="K52" s="17" t="s">
        <v>193</v>
      </c>
      <c r="L52" s="28">
        <v>780673.23559000005</v>
      </c>
      <c r="M52" s="28">
        <v>2424165.05675</v>
      </c>
      <c r="N52" s="17" t="s">
        <v>99</v>
      </c>
      <c r="O52" s="17" t="s">
        <v>33</v>
      </c>
    </row>
    <row r="53" spans="1:15">
      <c r="A53" s="25">
        <v>52</v>
      </c>
      <c r="B53" s="17" t="s">
        <v>199</v>
      </c>
      <c r="C53" s="17" t="s">
        <v>196</v>
      </c>
      <c r="D53" s="17" t="s">
        <v>41</v>
      </c>
      <c r="E53" s="17" t="s">
        <v>58</v>
      </c>
      <c r="F53" s="17" t="s">
        <v>200</v>
      </c>
      <c r="G53" s="17" t="s">
        <v>193</v>
      </c>
      <c r="H53" s="17" t="s">
        <v>201</v>
      </c>
      <c r="I53" s="17">
        <v>0</v>
      </c>
      <c r="K53" s="17" t="s">
        <v>193</v>
      </c>
      <c r="L53" s="28">
        <v>779895.36670999997</v>
      </c>
      <c r="M53" s="28">
        <v>2419379.2602200001</v>
      </c>
      <c r="N53" s="17" t="s">
        <v>138</v>
      </c>
      <c r="O53" s="17" t="s">
        <v>176</v>
      </c>
    </row>
    <row r="54" spans="1:15">
      <c r="A54" s="25">
        <v>53</v>
      </c>
      <c r="B54" s="17" t="s">
        <v>202</v>
      </c>
      <c r="C54" s="17" t="s">
        <v>24</v>
      </c>
      <c r="D54" s="17" t="s">
        <v>41</v>
      </c>
      <c r="E54" s="17" t="s">
        <v>58</v>
      </c>
      <c r="F54" s="17" t="s">
        <v>202</v>
      </c>
      <c r="G54" s="17" t="s">
        <v>193</v>
      </c>
      <c r="H54" s="17" t="s">
        <v>203</v>
      </c>
      <c r="I54" s="17">
        <v>0</v>
      </c>
      <c r="K54" s="17" t="s">
        <v>193</v>
      </c>
      <c r="L54" s="28">
        <v>775676.42466999998</v>
      </c>
      <c r="M54" s="28">
        <v>2421867.3330000001</v>
      </c>
      <c r="N54" s="17" t="s">
        <v>204</v>
      </c>
      <c r="O54" s="17" t="s">
        <v>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24EU_TIANGUIS</vt:lpstr>
      <vt:lpstr>BASE DE DATOS_TIANGUIS</vt:lpstr>
      <vt:lpstr>'24EU_TIANGUIS'!Área_de_impresión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 garcia</dc:creator>
  <cp:lastModifiedBy>IMPLAN 681026</cp:lastModifiedBy>
  <cp:lastPrinted>2024-06-10T21:24:02Z</cp:lastPrinted>
  <dcterms:created xsi:type="dcterms:W3CDTF">2024-03-04T20:54:05Z</dcterms:created>
  <dcterms:modified xsi:type="dcterms:W3CDTF">2025-08-13T15:23:40Z</dcterms:modified>
</cp:coreProperties>
</file>